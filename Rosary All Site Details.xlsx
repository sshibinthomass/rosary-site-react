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Products" sheetId="1" state="visible" r:id="rId1"/>
    <sheet name="Available" sheetId="2" state="hidden" r:id="rId2"/>
    <sheet name="Not Availlable" sheetId="3" state="hidden" r:id="rId3"/>
    <sheet name="Less" sheetId="4" state="hidden" r:id="rId4"/>
    <sheet name="Local" sheetId="5" state="hidden" r:id="rId5"/>
    <sheet name="Keys" sheetId="6" state="hidden" r:id="rId6"/>
    <sheet name="FB_REVIEW" sheetId="7" state="hidden" r:id="rId7"/>
    <sheet name="Category" sheetId="8" state="hidden" r:id="rId8"/>
    <sheet name="FB_COMMUNITY" sheetId="9" state="hidden" r:id="rId9"/>
  </sheets>
  <definedNames>
    <definedName name="_xlnm._FilterDatabase" localSheetId="1" hidden="1">'Available'!$A$1:$A$1001</definedName>
    <definedName name="_xlnm._FilterDatabase" localSheetId="2" hidden="1">'Not Availlable'!$A$1:$A$1001</definedName>
    <definedName name="_xlnm._FilterDatabase" localSheetId="3" hidden="1">'Less'!$A$1:$A$1001</definedName>
    <definedName name="_xlnm._FilterDatabase" localSheetId="4" hidden="1">'Local'!$A$1:$M$1002</definedName>
  </definedNames>
  <calcPr calcId="191029" fullCalcOnLoad="1"/>
</workbook>
</file>

<file path=xl/styles.xml><?xml version="1.0" encoding="utf-8"?>
<styleSheet xmlns="http://schemas.openxmlformats.org/spreadsheetml/2006/main">
  <numFmts count="0"/>
  <fonts count="37">
    <font>
      <name val="Arial"/>
      <color rgb="FF000000"/>
      <sz val="10"/>
      <scheme val="minor"/>
    </font>
    <font>
      <name val="Arial"/>
      <b val="1"/>
      <color theme="1"/>
      <sz val="10"/>
      <scheme val="minor"/>
    </font>
    <font>
      <name val="Inherit"/>
      <b val="1"/>
      <color rgb="FF53450E"/>
      <sz val="10"/>
    </font>
    <font>
      <name val="Arial"/>
      <color theme="1"/>
      <sz val="10"/>
      <scheme val="minor"/>
    </font>
    <font>
      <name val="Arial"/>
      <b val="1"/>
      <color theme="1"/>
      <sz val="10"/>
    </font>
    <font>
      <name val="Arial"/>
      <b val="1"/>
      <color theme="1"/>
      <sz val="10"/>
    </font>
    <font>
      <name val="Arial"/>
      <b val="1"/>
      <color theme="1"/>
      <sz val="11"/>
    </font>
    <font>
      <name val="Inherit"/>
      <color rgb="FF53450E"/>
      <sz val="10"/>
    </font>
    <font>
      <name val="Arial"/>
      <color theme="1"/>
      <sz val="10"/>
    </font>
    <font>
      <name val="Arial"/>
      <color theme="1"/>
      <sz val="11"/>
    </font>
    <font>
      <name val="Arial"/>
      <color rgb="FF000000"/>
      <sz val="10"/>
    </font>
    <font>
      <name val="Arial"/>
      <color rgb="FF202122"/>
      <sz val="11"/>
    </font>
    <font>
      <name val="Roboto"/>
      <color rgb="FF202124"/>
      <sz val="11"/>
    </font>
    <font>
      <name val="Inconsolata"/>
      <color rgb="FF3266D5"/>
      <sz val="10"/>
    </font>
    <font>
      <name val="Arial"/>
      <b val="1"/>
      <color rgb="FF000000"/>
      <sz val="10"/>
      <scheme val="minor"/>
    </font>
    <font>
      <name val="Calibri"/>
      <b val="1"/>
      <color rgb="FF000000"/>
      <sz val="11"/>
    </font>
    <font>
      <name val="Arial"/>
      <color theme="1"/>
      <sz val="10"/>
    </font>
    <font>
      <name val="Arial"/>
      <color rgb="FF0000FF"/>
      <sz val="10"/>
      <u val="single"/>
    </font>
    <font>
      <name val="Calibri"/>
      <color rgb="FF000000"/>
      <sz val="11"/>
    </font>
    <font>
      <name val="Arial"/>
      <color rgb="FF202122"/>
      <sz val="10"/>
    </font>
    <font>
      <name val="Arial"/>
      <color rgb="FF202124"/>
      <sz val="10"/>
    </font>
    <font>
      <name val="Calibri"/>
      <color theme="1"/>
      <sz val="11"/>
    </font>
    <font>
      <name val="&quot;Google Sans Mono&quot;"/>
      <b val="1"/>
      <color rgb="FF000000"/>
      <sz val="9"/>
    </font>
    <font>
      <name val="&quot;Google Sans Mono&quot;"/>
      <color rgb="FF000000"/>
      <sz val="9"/>
    </font>
    <font>
      <name val="Arial"/>
      <b val="1"/>
      <color rgb="FF000000"/>
      <sz val="10"/>
      <scheme val="minor"/>
    </font>
    <font>
      <name val="Consolas"/>
      <color rgb="FFCE9178"/>
      <sz val="11"/>
    </font>
    <font>
      <name val="Inherit"/>
      <color rgb="FFB0B3B8"/>
      <sz val="11"/>
      <u val="single"/>
    </font>
    <font>
      <name val="Arial"/>
      <color rgb="FF0000FF"/>
      <sz val="10"/>
      <u val="single"/>
    </font>
    <font>
      <name val="Arial"/>
      <strike val="1"/>
      <color theme="1"/>
      <sz val="10"/>
      <scheme val="minor"/>
    </font>
    <font>
      <name val="Helvetica"/>
      <color theme="1"/>
      <sz val="11"/>
    </font>
    <font>
      <name val="Helvetica"/>
      <color rgb="FF1C1E21"/>
      <sz val="11"/>
    </font>
    <font>
      <name val="Arial"/>
      <family val="2"/>
      <color rgb="FF000000"/>
      <sz val="10"/>
      <scheme val="minor"/>
    </font>
    <font>
      <name val="Arial"/>
      <family val="2"/>
      <color rgb="FF000000"/>
      <sz val="11"/>
      <scheme val="minor"/>
    </font>
    <font>
      <name val="Aptos Narrow"/>
      <family val="2"/>
      <color rgb="FF000000"/>
      <sz val="11"/>
    </font>
    <font>
      <name val="Arial"/>
      <family val="2"/>
      <b val="1"/>
      <color theme="1"/>
      <sz val="10"/>
      <scheme val="minor"/>
    </font>
    <font>
      <name val="Arial"/>
      <family val="2"/>
      <b val="1"/>
      <color rgb="FF000000"/>
      <sz val="10"/>
      <scheme val="minor"/>
    </font>
    <font>
      <name val="Arial"/>
      <color theme="10"/>
      <sz val="10"/>
      <u val="single"/>
      <scheme val="minor"/>
    </font>
  </fonts>
  <fills count="12">
    <fill>
      <patternFill/>
    </fill>
    <fill>
      <patternFill patternType="gray125"/>
    </fill>
    <fill>
      <patternFill patternType="solid">
        <fgColor rgb="FF00FFFF"/>
        <bgColor rgb="FF00FFFF"/>
      </patternFill>
    </fill>
    <fill>
      <patternFill patternType="solid">
        <fgColor rgb="FFFFFFFF"/>
        <bgColor rgb="FFFFFFFF"/>
      </patternFill>
    </fill>
    <fill>
      <patternFill patternType="solid">
        <fgColor rgb="FFFBBC04"/>
        <bgColor rgb="FFFBBC04"/>
      </patternFill>
    </fill>
    <fill>
      <patternFill patternType="solid">
        <fgColor theme="6"/>
        <bgColor theme="6"/>
      </patternFill>
    </fill>
    <fill>
      <patternFill patternType="solid">
        <fgColor rgb="FFB0B3B8"/>
        <bgColor rgb="FFB0B3B8"/>
      </patternFill>
    </fill>
    <fill>
      <patternFill patternType="solid">
        <fgColor rgb="FFCCCCCC"/>
        <bgColor rgb="FFCCCCCC"/>
      </patternFill>
    </fill>
    <fill>
      <patternFill patternType="solid">
        <fgColor rgb="FFB7B7B7"/>
        <bgColor rgb="FFB7B7B7"/>
      </patternFill>
    </fill>
    <fill>
      <patternFill patternType="solid">
        <fgColor rgb="FFD9D9D9"/>
        <bgColor rgb="FFD9D9D9"/>
      </patternFill>
    </fill>
    <fill>
      <patternFill patternType="solid">
        <fgColor rgb="FFFFFF00"/>
        <bgColor rgb="FFFFFF00"/>
      </patternFill>
    </fill>
    <fill>
      <patternFill patternType="solid">
        <fgColor theme="5"/>
        <bgColor theme="5"/>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bottom style="medium">
        <color rgb="FFCCCCCC"/>
      </bottom>
      <diagonal/>
    </border>
    <border>
      <left style="thin">
        <color indexed="64"/>
      </left>
      <right style="thin">
        <color indexed="64"/>
      </right>
      <top/>
      <bottom/>
      <diagonal/>
    </border>
  </borders>
  <cellStyleXfs count="2">
    <xf numFmtId="0" fontId="0" fillId="0" borderId="0"/>
    <xf numFmtId="0" fontId="36" fillId="0" borderId="0"/>
  </cellStyleXfs>
  <cellXfs count="99">
    <xf numFmtId="0" fontId="0" fillId="0" borderId="0" pivotButton="0" quotePrefix="0" xfId="0"/>
    <xf numFmtId="0" fontId="1" fillId="2" borderId="1" applyAlignment="1" pivotButton="0" quotePrefix="0" xfId="0">
      <alignment horizontal="center"/>
    </xf>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center"/>
    </xf>
    <xf numFmtId="0" fontId="3" fillId="0" borderId="1" applyAlignment="1" pivotButton="0" quotePrefix="0" xfId="0">
      <alignment horizontal="center"/>
    </xf>
    <xf numFmtId="0" fontId="5" fillId="2" borderId="1" applyAlignment="1" pivotButton="0" quotePrefix="0" xfId="0">
      <alignment horizontal="center"/>
    </xf>
    <xf numFmtId="0" fontId="6" fillId="2" borderId="1" applyAlignment="1" pivotButton="0" quotePrefix="0" xfId="0">
      <alignment horizontal="center"/>
    </xf>
    <xf numFmtId="0" fontId="3" fillId="0" borderId="0" applyAlignment="1" pivotButton="0" quotePrefix="0" xfId="0">
      <alignment horizontal="center"/>
    </xf>
    <xf numFmtId="0" fontId="3" fillId="0" borderId="1" pivotButton="0" quotePrefix="0" xfId="0"/>
    <xf numFmtId="0" fontId="7" fillId="0" borderId="1" pivotButton="0" quotePrefix="0" xfId="0"/>
    <xf numFmtId="0" fontId="8" fillId="0" borderId="1" applyAlignment="1" pivotButton="0" quotePrefix="0" xfId="0">
      <alignment horizontal="center"/>
    </xf>
    <xf numFmtId="0" fontId="9" fillId="0" borderId="1" applyAlignment="1" pivotButton="0" quotePrefix="0" xfId="0">
      <alignment horizontal="center"/>
    </xf>
    <xf numFmtId="0" fontId="8" fillId="0" borderId="1" pivotButton="0" quotePrefix="0" xfId="0"/>
    <xf numFmtId="0" fontId="10" fillId="3" borderId="0" applyAlignment="1" pivotButton="0" quotePrefix="0" xfId="0">
      <alignment horizontal="center"/>
    </xf>
    <xf numFmtId="0" fontId="11" fillId="0" borderId="1" applyAlignment="1" pivotButton="0" quotePrefix="0" xfId="0">
      <alignment horizontal="center"/>
    </xf>
    <xf numFmtId="0" fontId="9" fillId="3" borderId="1" applyAlignment="1" pivotButton="0" quotePrefix="0" xfId="0">
      <alignment horizontal="center"/>
    </xf>
    <xf numFmtId="0" fontId="12" fillId="3" borderId="1" applyAlignment="1" pivotButton="0" quotePrefix="0" xfId="0">
      <alignment horizontal="center"/>
    </xf>
    <xf numFmtId="0" fontId="8" fillId="4" borderId="1" applyAlignment="1" pivotButton="0" quotePrefix="0" xfId="0">
      <alignment horizontal="center"/>
    </xf>
    <xf numFmtId="0" fontId="13" fillId="3" borderId="1" applyAlignment="1" pivotButton="0" quotePrefix="0" xfId="0">
      <alignment vertical="top"/>
    </xf>
    <xf numFmtId="0" fontId="13" fillId="3" borderId="1" applyAlignment="1" pivotButton="0" quotePrefix="0" xfId="0">
      <alignment horizontal="left"/>
    </xf>
    <xf numFmtId="0" fontId="3" fillId="5" borderId="1" pivotButton="0" quotePrefix="0" xfId="0"/>
    <xf numFmtId="0" fontId="7" fillId="5" borderId="1" pivotButton="0" quotePrefix="0" xfId="0"/>
    <xf numFmtId="0" fontId="3" fillId="5" borderId="1" applyAlignment="1" pivotButton="0" quotePrefix="0" xfId="0">
      <alignment horizontal="center"/>
    </xf>
    <xf numFmtId="0" fontId="3" fillId="5" borderId="0" pivotButton="0" quotePrefix="0" xfId="0"/>
    <xf numFmtId="0" fontId="8" fillId="0" borderId="1" applyAlignment="1" pivotButton="0" quotePrefix="0" xfId="0">
      <alignment horizontal="left"/>
    </xf>
    <xf numFmtId="0" fontId="1" fillId="0" borderId="0" applyAlignment="1" pivotButton="0" quotePrefix="0" xfId="0">
      <alignment horizontal="center"/>
    </xf>
    <xf numFmtId="0" fontId="5" fillId="0" borderId="1" applyAlignment="1" pivotButton="0" quotePrefix="0" xfId="0">
      <alignment horizontal="center"/>
    </xf>
    <xf numFmtId="0" fontId="16" fillId="0" borderId="1" pivotButton="0" quotePrefix="0" xfId="0"/>
    <xf numFmtId="0" fontId="18" fillId="0" borderId="1" applyAlignment="1" pivotButton="0" quotePrefix="0" xfId="0">
      <alignment horizontal="left"/>
    </xf>
    <xf numFmtId="0" fontId="3" fillId="0" borderId="1" applyAlignment="1" pivotButton="0" quotePrefix="0" xfId="0">
      <alignment horizontal="left"/>
    </xf>
    <xf numFmtId="0" fontId="19" fillId="0" borderId="1" pivotButton="0" quotePrefix="0" xfId="0"/>
    <xf numFmtId="0" fontId="16" fillId="3" borderId="1" pivotButton="0" quotePrefix="0" xfId="0"/>
    <xf numFmtId="0" fontId="20" fillId="3" borderId="1" pivotButton="0" quotePrefix="0" xfId="0"/>
    <xf numFmtId="0" fontId="3" fillId="0" borderId="0" pivotButton="0" quotePrefix="0" xfId="0"/>
    <xf numFmtId="0" fontId="8" fillId="0" borderId="0" applyAlignment="1" pivotButton="0" quotePrefix="0" xfId="0">
      <alignment horizontal="left"/>
    </xf>
    <xf numFmtId="0" fontId="8" fillId="0" borderId="0" pivotButton="0" quotePrefix="0" xfId="0"/>
    <xf numFmtId="0" fontId="21" fillId="0" borderId="0" applyAlignment="1" pivotButton="0" quotePrefix="0" xfId="0">
      <alignment horizontal="left"/>
    </xf>
    <xf numFmtId="0" fontId="3" fillId="0" borderId="0" applyAlignment="1" pivotButton="0" quotePrefix="0" xfId="0">
      <alignment horizontal="left"/>
    </xf>
    <xf numFmtId="0" fontId="9" fillId="0" borderId="0" applyAlignment="1" pivotButton="0" quotePrefix="0" xfId="0">
      <alignment horizontal="center"/>
    </xf>
    <xf numFmtId="0" fontId="22" fillId="7" borderId="1" applyAlignment="1" pivotButton="0" quotePrefix="0" xfId="0">
      <alignment horizontal="center"/>
    </xf>
    <xf numFmtId="0" fontId="23" fillId="3" borderId="1" pivotButton="0" quotePrefix="0" xfId="0"/>
    <xf numFmtId="0" fontId="23" fillId="3" borderId="0" pivotButton="0" quotePrefix="0" xfId="0"/>
    <xf numFmtId="0" fontId="22" fillId="7" borderId="0" applyAlignment="1" pivotButton="0" quotePrefix="0" xfId="0">
      <alignment horizontal="center"/>
    </xf>
    <xf numFmtId="0" fontId="22" fillId="2" borderId="0" applyAlignment="1" pivotButton="0" quotePrefix="0" xfId="0">
      <alignment horizontal="center"/>
    </xf>
    <xf numFmtId="0" fontId="24" fillId="8" borderId="1" applyAlignment="1" pivotButton="0" quotePrefix="0" xfId="0">
      <alignment horizontal="center"/>
    </xf>
    <xf numFmtId="0" fontId="1" fillId="8" borderId="1" applyAlignment="1" pivotButton="0" quotePrefix="0" xfId="0">
      <alignment horizontal="center"/>
    </xf>
    <xf numFmtId="0" fontId="3" fillId="9" borderId="1" pivotButton="0" quotePrefix="0" xfId="0"/>
    <xf numFmtId="0" fontId="25" fillId="0" borderId="0" pivotButton="0" quotePrefix="0" xfId="0"/>
    <xf numFmtId="0" fontId="26" fillId="0" borderId="0" pivotButton="0" quotePrefix="0" xfId="0"/>
    <xf numFmtId="0" fontId="27" fillId="0" borderId="0" pivotButton="0" quotePrefix="0" xfId="0"/>
    <xf numFmtId="0" fontId="18" fillId="0" borderId="1" pivotButton="0" quotePrefix="0" xfId="0"/>
    <xf numFmtId="0" fontId="14" fillId="0" borderId="1" applyAlignment="1" pivotButton="0" quotePrefix="0" xfId="0">
      <alignment horizontal="left"/>
    </xf>
    <xf numFmtId="0" fontId="18" fillId="0" borderId="1" applyAlignment="1" pivotButton="0" quotePrefix="0" xfId="0">
      <alignment horizontal="right"/>
    </xf>
    <xf numFmtId="0" fontId="18" fillId="0" borderId="0" applyAlignment="1" pivotButton="0" quotePrefix="0" xfId="0">
      <alignment horizontal="right"/>
    </xf>
    <xf numFmtId="0" fontId="14" fillId="0" borderId="0" applyAlignment="1" pivotButton="0" quotePrefix="0" xfId="0">
      <alignment horizontal="left"/>
    </xf>
    <xf numFmtId="0" fontId="18" fillId="0" borderId="0" applyAlignment="1" pivotButton="0" quotePrefix="0" xfId="0">
      <alignment horizontal="left"/>
    </xf>
    <xf numFmtId="0" fontId="3" fillId="10" borderId="0" pivotButton="0" quotePrefix="0" xfId="0"/>
    <xf numFmtId="0" fontId="28" fillId="10" borderId="0" pivotButton="0" quotePrefix="0" xfId="0"/>
    <xf numFmtId="0" fontId="3" fillId="11" borderId="0" pivotButton="0" quotePrefix="0" xfId="0"/>
    <xf numFmtId="0" fontId="10" fillId="3" borderId="1" applyAlignment="1" pivotButton="0" quotePrefix="0" xfId="0">
      <alignment horizontal="left"/>
    </xf>
    <xf numFmtId="0" fontId="29" fillId="0" borderId="0" pivotButton="0" quotePrefix="0" xfId="0"/>
    <xf numFmtId="0" fontId="30" fillId="3" borderId="0" pivotButton="0" quotePrefix="0" xfId="0"/>
    <xf numFmtId="0" fontId="31" fillId="0" borderId="2" applyAlignment="1" pivotButton="0" quotePrefix="0" xfId="0">
      <alignment wrapText="1"/>
    </xf>
    <xf numFmtId="0" fontId="31" fillId="0" borderId="4" applyAlignment="1" pivotButton="0" quotePrefix="0" xfId="0">
      <alignment wrapText="1"/>
    </xf>
    <xf numFmtId="0" fontId="5" fillId="6" borderId="3" applyAlignment="1" pivotButton="0" quotePrefix="0" xfId="0">
      <alignment horizontal="center"/>
    </xf>
    <xf numFmtId="0" fontId="0" fillId="0" borderId="3" pivotButton="0" quotePrefix="0" xfId="0"/>
    <xf numFmtId="0" fontId="1" fillId="6" borderId="3" applyAlignment="1" pivotButton="0" quotePrefix="0" xfId="0">
      <alignment horizontal="center"/>
    </xf>
    <xf numFmtId="0" fontId="6" fillId="6" borderId="3" applyAlignment="1" pivotButton="0" quotePrefix="0" xfId="0">
      <alignment horizontal="center"/>
    </xf>
    <xf numFmtId="0" fontId="14" fillId="6" borderId="3" applyAlignment="1" pivotButton="0" quotePrefix="0" xfId="0">
      <alignment horizontal="center"/>
    </xf>
    <xf numFmtId="0" fontId="15" fillId="6" borderId="3" applyAlignment="1" pivotButton="0" quotePrefix="0" xfId="0">
      <alignment horizontal="center"/>
    </xf>
    <xf numFmtId="0" fontId="34" fillId="6" borderId="3" applyAlignment="1" pivotButton="0" quotePrefix="0" xfId="0">
      <alignment horizontal="center"/>
    </xf>
    <xf numFmtId="0" fontId="35" fillId="0" borderId="3" applyAlignment="1" pivotButton="0" quotePrefix="0" xfId="0">
      <alignment wrapText="1"/>
    </xf>
    <xf numFmtId="0" fontId="5" fillId="0" borderId="3" applyAlignment="1" pivotButton="0" quotePrefix="0" xfId="0">
      <alignment horizontal="center"/>
    </xf>
    <xf numFmtId="0" fontId="16" fillId="0" borderId="3" applyAlignment="1" pivotButton="0" quotePrefix="0" xfId="0">
      <alignment horizontal="left"/>
    </xf>
    <xf numFmtId="0" fontId="8" fillId="0" borderId="3" applyAlignment="1" pivotButton="0" quotePrefix="0" xfId="0">
      <alignment horizontal="center"/>
    </xf>
    <xf numFmtId="0" fontId="17" fillId="0" borderId="3" pivotButton="0" quotePrefix="0" xfId="0"/>
    <xf numFmtId="0" fontId="8" fillId="0" borderId="3" pivotButton="0" quotePrefix="0" xfId="0"/>
    <xf numFmtId="0" fontId="8" fillId="0" borderId="3" applyAlignment="1" pivotButton="0" quotePrefix="0" xfId="0">
      <alignment horizontal="left"/>
    </xf>
    <xf numFmtId="0" fontId="9" fillId="0" borderId="3" applyAlignment="1" pivotButton="0" quotePrefix="0" xfId="0">
      <alignment horizontal="center"/>
    </xf>
    <xf numFmtId="0" fontId="18" fillId="0" borderId="3" applyAlignment="1" pivotButton="0" quotePrefix="0" xfId="0">
      <alignment horizontal="left"/>
    </xf>
    <xf numFmtId="0" fontId="3" fillId="0" borderId="3" applyAlignment="1" pivotButton="0" quotePrefix="0" xfId="0">
      <alignment horizontal="left"/>
    </xf>
    <xf numFmtId="0" fontId="32" fillId="0" borderId="3" applyAlignment="1" pivotButton="0" quotePrefix="0" xfId="0">
      <alignment vertical="center"/>
    </xf>
    <xf numFmtId="0" fontId="33" fillId="0" borderId="3" applyAlignment="1" pivotButton="0" quotePrefix="0" xfId="0">
      <alignment vertical="center"/>
    </xf>
    <xf numFmtId="0" fontId="3" fillId="0" borderId="3" pivotButton="0" quotePrefix="0" xfId="0"/>
    <xf numFmtId="0" fontId="3" fillId="0" borderId="3" applyAlignment="1" pivotButton="0" quotePrefix="0" xfId="0">
      <alignment horizontal="center"/>
    </xf>
    <xf numFmtId="0" fontId="10" fillId="3" borderId="3" applyAlignment="1" pivotButton="0" quotePrefix="0" xfId="0">
      <alignment horizontal="left"/>
    </xf>
    <xf numFmtId="0" fontId="10" fillId="3" borderId="3" applyAlignment="1" pivotButton="0" quotePrefix="0" xfId="0">
      <alignment horizontal="center"/>
    </xf>
    <xf numFmtId="0" fontId="19" fillId="0" borderId="3" applyAlignment="1" pivotButton="0" quotePrefix="0" xfId="0">
      <alignment horizontal="left"/>
    </xf>
    <xf numFmtId="0" fontId="11" fillId="0" borderId="3" applyAlignment="1" pivotButton="0" quotePrefix="0" xfId="0">
      <alignment horizontal="center"/>
    </xf>
    <xf numFmtId="0" fontId="16" fillId="3" borderId="3" applyAlignment="1" pivotButton="0" quotePrefix="0" xfId="0">
      <alignment horizontal="left"/>
    </xf>
    <xf numFmtId="0" fontId="9" fillId="3" borderId="3" applyAlignment="1" pivotButton="0" quotePrefix="0" xfId="0">
      <alignment horizontal="center"/>
    </xf>
    <xf numFmtId="0" fontId="12" fillId="3" borderId="3" applyAlignment="1" pivotButton="0" quotePrefix="0" xfId="0">
      <alignment horizontal="center"/>
    </xf>
    <xf numFmtId="0" fontId="8" fillId="4" borderId="3" applyAlignment="1" pivotButton="0" quotePrefix="0" xfId="0">
      <alignment horizontal="center"/>
    </xf>
    <xf numFmtId="0" fontId="15" fillId="0" borderId="3" applyAlignment="1" pivotButton="0" quotePrefix="0" xfId="0">
      <alignment horizontal="center"/>
    </xf>
    <xf numFmtId="0" fontId="21" fillId="0" borderId="3" applyAlignment="1" pivotButton="0" quotePrefix="0" xfId="0">
      <alignment horizontal="left"/>
    </xf>
    <xf numFmtId="0" fontId="3" fillId="5" borderId="3" applyAlignment="1" pivotButton="0" quotePrefix="0" xfId="0">
      <alignment horizontal="center"/>
    </xf>
    <xf numFmtId="0" fontId="34" fillId="6" borderId="5" applyAlignment="1" pivotButton="0" quotePrefix="0" xfId="0">
      <alignment horizontal="center"/>
    </xf>
    <xf numFmtId="0" fontId="36"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None</author>
  </authors>
  <commentList>
    <comment ref="C294" authorId="0" shapeId="0">
      <text>
        <t>Not available
	-Immaculate Mala</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hyperlink" Target="https://www.facebook.com/sharon.thomas.7798?__cft__%5B0%5D=AZX7dQ_YRJm14rN2dV0TLdmHH36iMm8TaYBS9M7MIsUhEdYurzjph5PKXmPt29sfXUA0b1gnmO4fM3QJ77xZDSiUAq0mlW8Kgn0yM719RQ3Pr6nYbg_Eg9DLrGT7ewggk5tn4AhibebpqYYMsqrq33W3&amp;__tn__=-%5DC%2CP-R" TargetMode="External" Id="rId1" /><Relationship Type="http://schemas.openxmlformats.org/officeDocument/2006/relationships/hyperlink" Target="https://www.facebook.com/sharon.thomas.7798/posts/pfbid02tB4wJswyLzzTfpZLyikFCfFCUL96EgTf7DJo1PpWgfAgeWnM5Wofp2FHE7WMs5Gl" TargetMode="External" Id="rId2" /><Relationship Type="http://schemas.openxmlformats.org/officeDocument/2006/relationships/hyperlink" Target="https://www.facebook.com/sairindhree.sarkar?__cft__%5B0%5D=AZUHBRdt5jc98SrzpQiQZSMEJjCpOT7FhHYowsST5EzZ-chVl8fRajBAW8aV1ykJKlNgYYnJ0-ubrn5i2M_Dk58KnKqVUbbBIdvQXKVN_vckq36n-KnoKO48p1cUeCD69SeZIhEjnwMoCW03fU0Rftp7&amp;__tn__=-%5DC%2CP-R" TargetMode="External" Id="rId3" /><Relationship Type="http://schemas.openxmlformats.org/officeDocument/2006/relationships/hyperlink" Target="https://www.facebook.com/sairindhree.sarkar/posts/pfbid02vF6cEFtHgFrRGJ97doX5bcCzTksvVqZ1r8fQtkjY73bg5zAWnCtJHwdPqQdoV8NTl" TargetMode="External" Id="rId4" /><Relationship Type="http://schemas.openxmlformats.org/officeDocument/2006/relationships/hyperlink" Target="https://www.facebook.com/pugazenthi.pugal.33?__cft__%5B0%5D=AZW3uClCyo2pmG1o4QfVyreAsqcV1UGQElf__VexbCWFEVu2O87szpVsuHmO3ghjHxvrlvT4zbr26GYVuJH53eOvMNgtdBJ4O-t_I9wGkCL68Q&amp;__tn__=-%5DC%2CP-R" TargetMode="External" Id="rId5" /><Relationship Type="http://schemas.openxmlformats.org/officeDocument/2006/relationships/hyperlink" Target="https://www.facebook.com/pugazenthi.pugal.33/posts/pfbid0VY3UY59o3ad4wY5RoNW2EsFr8xMsb9HNwex23FYmgGq6AZU6zbWZJEbGPxvJ3tJcl" TargetMode="External" Id="rId6" /><Relationship Type="http://schemas.openxmlformats.org/officeDocument/2006/relationships/hyperlink" Target="https://www.facebook.com/sumesh.c.k.581?__cft__%5B0%5D=AZX1WYrYMl5AEByY3OVO0NKLSEGXH0Uf-NOg6B0YOetBENYd-gbP7WF9aDccbz5P2GUAiqR-efysvHs4V365Uw9YcAl4f5jd8dvCGXtFxpAJrRCIw5SIszNPhtaPBHv7KdU&amp;__tn__=-%5DC%2CP-R" TargetMode="External" Id="rId7" /><Relationship Type="http://schemas.openxmlformats.org/officeDocument/2006/relationships/hyperlink" Target="https://www.facebook.com/sumesh.c.k.581/posts/pfbid02HhL3zUUn2Si6XTWGfHRdFQF6fB1gFN93MMSjpE4qjH1YAPejEPYAPxb7iRJGe3Bal" TargetMode="External" Id="rId8" /><Relationship Type="http://schemas.openxmlformats.org/officeDocument/2006/relationships/hyperlink" Target="https://www.facebook.com/trendy.traditional.7?__cft__%5B0%5D=AZVRB65ijKJXlZoZQYtmGbB4zDthx3uIZIqJeY5yX1raQaqRUrtaM6Rf1PM0lBS9QLw95vdOF_rSVhMtwAWloQcCa1wz5vZSZZ05FhTvj_PUPg&amp;__tn__=-%5DC%2CP-R" TargetMode="External" Id="rId9" /><Relationship Type="http://schemas.openxmlformats.org/officeDocument/2006/relationships/hyperlink" Target="https://www.facebook.com/trendy.traditional.7/posts/pfbid0NmsSKXYD7PKD2t4LW8dnck8EUqM1DbQ2pUKE8RDyNpdC9vmPXaeKjN4hwXsAoY4Fl" TargetMode="External" Id="rId10" /><Relationship Type="http://schemas.openxmlformats.org/officeDocument/2006/relationships/hyperlink" Target="https://www.facebook.com/mohanasundaram.j.1?__cft__%5B0%5D=AZVU0ptJkS5BWnebA4645cWWewaSriQTrQaxVfYV-az5KdVczEsL1RPOK3L0J2Brct7CMMt1tLr5W6g8nzmQxbO6tQl1y9FbfC825jh4LwHftD0O7XIBynUV5tocrpiimd4&amp;__tn__=-%5DC%2CP-R" TargetMode="External" Id="rId11" /><Relationship Type="http://schemas.openxmlformats.org/officeDocument/2006/relationships/hyperlink" Target="https://www.facebook.com/mohanasundaram.j.1/posts/pfbid02S4mWZLGzdG7dH5HFGUYPeUGFaChfJ65U9eX3WmNNCvMCFWit81pcdNBsWcZUxnNcl" TargetMode="External" Id="rId12" /><Relationship Type="http://schemas.openxmlformats.org/officeDocument/2006/relationships/hyperlink" Target="https://www.facebook.com/pratisha.hazarika?__cft__%5B0%5D=AZX2E3AddxzQaaLKXGNOOSmHRti83qIfl6vaHIuYS2QrNVMRmYUx4-S_dH1Q5kFKvC5Inj_IYje7E0X0NedA_V50H9Ume8CtemEIGJFbiiU01xrXwaU7lccqXF2u6J-FjPyLJJBwJB3HabjkdRiRTcrSHSVA7yB_YgwECYbdJjbvig&amp;__tn__=-%5DC%2CP-R" TargetMode="External" Id="rId13" /><Relationship Type="http://schemas.openxmlformats.org/officeDocument/2006/relationships/hyperlink" Target="https://www.facebook.com/pratisha.hazarika/posts/pfbid02gYbQKrBsno8QnLC2D9oqk62KPAZRM6tSsmo1tickEvYbVVPsSGVX7MVUiy3sVAnBl" TargetMode="External" Id="rId14" /><Relationship Type="http://schemas.openxmlformats.org/officeDocument/2006/relationships/hyperlink" Target="https://www.facebook.com/prerana.polekar?__cft__%5B0%5D=AZW0CVDqMpvdnA5X-P6X6wyAwEKGqRiB0QdYupIueDO4bgOcq-F_jKvK9UUY2NECb6bBtyYHmHdjRnl4yGg09qdbzgOamjb6eK1_sS19cTP_0VSnOr_wgB3Xd4OGNnToI65AQljmhqmunYIxINbSZenJ&amp;__tn__=-%5DC%2CP-R" TargetMode="External" Id="rId15" /><Relationship Type="http://schemas.openxmlformats.org/officeDocument/2006/relationships/hyperlink" Target="https://www.facebook.com/prerana.polekar/posts/pfbid0QhGJnFNL3Z5R6wiZZxBQAYSBKHNviNN33e6BCxcQgTY4Cca6o59Cey7dEjmy1MPvl" TargetMode="External" Id="rId16" /><Relationship Type="http://schemas.openxmlformats.org/officeDocument/2006/relationships/hyperlink" Target="https://www.facebook.com/galanamrata?__cft__%5B0%5D=AZUThARS2AYvlCfXIbr2pMZ_ARYCE8CIMRa_C7sdvGRxDRie5dekjJJ_C0ZUAB93VMsPLCFpbUiYfTl-nn55BWnWBLNHmsj62QFj9JJt8aC366lv10pGhYJLFPsnZ7irHks6sNZyZ-aVbeSrM5unw3Vf&amp;__tn__=-%5DC%2CP-R" TargetMode="External" Id="rId17" /><Relationship Type="http://schemas.openxmlformats.org/officeDocument/2006/relationships/hyperlink" Target="https://www.facebook.com/galanamrata/posts/pfbid0z675PKxEqoAeQ8RUh3NmuVmLbhMLdHpdhcCa5Xwsz8wKaA6DENh6jHGu3ySs7ovRl" TargetMode="External" Id="rId18" /><Relationship Type="http://schemas.openxmlformats.org/officeDocument/2006/relationships/hyperlink" Target="https://www.facebook.com/vinodha.anand?__cft__%5B0%5D=AZULRzbaAB1Mr1-gL4gzPUG56k3qW67fcq3XTV6H2UE6p-IMJfpgzbTdd2b38sZYAtKDb-F7vQbkJQpqILRq_IAW-UTArzTmggifPeeMXp88Tw&amp;__tn__=-%5DC%2CP-R" TargetMode="External" Id="rId19" /><Relationship Type="http://schemas.openxmlformats.org/officeDocument/2006/relationships/hyperlink" Target="https://www.facebook.com/vinodha.anand/posts/pfbid0cp975PCjC5pioT34wbhwPcaXeTBqGF8jw8mUr961pYQJVsynworRBbaysW9XCSLKl" TargetMode="External" Id="rId20" /><Relationship Type="http://schemas.openxmlformats.org/officeDocument/2006/relationships/hyperlink" Target="https://www.facebook.com/sajaniashokan.polloorkandy?__cft__%5B0%5D=AZWwYsWZBTFiEprNJXDqIQ3ZhYa-wdSoKut6Wldi4PUL9WSQ_qQv4YjpVFq8k8yatYAhj6Cqleao4MNGNsBGY8LDUbff9fnVSWw14gAqW5d2TwDZGPxPgXgnjLY6EuFfJYNEXifFiA8qcQzMmr6LXuR5&amp;__tn__=-%5DC%2CP-R" TargetMode="External" Id="rId21" /><Relationship Type="http://schemas.openxmlformats.org/officeDocument/2006/relationships/hyperlink" Target="https://www.facebook.com/sajaniashokan.polloorkandy/posts/pfbid02hVkC5RyATVdcoUtutE1BjKaWDb2P66gmETmm5jJycwncNJ78unPeXKCtnPs8Ez5El" TargetMode="External" Id="rId22" /><Relationship Type="http://schemas.openxmlformats.org/officeDocument/2006/relationships/hyperlink" Target="https://www.facebook.com/ajaya.cheruvakodan?__cft__%5B0%5D=AZVQpXmNehBmkQzqM9xSgW62AK3v3vS4PBgTwGtzc45yTq0sAMAykIzwl-a0-vmEKsjX6VaVDNxz-LhqbFuUOsRNgBBvZJ0jld537dqIkXBYQGMzitT_4jjwV5ZpmfHy-poOJvuyEuKCoPuba6dW3wuE&amp;__tn__=-%5DC%2CP-R" TargetMode="External" Id="rId23" /><Relationship Type="http://schemas.openxmlformats.org/officeDocument/2006/relationships/hyperlink" Target="https://www.facebook.com/ajaya.cheruvakodan/posts/pfbid02Gtv2JLiZU5tXLZYtnNe33CkSyYHYffJGXER3gKVNu7WHibhKiM8pd8sx1tyqEXkbl" TargetMode="External" Id="rId24" /><Relationship Type="http://schemas.openxmlformats.org/officeDocument/2006/relationships/hyperlink" Target="https://www.facebook.com/sudha.arun.9210?__cft__%5B0%5D=AZVN4qm3aRdvxcET-dOdqsM7ZWl7udO5DGlcn7mTRu9-oGFU5BnIaLEsNhuYIE3Srex0vUiWQZ-zgUkzssDfyT7P-iRlbXXXCTjqDYFozQR9uYQHt9g2ZSEO3VcgqwFU16jrs3drN4aRRa_1zO_PCzKm&amp;__tn__=-%5DC%2CP-R" TargetMode="External" Id="rId25" /><Relationship Type="http://schemas.openxmlformats.org/officeDocument/2006/relationships/hyperlink" Target="https://www.facebook.com/sudha.arun.9210/posts/pfbid0Wnn3V3ohLgryfZQM8pC45CMAv7iDHF95HWH1YP2cDwk2GKk3wT4d6UbijcGxRbK6l" TargetMode="External" Id="rId26" /><Relationship Type="http://schemas.openxmlformats.org/officeDocument/2006/relationships/hyperlink" Target="https://www.facebook.com/derickpinto23?__cft__%5B0%5D=AZXSvHlD7cvUUdWZN94T7dBgcrKvIi72m_OaZbTT1gaATiwnLOCBTg0NctVVRe1iMfYdv_na8bK0GkH-UOLNiATw_5i_6gibU0ImW44SxgkClg&amp;__tn__=-%5DC%2CP-R" TargetMode="External" Id="rId27" /><Relationship Type="http://schemas.openxmlformats.org/officeDocument/2006/relationships/hyperlink" Target="https://www.facebook.com/derickpinto23/posts/pfbid02tjqbNKrMus5qHNm5zRC4nXhwNbXhz1dXKXXxUzm17XmFmnuxsHsxxAM1GgvAWpuUl" TargetMode="External" Id="rId28" /><Relationship Type="http://schemas.openxmlformats.org/officeDocument/2006/relationships/hyperlink" Target="https://www.facebook.com/sumeli.biswas?__cft__%5B0%5D=AZXKI0AgPsgcRq1kjS2nK9D9QQlMT19Kk8f7CXqEuXG0gdfoTcuJd_TvZTYTp4MFwjSryFgLUv6FV_ubYE603LV1IQlUHKPjPFU2KfNARLwc_J8zV8x7cgO_M7fOFqfc4MtxHFV_dNmWeHb8Fpr99lRd&amp;__tn__=-%5DC%2CP-R" TargetMode="External" Id="rId29" /><Relationship Type="http://schemas.openxmlformats.org/officeDocument/2006/relationships/hyperlink" Target="https://www.facebook.com/sumeli.biswas/posts/pfbid02tJcPwWWRTVTTJde99SQwQKsgW7Zzh6GfTBYZt1XuGMFSkDGZVXJnw9ktYjtj8wj2l" TargetMode="External" Id="rId30" /></Relationships>
</file>

<file path=xl/worksheets/sheet1.xml><?xml version="1.0" encoding="utf-8"?>
<worksheet xmlns="http://schemas.openxmlformats.org/spreadsheetml/2006/main">
  <sheetPr>
    <outlinePr summaryBelow="0" summaryRight="0"/>
    <pageSetUpPr/>
  </sheetPr>
  <dimension ref="A1:W999"/>
  <sheetViews>
    <sheetView tabSelected="1" zoomScaleNormal="100" workbookViewId="0">
      <pane xSplit="2" ySplit="1" topLeftCell="U2" activePane="bottomRight" state="frozen"/>
      <selection pane="topRight" activeCell="C1" sqref="C1"/>
      <selection pane="bottomLeft" activeCell="A2" sqref="A2"/>
      <selection pane="bottomRight" activeCell="AD2" sqref="AD2"/>
    </sheetView>
  </sheetViews>
  <sheetFormatPr baseColWidth="8" defaultColWidth="12.6328125" defaultRowHeight="99.5" customHeight="1"/>
  <cols>
    <col width="4.36328125" customWidth="1" min="1" max="1"/>
    <col width="20.453125" customWidth="1" min="2" max="2"/>
    <col width="8.08984375" customWidth="1" min="3" max="4"/>
    <col width="30.36328125" customWidth="1" min="5" max="5"/>
    <col width="49.26953125" customWidth="1" min="6" max="6"/>
    <col width="8.08984375" customWidth="1" min="7" max="8"/>
    <col width="8.7265625" customWidth="1" min="9" max="10"/>
    <col width="8.08984375" customWidth="1" min="11" max="11"/>
    <col width="8.08984375" customWidth="1" min="13" max="17"/>
    <col width="37.54296875" customWidth="1" min="22" max="22"/>
  </cols>
  <sheetData>
    <row r="1" ht="15.75" customHeight="1">
      <c r="A1" s="65" t="inlineStr">
        <is>
          <t>Id</t>
        </is>
      </c>
      <c r="B1" s="65" t="inlineStr">
        <is>
          <t>Common Name</t>
        </is>
      </c>
      <c r="C1" s="65" t="inlineStr">
        <is>
          <t>Available</t>
        </is>
      </c>
      <c r="D1" s="65" t="inlineStr">
        <is>
          <t>Sales Price</t>
        </is>
      </c>
      <c r="E1" s="66" t="inlineStr">
        <is>
          <t>title</t>
        </is>
      </c>
      <c r="F1" s="65" t="inlineStr">
        <is>
          <t>url</t>
        </is>
      </c>
      <c r="G1" s="67" t="inlineStr">
        <is>
          <t>Size</t>
        </is>
      </c>
      <c r="H1" s="67" t="inlineStr">
        <is>
          <t>Transit</t>
        </is>
      </c>
      <c r="I1" s="66" t="inlineStr">
        <is>
          <t>watering</t>
        </is>
      </c>
      <c r="J1" s="66" t="inlineStr">
        <is>
          <t>sunlight</t>
        </is>
      </c>
      <c r="K1" s="68" t="inlineStr">
        <is>
          <t>Orginal Price</t>
        </is>
      </c>
      <c r="L1" s="69" t="inlineStr">
        <is>
          <t>category</t>
        </is>
      </c>
      <c r="M1" s="70" t="inlineStr">
        <is>
          <t>mother</t>
        </is>
      </c>
      <c r="N1" s="70" t="inlineStr">
        <is>
          <t>Hanging</t>
        </is>
      </c>
      <c r="O1" s="67" t="inlineStr">
        <is>
          <t>Combo</t>
        </is>
      </c>
      <c r="P1" s="69" t="inlineStr">
        <is>
          <t>Indoor</t>
        </is>
      </c>
      <c r="Q1" s="67" t="inlineStr">
        <is>
          <t>Is Restocked</t>
        </is>
      </c>
      <c r="R1" s="67" t="inlineStr">
        <is>
          <t>Place Ava</t>
        </is>
      </c>
      <c r="S1" s="67" t="inlineStr">
        <is>
          <t>Qty Ava</t>
        </is>
      </c>
      <c r="T1" s="71" t="inlineStr">
        <is>
          <t>Demand</t>
        </is>
      </c>
      <c r="U1" s="72" t="inlineStr">
        <is>
          <t>Description</t>
        </is>
      </c>
      <c r="V1" s="97" t="inlineStr">
        <is>
          <t>Plant Link</t>
        </is>
      </c>
    </row>
    <row r="2" ht="99.5" customHeight="1">
      <c r="A2" s="73" t="n">
        <v>1</v>
      </c>
      <c r="B2" s="74" t="inlineStr">
        <is>
          <t>Red tip</t>
        </is>
      </c>
      <c r="C2" s="74">
        <f>IF(Local!H2,"1","0")</f>
        <v/>
      </c>
      <c r="D2" s="75" t="n">
        <v>69</v>
      </c>
      <c r="E2" s="66" t="inlineStr">
        <is>
          <t>Sempervivum tectorum</t>
        </is>
      </c>
      <c r="F2" s="76">
        <f>"public/sale_plants/"&amp;A2&amp;".jpg"</f>
        <v/>
      </c>
      <c r="G2" s="77" t="inlineStr">
        <is>
          <t>(1.5"-2")</t>
        </is>
      </c>
      <c r="H2" s="78" t="inlineStr">
        <is>
          <t>Low</t>
        </is>
      </c>
      <c r="I2" s="66" t="inlineStr">
        <is>
          <t>Low</t>
        </is>
      </c>
      <c r="J2" s="66" t="inlineStr">
        <is>
          <t>High</t>
        </is>
      </c>
      <c r="K2" s="79" t="n">
        <v>99</v>
      </c>
      <c r="L2" s="80" t="inlineStr">
        <is>
          <t>Succulent</t>
        </is>
      </c>
      <c r="M2" s="80" t="n">
        <v>0</v>
      </c>
      <c r="N2" s="80" t="n">
        <v>0</v>
      </c>
      <c r="O2" s="81" t="n">
        <v>0</v>
      </c>
      <c r="P2" s="80" t="n">
        <v>0</v>
      </c>
      <c r="Q2" s="81">
        <f>IF(Local!I2=TRUE,1,0)</f>
        <v/>
      </c>
      <c r="R2" s="81">
        <f>Local!D2</f>
        <v/>
      </c>
      <c r="S2" s="81">
        <f>Local!F2</f>
        <v/>
      </c>
      <c r="T2" s="81">
        <f>Local!G2</f>
        <v/>
      </c>
      <c r="U2" s="82" t="inlineStr">
        <is>
          <t>## About
Sempervivum tectorum, commonly known as Houseleek, is a beautiful rosette-forming succulent with pale green leaves tipped with deep reddish-purple points. This hardy plant has been grown for centuries and is known for its ability to survive in harsh conditions. The name "Sempervivum" means "always alive," which perfectly describes this tough and long-lasting plant.
## Origin
Houseleek is native to the mountainous regions of Europe, particularly the Alps and other mountain ranges across Central and Southern Europe. It naturally grows on rocky slopes, stone walls, and rooftops. Historically, people believed it protected homes from lightning and fire, which is why it was often planted on rooftops.
## Temperature &amp; Humidity
- **Temperature Range:** 15Â°C to 35Â°C (can tolerate temperatures as low as -10Â°C during dormancy)
- **Humidity:** Low to moderate humidity (30% to 50%). This plant prefers dry air and does not like high humidity, making it perfect for most Indian climates except very humid coastal regions during monsoon.
## Growth
Houseleek grows in compact rosettes that typically reach 5 to 10 cm in diameter. The plant grows slowly and produces offsets (baby plants) called "chicks" around the mother rosette (the "hen"). Over time, these offsets create a dense mat or cluster. The plant remains fairly small and compact, making it perfect for small pots, rock gardens, or container arrangements. Growth is moderate, and the plant can fill a container in one to two growing seasons.
## Watering
- **Frequency:** Water once every two weeks during summer, depending on weather conditions. In winter, water once a month or less depending on other parameters.
- **Tips:** Allow the soil to dry out completely between waterings. Water at the base of the plant and avoid getting water on the rosette, as this can cause rot. During monsoon season in India, protect the plant from excessive rain. Overwatering is the biggest threat to this plant, so when in doubt, underwater rather than overwater.
## Sunlight
- **Hours per day:** 4 to 6 hours minimum
- **Type:** Direct sunlight preferred. The plant develops its best color and compact form with plenty of direct sun. Can tolerate bright indirect light but may become leggy and lose its vibrant red tips.
## Care Tips
- Sempervivum is perfect for hot, dry Indian climates, especially in North and Central India
- In coastal areas with high humidity, ensure excellent air circulation and reduce watering frequency
- During monsoon, move the plant under a covered area to prevent waterlogging
- The plant goes semi-dormant in extreme summer heat (above 40Â°C), so reduce watering during this time
- Remove dead or dried lower leaves to keep the rosette healthy
- This plant is perfect for beginners as it requires minimal care
- Can be grown outdoors year-round in most parts of India
## Growth Tips
- Use well-draining cactus or succulent soil mix with added perlite or sand
- A soil mix of 50% regular potting soil, 30% coarse sand, and 20% perlite works well
- Feed with diluted liquid fertilizer once during the growing season (spring) â€“ avoid over-fertilizing
- Repot only when the plant completely fills its container, usually every 2-3 years
- Use shallow, wide pots rather than deep ones, as the roots are shallow
- Add a top layer of small stones or gravel for better drainage and aesthetic appeal
- Propagate easily by removing and planting the offsets
## Common Problems
- **Rosette rot:** Caused by water collecting in the center of the rosette or overwatering. Water only at the soil level.
- **Stretched or leggy growth:** Not enough sunlight. Move to a brighter location with more direct sun.
- **Brown or black leaves:** Overwatering or fungal infection. Reduce watering and improve drainage.
- **Mealy bugs:** Small white cottony pests on leaves. Remove with rubbing alcohol on a cotton swab.
- **Root rot:** Caused by poor drainage or overwatering. Use well-draining soil and reduce watering frequency.
- **Loss of red tips:** Insufficient sunlight. Increase exposure to direct sun for better coloration.
- **Shriveled leaves:** Underwatering (rare). Give the plant a thorough watering.</t>
        </is>
      </c>
      <c r="V2" s="98">
        <f>HYPERLINK("https://rosaryplanthouse.com/plant/"&amp;A2&amp;"-"&amp;SUBSTITUTE(LOWER(E2), " ", "-"))</f>
        <v/>
      </c>
      <c r="W2" t="inlineStr">
        <is>
          <t>🟢 Sempervivum Tectorum (ID: 1)
🌟Meet the stunning Red Tip!🌟 This hardy succulent, also known as Houseleek, is a beautiful blend of pale green leaves tipped with striking reddish-purple points. Perfect for those who want a low-maintenance yet eye-catching addition to their plant collection! 
🌿 **About:** Sempervivum tectorum thrives in harsh conditions and is native to the breathtaking mountain regions of Europe. Historically believed to protect homes from lightning, this plant is not just attractive but steeped in folklore!
🌞 **Key Details:**
- **Watering:** Low – water every two weeks in summer and once a month in winter. 
- **Sunlight:** High – needs 4-6 hours of direct sunlight daily for that vibrant color.
- **Growth:** Compact rosettes with offsets, perfect for small pots or rock gardens.
👉 Ready to add some charm to your space? **Link in bio!**
#SempervivumTectorum #RedTip #SucculentLove #PlantAddict #IndoorPlants #PlantParent #GreenThumb #Houseplants #SucculentCare #PlantLovers #RosaryPlantHouse</t>
        </is>
      </c>
    </row>
    <row r="3" ht="99.5" customHeight="1">
      <c r="A3" s="73" t="n">
        <v>2</v>
      </c>
      <c r="B3" s="74" t="inlineStr">
        <is>
          <t>Yellow Flower</t>
        </is>
      </c>
      <c r="C3" s="74">
        <f>IF(Local!H3,"1","0")</f>
        <v/>
      </c>
      <c r="D3" s="75" t="n">
        <v>49</v>
      </c>
      <c r="E3" s="66" t="inlineStr">
        <is>
          <t>Bergeranthus multiceps</t>
        </is>
      </c>
      <c r="F3" s="76">
        <f>"public/sale_plants/"&amp;A3&amp;".jpg"</f>
        <v/>
      </c>
      <c r="G3" s="77" t="inlineStr">
        <is>
          <t>(2"-3")</t>
        </is>
      </c>
      <c r="H3" s="78" t="inlineStr">
        <is>
          <t>Low</t>
        </is>
      </c>
      <c r="I3" s="66" t="inlineStr">
        <is>
          <t>Low</t>
        </is>
      </c>
      <c r="J3" s="66" t="inlineStr">
        <is>
          <t>High</t>
        </is>
      </c>
      <c r="K3" s="79" t="n">
        <v>69</v>
      </c>
      <c r="L3" s="80" t="inlineStr">
        <is>
          <t>Succulent</t>
        </is>
      </c>
      <c r="M3" s="80" t="n">
        <v>0</v>
      </c>
      <c r="N3" s="80" t="n">
        <v>0</v>
      </c>
      <c r="O3" s="81" t="n">
        <v>0</v>
      </c>
      <c r="P3" s="80" t="n">
        <v>0</v>
      </c>
      <c r="Q3" s="81">
        <f>IF(Local!I3=TRUE,1,0)</f>
        <v/>
      </c>
      <c r="R3" s="81">
        <f>Local!D3</f>
        <v/>
      </c>
      <c r="S3" s="81">
        <f>Local!F3</f>
        <v/>
      </c>
      <c r="T3" s="81">
        <f>Local!G3</f>
        <v/>
      </c>
      <c r="U3" s="83" t="inlineStr">
        <is>
          <t>## About
Bergeranthus multiceps, commonly known as Yellow Ice Plant, is a beautiful low-growing succulent that produces stunning bright yellow daisy-like flowers. Native to South Africa, this plant is loved by gardeners for its cheerful blooms and easy-care nature, making it perfect for Indian homes and gardens.
## Origin
This plant originates from the Eastern Cape Province of South Africa, where it grows naturally in rocky areas and dry grasslands. It is adapted to survive in harsh, dry conditions with minimal water, which makes it ideal for hot climates like those found in many parts of India.
## Temperature &amp; Humidity
- **Temperature Range:** 15Â°C to 35Â°C
- **Humidity:** Low to moderate (30% to 50%). This plant prefers dry air and does not need high humidity. It can tolerate the hot, dry summers common in Indian cities very well.
## Growth
Bergeranthus multiceps is a compact, clump-forming succulent that grows low to the ground. It typically reaches 10 to 15 cm in height and spreads 20 to 30 cm wide. The growth rate is moderate to slow. The plant forms rosettes of thick, fleshy, triangular green leaves that store water. During the blooming season, it produces multiple bright yellow flowers that open in sunlight and close at night or on cloudy days.
## Watering
- **Frequency:** Once every 10-14 days depending on season and weather conditions. Water less in winter and monsoon, slightly more in hot summer months.
- **Tips:** Always allow the soil to dry out completely between waterings. Overwatering is the most common cause of problems with this plant. Water directly into the soil, avoiding the leaves and flowers. Reduce watering significantly during the monsoon season when humidity is high.
## Sunlight
- **Hours per day:** 6 to 8 hours
- **Type:** Direct sunlight. This plant loves full sun and needs it to bloom well. Place it in a sunny spot on a balcony, terrace, or windowsill where it gets strong morning or afternoon sun. It can tolerate the intense Indian summer sun without any issues.
## Care Tips
- Keep the plant in a well-ventilated area with plenty of air circulation, especially during humid monsoon months
- Remove spent flowers to encourage more blooms and keep the plant tidy
- Protect from heavy rains during monsoon as excessive water can cause root rot
- This plant is drought-tolerant and can survive if you forget to water it for a while
- Clean dust from the leaves gently with a soft brush to help the plant absorb sunlight better
- Works beautifully in rock gardens, succulent arrangements, and shallow containers
## Growth Tips
- Use a well-draining cactus or succulent soil mix. You can make your own by mixing regular potting soil with coarse sand and perlite (ratio 1:1:1)
- Plant in terracotta or clay pots with drainage holes as these help excess water evaporate quickly
- Feed with a diluted liquid succulent fertilizer once every 4-6 weeks during the growing season (spring and summer). Do not fertilize in winter
- Repot every 2-3 years in spring when the plant outgrows its container. Use a slightly larger pot
- Propagate easily from offsets (baby plants) that form around the mother plant, or from seeds
## Common Problems
- **Yellow, mushy leaves:** Sign of overwatering. Reduce watering frequency and ensure soil has good drainage
- **No flowers:** Not enough sunlight. Move the plant to a brighter, sunnier location
- **Shriveled leaves:** Underwatering. Water the plant thoroughly and then resume regular watering schedule
- **Root rot:** Caused by waterlogged soil or poor drainage. Use well-draining soil and pots with holes
- **Mealybugs or aphids:** These pests may attack the plant. Remove with a cotton swab dipped in rubbing alcohol or spray with neem oil solution
- **Leggy growth:** Insufficient light causes the plant to stretch. Move to a spot with more direct sunlight
- **Brown leaf tips:** May be due to low humidity or fluoride in tap water. Use rainwater or filtered water if possible</t>
        </is>
      </c>
      <c r="V3" s="98">
        <f>HYPERLINK("https://rosaryplanthouse.com/plant/"&amp;A3&amp;"-"&amp;SUBSTITUTE(LOWER(E3), " ", "-"))</f>
        <v/>
      </c>
      <c r="W3" t="inlineStr">
        <is>
          <t>🟢 Bergeranthus multiceps (ID: 2)
🌼 Brighten your space with the cheerful blooms of the Yellow Ice Plant! This stunning succulent is not just a feast for the eyes but also a breeze to care for. 
🌿 Native to the rocky terrains of South Africa, the Bergeranthus multiceps thrives in dry conditions and loves basking in the sun! With its vibrant yellow flowers and robust green leaves, it’s the perfect addition to any home or garden.
✨ **Key Details:**
- **Watering Needs:** Low - water every 10-14 days
- **Sunlight:** Thrives in 6-8 hours of direct sunlight 
- **Care Tips:** Drought-tolerant &amp; easy to maintain 
👉 Ready to add a splash of sunshine to your collection? **Link in bio!**
#YellowIcePlant #SucculentLove #PlantParent #IndoorPlants #GardenGoals #PlantCare #SucculentCollection #GreenThumb #RosaryPlantHouse #SucculentAddict #FlowerPower #HomeGarden #PlantLovers #NatureInspo</t>
        </is>
      </c>
    </row>
    <row r="4" ht="99.5" customHeight="1">
      <c r="A4" s="73" t="n">
        <v>3</v>
      </c>
      <c r="B4" s="74" t="inlineStr">
        <is>
          <t>Yellow sedum</t>
        </is>
      </c>
      <c r="C4" s="74">
        <f>IF(Local!H4,"1","0")</f>
        <v/>
      </c>
      <c r="D4" s="75" t="n">
        <v>59</v>
      </c>
      <c r="E4" s="66" t="inlineStr">
        <is>
          <t>Sedum lineare</t>
        </is>
      </c>
      <c r="F4" s="76">
        <f>"public/sale_plants/"&amp;A4&amp;".jpg"</f>
        <v/>
      </c>
      <c r="G4" s="77" t="inlineStr">
        <is>
          <t>(2"-3")</t>
        </is>
      </c>
      <c r="H4" s="78" t="inlineStr">
        <is>
          <t>High</t>
        </is>
      </c>
      <c r="I4" s="66" t="inlineStr">
        <is>
          <t>Low</t>
        </is>
      </c>
      <c r="J4" s="66" t="inlineStr">
        <is>
          <t>Medium</t>
        </is>
      </c>
      <c r="K4" s="79" t="n">
        <v>79</v>
      </c>
      <c r="L4" s="81" t="inlineStr">
        <is>
          <t>Sedum</t>
        </is>
      </c>
      <c r="M4" s="80" t="n">
        <v>0</v>
      </c>
      <c r="N4" s="80" t="n">
        <v>1</v>
      </c>
      <c r="O4" s="81" t="n">
        <v>0</v>
      </c>
      <c r="P4" s="81" t="n">
        <v>0</v>
      </c>
      <c r="Q4" s="81">
        <f>IF(Local!I4=TRUE,1,0)</f>
        <v/>
      </c>
      <c r="R4" s="81">
        <f>Local!D4</f>
        <v/>
      </c>
      <c r="S4" s="81">
        <f>Local!F4</f>
        <v/>
      </c>
      <c r="T4" s="81">
        <f>Local!G4</f>
        <v/>
      </c>
      <c r="U4" s="83" t="inlineStr">
        <is>
          <t>## About
Sedum lineare, commonly known as Carpet Sedum or Needle Stonecrop, is a charming low-growing succulent that forms beautiful yellow-green mats of needle-like leaves. This variety produces lovely yellow star-shaped flowers that brighten up any space and is perfect for both indoor and outdoor gardens in India.
## Origin
This succulent originates from East Asia, particularly China and Japan. It naturally grows in rocky areas and mountainous regions where it forms dense carpets over rocks and slopes. It has adapted well to various climates and is now grown worldwide as an ornamental plant.
## Temperature &amp; Humidity
- **Temperature Range:** 15Â°C to 35Â°C
- **Humidity:** Prefers moderate to low humidity levels (30% to 50%). It is quite adaptable and can tolerate the varying humidity levels found across different regions of India, from dry northern plains to more humid coastal areas.
## Growth
Carpet Sedum is a fast-growing succulent that forms dense, spreading mats. It typically grows 10-15 cm tall and can spread up to 30-40 cm wide. The plant has a trailing growth habit, with stems that cascade beautifully over the edges of pots, making it ideal for hanging baskets. The needle-like leaves are bright yellow-green and grow in whorls along the stems. During the blooming season, it produces clusters of small yellow star-shaped flowers that add extra charm to the plant.
## Watering
- **Frequency:** Once every 10-14 days depending on season, weather conditions, and pot size. Water more frequently during hot summer months and reduce watering during monsoon and winter.
- **Tips:** Allow the soil to dry completely between waterings. Water thoroughly until water drains from the bottom holes, but never let the plant sit in standing water. Reduce watering significantly during the monsoon season. Overwatering is the most common mistake with this plant, so when in doubt, wait another day or two before watering.
## Sunlight
- **Hours per day:** 4 to 6 hours
- **Type:** Bright indirect light to partial direct sunlight works best. Morning sun is ideal. Protect from intense afternoon sun during peak summer months (April-June) in India, as it can scorch the leaves. Can tolerate some shade but may lose its bright yellow-green color and become leggy.
## Care Tips
- Provide good air circulation to prevent fungal issues, especially during monsoon season
- Avoid overhead watering; water at the soil level to keep foliage dry
- Trim leggy stems to encourage bushier growth and maintain compact shape
- During Indian summers, move the plant to a spot with afternoon shade
- Protect from excessive monsoon rains if kept outdoorsâ€”provide shelter or bring indoors
- This plant is relatively pest-resistant and low-maintenance
- The yellow-green color intensifies with proper sunlight exposure
- Can tolerate brief periods of drought, making it perfect for busy plant parents
## Growth Tips
- Use well-draining soil mix: combine regular potting soil with cocopeat and perlite or sand in a 1:1:1 ratio
- Add small pieces of charcoal to the soil mix to prevent root rot
- Ensure pots have adequate drainage holes
- Fertilize sparinglyâ€”once every 2-3 months during growing season (spring and early summer) with diluted succulent fertilizer or half-strength balanced liquid fertilizer
- Repot every 1-2 years or when the plant outgrows its container
- Propagate easily through stem cuttingsâ€”just place cuttings in soil and they'll root within 2-3 weeks
- Pinch growing tips occasionally to promote branching and fuller growth
## Common Problems
- **Yellowing and mushy leaves:** Usually caused by overwatering or poor drainage; reduce watering frequency and check drainage holes
- **Leggy growth with pale leaves:** Insufficient sunlight; move to a brighter location
- **Brown, crispy leaf tips:** Too much direct harsh sunlight or underwatering; adjust light exposure and check watering schedule
- **Root rot:** Caused by waterlogged soil; ensure proper drainage and reduce watering
- **Mealybugs:** Small white cottony pests on stems; wipe with cotton dipped in rubbing alcohol
- **Fungal issues:** Can occur during monsoon due to high humidity and poor air circulation; ensure good ventilation and avoid water on leaves
- **Dropping leaves:** Natural shedding of lower leaves as plant grows, but excessive dropping indicates stress from overwatering or extreme temperature changes</t>
        </is>
      </c>
      <c r="V4" s="98">
        <f>HYPERLINK("https://rosaryplanthouse.com/plant/"&amp;A4&amp;"-"&amp;SUBSTITUTE(LOWER(E4), " ", "-"))</f>
        <v/>
      </c>
      <c r="W4" t="inlineStr">
        <is>
          <t>🟢 Yellow Sedum (ID: 3)
🌼 Elevate your garden game with the charming **Yellow Sedum**! This delightful succulent is not just a feast for the eyes but also a low-maintenance companion perfect for any plant parent. 🌱✨
**About the Plant:**  
Sedum lineare, also known as Carpet Sedum or Needle Stonecrop, forms beautiful yellow-green mats of needle-like leaves. Its stunning yellow star-shaped flowers bring a splash of sunshine to your space, making it a fantastic addition for both indoor and outdoor gardens!
**Key Details:**  
🌞 **Sunlight:** Prefers bright indirect light to partial direct sunlight (4-6 hours).  
💧 **Watering:** Low water needs! Water every 10-14 days; let the soil dry completely between waterings.  
🌡️ **Temperature:** Thrives in temperatures between 15°C to 35°C and adapts well to various humidity levels.
👉 Don’t miss out on this gorgeous plant! Grab yours today—Link in bio! 
#YellowSedum #SedumLineare #SucculentLove #GardenGoals #PlantParent #IndoorPlants #OutdoorPlants #SucculentCare #PlantLovers #PlantAddict #RosaryPlantHouse #GreenThumb #HomeDecor #NatureLovers #PlantCommunity</t>
        </is>
      </c>
    </row>
    <row r="5" ht="99.5" customHeight="1">
      <c r="A5" s="73" t="n">
        <v>4</v>
      </c>
      <c r="B5" s="74" t="inlineStr">
        <is>
          <t>Stone</t>
        </is>
      </c>
      <c r="C5" s="74">
        <f>IF(Local!H5,"1","0")</f>
        <v/>
      </c>
      <c r="D5" s="75" t="n">
        <v>49</v>
      </c>
      <c r="E5" s="66" t="inlineStr">
        <is>
          <t>Haworthia cooperi var. truncata</t>
        </is>
      </c>
      <c r="F5" s="76">
        <f>"public/sale_plants/"&amp;A5&amp;".jpg"</f>
        <v/>
      </c>
      <c r="G5" s="77" t="inlineStr">
        <is>
          <t>(1.5"-2.5")</t>
        </is>
      </c>
      <c r="H5" s="78" t="inlineStr">
        <is>
          <t>Low</t>
        </is>
      </c>
      <c r="I5" s="66" t="inlineStr">
        <is>
          <t>Low</t>
        </is>
      </c>
      <c r="J5" s="66" t="inlineStr">
        <is>
          <t>Medium</t>
        </is>
      </c>
      <c r="K5" s="79" t="n">
        <v>59</v>
      </c>
      <c r="L5" s="81" t="inlineStr">
        <is>
          <t>Haworthia</t>
        </is>
      </c>
      <c r="M5" s="80" t="n">
        <v>0</v>
      </c>
      <c r="N5" s="80" t="n">
        <v>0</v>
      </c>
      <c r="O5" s="81" t="n">
        <v>0</v>
      </c>
      <c r="P5" s="80" t="n">
        <v>1</v>
      </c>
      <c r="Q5" s="81">
        <f>IF(Local!I5=TRUE,1,0)</f>
        <v/>
      </c>
      <c r="R5" s="81">
        <f>Local!D5</f>
        <v/>
      </c>
      <c r="S5" s="81">
        <f>Local!F5</f>
        <v/>
      </c>
      <c r="T5" s="81">
        <f>Local!G5</f>
        <v/>
      </c>
      <c r="U5" s="83" t="inlineStr">
        <is>
          <t>## About
Cooper's Haworthia is a beautiful succulent with translucent, lime-green leaves that form a stunning rosette pattern. This small, slow-growing plant is native to South Africa and is perfect for beginners because it is very easy to care for and forgiving of occasional neglect.
## Origin
This plant comes from the Eastern Cape Province of South Africa, where it grows in rocky areas with well-draining soil. In its natural habitat, it often grows under the shade of larger plants or rocks, which protects it from harsh direct sunlight.
## Temperature &amp; Humidity
- **Temperature Range:** 15Â°C to 30Â°C
- **Humidity:** This plant tolerates average to low humidity levels (30% to 50%). It can handle the dry conditions found in most Indian homes very well. However, it does not like very high humidity combined with poor air circulation, as this can lead to rot.
## Growth
Cooper's Haworthia is a small, compact succulent that typically grows to about 5 to 10 cm in height and width. It grows slowly and forms tight rosettes of fleshy, translucent leaves. The plant can produce offsets (baby plants) around the base, which gradually form attractive clusters. It remains small and neat, making it perfect for small pots, dish gardens, or windowsill displays.
## Watering
- **Frequency:** Water once every two weeks depending on season and weather conditions. In winter, reduce watering to once a month or less.
- **Tips:** Always check if the soil is completely dry before watering again. Water thoroughly until water drains out from the bottom, then empty the saucer to avoid waterlogging. Avoid getting water on the leaves or in the center of the rosette to prevent rot. During the monsoon season, reduce watering frequency as the air is more humid.
## Sunlight
- **Hours per day:** 3 to 4 hours
- **Type:** Bright indirect light or filtered morning sunlight. Avoid harsh afternoon sun, especially in Indian summers, as it can burn the translucent leaves and cause them to turn brown or red. A spot near an east-facing window or under a shade net outdoors works perfectly.
## Care Tips
- Keep the plant in a well-ventilated area to prevent fungal issues, especially during humid monsoon months.
- Avoid placing it in direct afternoon sun during Indian summers (April to June) as the intense heat can damage the delicate leaves.
- This plant is perfect for air-conditioned rooms and can tolerate the dry air from coolers and ACs.
- Clean the leaves gently with a soft brush to remove dust and allow better light absorption.
- Protect from heavy rain during monsoons; bring potted plants under a roof or shelter.
## Growth Tips
- Use a well-draining cactus or succulent potting mix. You can make your own by mixing regular potting soil with coarse sand and perlite in a 1:1:1 ratio.
- Fertilize sparingly, only once in spring or early summer with a diluted (half-strength) succulent fertilizer.
- Repot every 2 to 3 years or when the plant outgrows its pot. Spring is the best time for repotting.
- Use a terracotta or clay pot as it allows better air circulation and helps soil dry faster, reducing the risk of root rot.
## Common Problems
- **Brown or mushy leaves:** Usually caused by overwatering or water sitting in the rosette. Reduce watering frequency and ensure good drainage.
- **Stretched or elongated growth:** This happens when the plant does not get enough light. Move it to a brighter spot with indirect sunlight.
- **Brown or reddish leaves:** Sign of too much direct sunlight or sunburn. Move the plant to a shadier location.
- **Shriveled or wrinkled leaves:** Underwatering. Give the plant a good soak and adjust your watering schedule.
- **Mealybugs or aphids:** Check leaf joints and the base regularly. Remove pests with a cotton swab dipped in rubbing alcohol or use neem oil spray.</t>
        </is>
      </c>
      <c r="V5" s="98">
        <f>HYPERLINK("https://rosaryplanthouse.com/plant/"&amp;A5&amp;"-"&amp;SUBSTITUTE(LOWER(E5), " ", "-"))</f>
        <v/>
      </c>
      <c r="W5" t="inlineStr">
        <is>
          <t>🟢 Haworthia cooperi var. truncata (ID: 4)
🌿 Meet the charming Cooper's Haworthia, your new favorite succulent! With its stunning rosette of translucent, lime-green leaves, this little gem is perfect for both seasoned plant parents and beginners alike. ✨
🌱 This compact beauty is native to South Africa and thrives in well-draining soils. It's a low-maintenance friend that requires minimal watering and loves bright indirect light. Cooper's Haworthia will effortlessly brighten your indoor spaces while being forgiving of occasional neglect! 
**Key Details:**
- **Watering:** Low - every two weeks (less in winter)
- **Sunlight:** Medium - 3-4 hours of bright, indirect light
- **Temperature:** 15°C to 30°C, loves dry conditions
💚 Ready to add this stunning succulent to your home? Check out the full details and get yours today! Link in bio.
#Haworthia #SucculentLove #IndoorPlants #PlantParent #HousePlants #PlantCare #SucculentCollection #RosaryPlantHouse #GreenThumb #PlantGoals #SucculentAddict #HomeDecor #NatureLovers</t>
        </is>
      </c>
    </row>
    <row r="6" ht="99.5" customHeight="1">
      <c r="A6" s="73" t="n">
        <v>5</v>
      </c>
      <c r="B6" s="74" t="inlineStr">
        <is>
          <t>Peanut Cactus</t>
        </is>
      </c>
      <c r="C6" s="74">
        <f>IF(Local!H6,"1","0")</f>
        <v/>
      </c>
      <c r="D6" s="75" t="n">
        <v>79</v>
      </c>
      <c r="E6" s="66" t="inlineStr">
        <is>
          <t>Chamaecereus silvestrii</t>
        </is>
      </c>
      <c r="F6" s="76">
        <f>"public/sale_plants/"&amp;A6&amp;".jpg"</f>
        <v/>
      </c>
      <c r="G6" s="77" t="inlineStr">
        <is>
          <t>(2"-3")</t>
        </is>
      </c>
      <c r="H6" s="78" t="inlineStr">
        <is>
          <t>Moderate</t>
        </is>
      </c>
      <c r="I6" s="66" t="inlineStr">
        <is>
          <t>Low</t>
        </is>
      </c>
      <c r="J6" s="66" t="inlineStr">
        <is>
          <t>High</t>
        </is>
      </c>
      <c r="K6" s="79" t="n">
        <v>69</v>
      </c>
      <c r="L6" s="81" t="inlineStr">
        <is>
          <t>Cactus</t>
        </is>
      </c>
      <c r="M6" s="80" t="n">
        <v>0</v>
      </c>
      <c r="N6" s="80" t="n">
        <v>0</v>
      </c>
      <c r="O6" s="81" t="n">
        <v>0</v>
      </c>
      <c r="P6" s="80" t="n">
        <v>0</v>
      </c>
      <c r="Q6" s="81">
        <f>IF(Local!I6=TRUE,1,0)</f>
        <v/>
      </c>
      <c r="R6" s="81">
        <f>Local!D6</f>
        <v/>
      </c>
      <c r="S6" s="81">
        <f>Local!F6</f>
        <v/>
      </c>
      <c r="T6" s="81">
        <f>Local!G6</f>
        <v/>
      </c>
      <c r="U6" s="83" t="inlineStr">
        <is>
          <t>## About
The Peanut Cactus is a small, clustering cactus that produces stunning bright red-orange flowers. It gets its name from the finger-like stems that resemble peanuts in shape. This easy-to-care-for cactus is perfect for beginners and brings a splash of color when it blooms.
## Origin
The Peanut Cactus is native to the mountain regions of Argentina in South America. It grows naturally in rocky areas at high altitudes where conditions are dry and sunny. The plant has adapted to survive in poor soil with minimal water.
## Temperature &amp; Humidity
- **Temperature Range:** 15Â°C to 35Â°C (can tolerate brief drops to 5Â°C during winter dormancy)
- **Humidity:** Low to moderate humidity (30% to 50%). This cactus prefers dry conditions and does not need high humidity. It adapts well to Indian climate conditions, especially in drier regions.
## Growth
The Peanut Cactus is a low-growing plant that spreads horizontally rather than growing tall. Each stem grows about 10-15 cm long and 1-2 cm thick. The plant forms clusters as it produces many offsets (baby plants) from the base. Growth is moderate, and the plant can spread to about 30 cm wide over time. The stems are covered with soft white spines that give it a fuzzy appearance.
## Watering
- **Frequency:** Once every 10-15 days depending on season and weather conditions. During monsoon, reduce watering significantly. In winter (dormancy period), water only once a month.
- **Tips:** Always check if the soil is completely dry before watering. Water deeply but allow all excess water to drain out completely. Never let the plant sit in water as this causes root rot. During hot Indian summers, you may need to water slightly more often, but always ensure the soil dries out between waterings.
## Sunlight
- **Hours per day:** 4 to 6 hours
- **Type:** Direct sunlight is best. The plant needs good light to produce its beautiful flowers. In extremely hot Indian summers (above 40Â°C), provide some afternoon shade to prevent sunburn. Morning sun is ideal.
## Care Tips
- **Flowering:** The cactus blooms in spring and early summer. To encourage flowering, give the plant a cool, dry rest period in winter with reduced watering
- **Drainage:** Use a pot with drainage holes. Good drainage is essential for this cactus
- **Placement:** Can be grown indoors near a sunny window or outdoors in bright light
- **Protection:** During heavy monsoon rains, move potted plants under shelter to prevent overwatering
- **Handling:** Be gentle when handling as the stems can detach easily, but this is also how the plant propagates naturally
- **Air circulation:** Ensure good air flow around the plant to prevent fungal issues in humid conditions
## Growth Tips
- **Soil:** Use a well-draining cactus or succulent mix. You can make your own by mixing regular potting soil with coarse sand and perlite in equal parts
- **Fertilizer:** Feed with a diluted cactus fertilizer once a month during the growing season (spring and summer). Stop fertilizing in winter
- **Repotting:** Repot every 2-3 years in spring when the plant becomes crowded. Use a shallow, wide pot as the roots are shallow
- **Propagation:** Very easy to propagate. Simply remove an offset (baby stem), let it dry for 2-3 days, then place it on cactus soil. It will root within a few weeks
## Common Problems
- **No flowers:** Usually caused by insufficient sunlight or lack of winter rest period. Give more light and reduce watering in winter
- **Root rot:** Caused by overwatering or poor drainage. Stems turn soft and mushy. Reduce watering and improve soil drainage
- **Shriveling stems:** Sign of underwatering. Increase watering frequency slightly
- **Yellow or brown spots:** Sunburn from too much intense afternoon sun. Provide some shade during hottest hours
- **Mealybugs:** White cotton-like insects on stems. Remove with cotton swab dipped in alcohol
- **Scale insects:** Small brown bumps on stems. Scrape off gently and treat with neem oil
- **Stem rot:** Caused by excess moisture and poor air circulation during monsoon. Ensure good ventilation and protect from rain</t>
        </is>
      </c>
      <c r="V6" s="98">
        <f>HYPERLINK("https://rosaryplanthouse.com/plant/"&amp;A6&amp;"-"&amp;SUBSTITUTE(LOWER(E6), " ", "-"))</f>
        <v/>
      </c>
      <c r="W6" t="inlineStr">
        <is>
          <t>🟢 Chamaecereus silvestrii (ID: 5)
🌵 Brighten up your space with the charming Peanut Cactus! This delightful plant is not only easy to care for but also boasts stunning bright red-orange flowers that will steal the spotlight in any setting. 
✨ Originating from the rugged mountains of Argentina, the Peanut Cactus thrives in dry and sunny conditions, making it a perfect match for your home! Its unique finger-like stems resemble peanuts and create a lovely clustering effect. 
🌞 **Key Details:**
- **Watering:** Low - once every 10-15 days 
- **Sunlight:** High - 4 to 6 hours of direct sunlight daily
- **Growth:** Moderate, forming beautiful clusters over time
Ready to add a pop of color to your plant collection? 🌼 Link in bio!
#PeanutCactus #ChamaecereusSilvestrii #CactusLovers #PlantParenthood #IndoorPlants #PlantCare #HomeDecor #Gardening #Succulent #RosaryPlantHouse</t>
        </is>
      </c>
    </row>
    <row r="7" ht="99.5" customHeight="1">
      <c r="A7" s="73" t="n">
        <v>6</v>
      </c>
      <c r="B7" s="74" t="inlineStr">
        <is>
          <t>Lakshmi Kamal</t>
        </is>
      </c>
      <c r="C7" s="74">
        <f>IF(Local!H7,"1","0")</f>
        <v/>
      </c>
      <c r="D7" s="75" t="n">
        <v>79</v>
      </c>
      <c r="E7" s="66" t="inlineStr">
        <is>
          <t>Sempervivum tectorum</t>
        </is>
      </c>
      <c r="F7" s="76">
        <f>"public/sale_plants/"&amp;A7&amp;".jpg"</f>
        <v/>
      </c>
      <c r="G7" s="77" t="inlineStr">
        <is>
          <t>(2"-3")</t>
        </is>
      </c>
      <c r="H7" s="78" t="inlineStr">
        <is>
          <t>Low</t>
        </is>
      </c>
      <c r="I7" s="66" t="inlineStr">
        <is>
          <t>Low</t>
        </is>
      </c>
      <c r="J7" s="66" t="inlineStr">
        <is>
          <t>High</t>
        </is>
      </c>
      <c r="K7" s="79" t="n">
        <v>79</v>
      </c>
      <c r="L7" s="80" t="inlineStr">
        <is>
          <t>Succulent</t>
        </is>
      </c>
      <c r="M7" s="80" t="n">
        <v>0</v>
      </c>
      <c r="N7" s="80" t="n">
        <v>0</v>
      </c>
      <c r="O7" s="81" t="n">
        <v>0</v>
      </c>
      <c r="P7" s="81" t="n">
        <v>0</v>
      </c>
      <c r="Q7" s="81">
        <f>IF(Local!I7=TRUE,1,0)</f>
        <v/>
      </c>
      <c r="R7" s="81">
        <f>Local!D7</f>
        <v/>
      </c>
      <c r="S7" s="81">
        <f>Local!F7</f>
        <v/>
      </c>
      <c r="T7" s="81">
        <f>Local!G7</f>
        <v/>
      </c>
      <c r="U7" s="82" t="inlineStr">
        <is>
          <t>## About
Sempervivum, commonly known as Hens and Chicks, is a beautiful rosette-forming succulent that gets its name from the way it produces baby plants (chicks) around the mother plant (hen). This hardy succulent is loved by beginners and experts alike for its easy care and attractive appearance.
## Origin
Sempervivum is native to the mountainous regions of Europe, particularly the Alps and Pyrenees. It naturally grows in rocky, well-drained areas at high altitudes. The name "Sempervivum" means "always living" in Latin, referring to the plant's incredible ability to survive harsh conditions.
## Temperature &amp; Humidity
- **Temperature Range:** 15Â°C to 35Â°C (can tolerate higher temperatures in Indian summers with proper care)
- **Humidity:** Low to moderate humidity (30% to 50%). This plant prefers drier conditions and does not need high humidity to thrive.
## Growth
Sempervivum forms tight rosettes that typically grow 5 to 15 cm in diameter. The mother plant produces offsets (baby plants) on short stolons, creating a clustered appearance. Growth is moderate to slow, and the plant spreads outward rather than upward. The rosettes stay compact and low-growing, making them perfect for small pots, rock gardens, and dish gardens.
## Watering
- **Frequency:** Once every 10-14 days depending on other parameters like season, temperature, and pot size. Water less in monsoon and winter, slightly more in summer.
- **Tips:** Allow the soil to dry out completely between waterings. Water at the base of the plant, avoiding water on the rosette center as this can cause rot. Reduce watering during the rainy season. Use the "soak and dry" methodâ€”water thoroughly and then wait until soil is completely dry.
## Sunlight
- **Hours per day:** 4 to 6 hours
- **Type:** Direct sunlight is best. Morning sun is ideal in hot Indian summers. Can tolerate bright indirect light indoors but colors will be more vibrant with direct sun exposure.
## Care Tips
- Keep the plant in a well-ventilated area to prevent fungal issues, especially during humid monsoon months
- Avoid overwatering during the monsoon seasonâ€”this is the most common cause of plant death
- In extreme summer heat (above 40Â°C), provide some afternoon shade to prevent leaf burn
- Remove dead or dried lower leaves regularly to keep the plant healthy
- The plant can survive light frost but protect it during unexpected cold snaps in North India
- If keeping indoors, place near a sunny window (south or west facing)
## Growth Tips
- Use a well-draining succulent or cactus soil mixâ€”you can make your own by mixing regular soil with cocopeat and sand in a 1:1:1 ratio
- Add perlite or small gravel to improve drainage
- Fertilize very sparinglyâ€”once in spring and once in early autumn with diluted liquid succulent fertilizer (quarter strength)
- Repot every 2-3 years or when the plant becomes too crowded
- Choose shallow, wide pots with drainage holes rather than deep pots
- Top-dress with small pebbles or gravel for a neat appearance and to prevent soil splash
## Common Problems
- **Rot at the base or center:** Caused by overwatering or water collecting in the rosette center. Always water at the soil level
- **Stretching (etiolation):** The rosette becomes loose and elongated due to insufficient sunlight. Move to a brighter location
- **Brown, crispy leaf tips:** Usually caused by intense direct sun during peak summer afternoon. Provide light shade during 12 PM to 3 PM
- **Mealybugs:** Small white cottony pests that hide between leaves. Remove with cotton swabs dipped in rubbing alcohol
- **Fungal infections:** Brown spots or mushy leaves during monsoon due to high humidity and poor air circulation. Improve ventilation and reduce watering
- **Mother plant dying after flowering:** This is naturalâ€”Sempervivum is monocarpic (dies after flowering), but the chicks will continue growing</t>
        </is>
      </c>
      <c r="V7" s="98">
        <f>HYPERLINK("https://rosaryplanthouse.com/plant/"&amp;A7&amp;"-"&amp;SUBSTITUTE(LOWER(E7), " ", "-"))</f>
        <v/>
      </c>
      <c r="W7" t="inlineStr">
        <is>
          <t>🟢 Sempervivum Tectorum (ID: 6)
🌱 Meet the stunning Lakshmi Kamal, also known as Hens and Chicks! This hardy succulent is a must-have for both novice and seasoned plant lovers. With its charming rosette formations and low-maintenance care, it’s perfect for adding a touch of green to your space!
✨ **About:** Originating from the majestic mountains of Europe, Sempervivum thrives in rocky terrains. Its name means "always living," and it truly embodies resilience with its ability to flourish in challenging conditions.
🌞 **Key Details:**
- **Watering:** Low; allow the soil to dry out completely between waterings.
- **Sunlight:** Loves bright, direct sunlight; 4-6 hours is ideal for vibrant colors!
- **Care Tips:** Keep in a well-ventilated area, avoid overwatering, and protect from extreme heat.
👉 Ready to welcome Lakshmi Kamal into your home? Click the link in bio to explore more!
#RosaryPlantHouse #Sempervivum #HensAndChicks #SucculentLove #PlantParent #IndoorPlants #GardeningJoy #PlantCare #GreenThumb #SucculentGarden #PlantLovers #HomeDecor #NatureInspo #PlantAddict #HousePlants #CactusAndSucculents #Greenery</t>
        </is>
      </c>
    </row>
    <row r="8" ht="99.5" customHeight="1">
      <c r="A8" s="73" t="n">
        <v>7</v>
      </c>
      <c r="B8" s="74" t="inlineStr">
        <is>
          <t>White Lotus</t>
        </is>
      </c>
      <c r="C8" s="74">
        <f>IF(Local!H8,"1","0")</f>
        <v/>
      </c>
      <c r="D8" s="75" t="n">
        <v>89</v>
      </c>
      <c r="E8" s="66" t="inlineStr">
        <is>
          <t>Echeveria 'White Lotus'</t>
        </is>
      </c>
      <c r="F8" s="76">
        <f>"public/sale_plants/"&amp;A8&amp;".jpg"</f>
        <v/>
      </c>
      <c r="G8" s="77" t="inlineStr">
        <is>
          <t>(2"-3")</t>
        </is>
      </c>
      <c r="H8" s="78" t="inlineStr">
        <is>
          <t>Low</t>
        </is>
      </c>
      <c r="I8" s="66" t="inlineStr">
        <is>
          <t>Low</t>
        </is>
      </c>
      <c r="J8" s="66" t="inlineStr">
        <is>
          <t>High</t>
        </is>
      </c>
      <c r="K8" s="79" t="n">
        <v>99</v>
      </c>
      <c r="L8" s="81" t="inlineStr">
        <is>
          <t>Echeveria</t>
        </is>
      </c>
      <c r="M8" s="80" t="n">
        <v>0</v>
      </c>
      <c r="N8" s="80" t="n">
        <v>0</v>
      </c>
      <c r="O8" s="81" t="n">
        <v>0</v>
      </c>
      <c r="P8" s="80" t="n">
        <v>0</v>
      </c>
      <c r="Q8" s="81">
        <f>IF(Local!I8=TRUE,1,0)</f>
        <v/>
      </c>
      <c r="R8" s="81">
        <f>Local!D8</f>
        <v/>
      </c>
      <c r="S8" s="81">
        <f>Local!F8</f>
        <v/>
      </c>
      <c r="T8" s="81">
        <f>Local!G8</f>
        <v/>
      </c>
      <c r="U8" s="83" t="inlineStr">
        <is>
          <t>## About
The White Lotus Echeveria is a stunning succulent with beautiful pale blue-green to silvery-white leaves arranged in a perfect rosette shape, resembling a blooming lotus flower. This hybrid variety is popular among succulent collectors for its elegant appearance and relatively easy care requirements.
## Origin
This Echeveria is a cultivated hybrid variety, though the parent species originate from Mexico and Central America. Echeverias naturally grow in rocky, mountainous regions where they receive plenty of sunlight and have excellent drainage.
## Temperature &amp; Humidity
- **Temperature Range:** 15Â°C to 35Â°C (ideal range is 18Â°C to 28Â°C)
- **Humidity:** Low to moderate humidity (30% to 50%). This plant tolerates dry conditions well and does not require high humidity. It can adapt to most Indian climates, though extra care is needed during monsoon season to prevent excess moisture.
## Growth
White Lotus Echeveria is a slow to moderate growing succulent that forms compact rosettes typically reaching 8 to 12 cm in diameter. The plant stays relatively small and grows in a neat, symmetrical pattern. It produces offsets (baby plants) around the base, which can be used for propagation. The rosette remains low-growing and maintains its attractive shape throughout the year.
## Watering
- **Frequency:** Once every 10-14 days depending on season and weather conditions. Water less during monsoon and winter, more during hot summer months.
- **Tips:** Always water deeply but allow the soil to dry out completely between waterings. Water at the base of the plant, avoiding the rosette center to prevent rot. During Indian summers, check soil moisture more frequently. In monsoon season, reduce watering significantly or stop altogether if the plant receives rain. Use the "soak and dry" method for best results.
## Sunlight
- **Hours per day:** 4 to 6 hours
- **Type:** Bright direct morning sunlight is ideal. Provide filtered or indirect light during harsh afternoon sun, especially in Indian summers when temperatures exceed 35Â°C. The plant develops its best color with adequate sunlight. If kept indoors, place near a south or east-facing window.
## Care Tips
- Protect from heavy monsoon rains by moving under a covered area or indoors
- Avoid overhead watering to prevent water from collecting in the rosette
- Clean dust from leaves gently with a soft brush to help the plant photosynthesize better
- During Indian summers (April-June), provide afternoon shade to prevent leaf burn
- Ensure excellent air circulation to prevent fungal issues during humid months
- The pale coating on leaves (farina) is natural protection - avoid touching leaves unnecessarily
- Can be kept indoors but needs a bright spot near a window
## Growth Tips
- Use well-draining cactus or succulent soil mix with added perlite or cocopeat (50-60% soil, 40-50% drainage material)
- Add a layer of small stones or gravel on top of soil to prevent stem rot
- Fertilize sparingly - once every 2-3 months during growing season (spring and autumn) with diluted succulent fertilizer
- Repot every 2-3 years or when the plant outgrows its container
- Use terracotta or clay pots for better drainage and air circulation
- Propagate from offsets or leaf cuttings during spring or early summer
## Common Problems
- **Overwatering:** Leads to root rot, mushy leaves, and blackened stems. Most common during monsoon.
- **Etiolation (stretching):** Caused by insufficient light. The rosette becomes loose and leggy. Move to brighter location.
- **Sunburn:** Brown or white patches on leaves from too much direct harsh sunlight. Provide afternoon shade.
- **Mealybugs:** White cottony pests in leaf crevices. Remove with rubbing alcohol on cotton swab.
- **Shriveled leaves:** Sign of underwatering. Water thoroughly and adjust watering schedule.
- **Leaf drop:** Natural for bottom leaves, but excessive dropping indicates watering issues.
- **Fungal rot:** Black spots or mushy center caused by water retention in rosette or high humidity during monsoon.</t>
        </is>
      </c>
      <c r="V8" s="98">
        <f>HYPERLINK("https://rosaryplanthouse.com/plant/"&amp;A8&amp;"-"&amp;SUBSTITUTE(LOWER(E8), " ", "-"))</f>
        <v/>
      </c>
      <c r="W8" t="inlineStr">
        <is>
          <t>🟢 Echeveria 'White Lotus' (ID: 7)
🌸 Dive into tranquility with our stunning White Lotus Echeveria! This beautiful succulent features pale blue-green to silvery-white leaves perfectly arranged in a rosette, reminiscent of a blooming lotus flower. Perfect for both seasoned collectors and beginners!
✨ **About**: The White Lotus Echeveria is a cultivated hybrid, thriving in rocky regions of Mexico and Central America. With its elegant look and low care demands, it's a must-have in your plant collection.
🌞 **Key Details**:
- **Watering**: Low; water every 10-14 days.
- **Sunlight**: High; thrives in 4-6 hours of bright morning light.
- **Care Tips**: Protect from heavy rains and ensure good air circulation.
👉 Ready to bring this beauty home? Link in bio!
#Echeveria #WhiteLotus #SucculentLove #HousePlants #PlantParenthood #IndoorPlants #PlantCollection #SucculentCare #GreenThumb #PlantStyle #HomeDecor #RosaryPlantHouse</t>
        </is>
      </c>
    </row>
    <row r="9" ht="99.5" customHeight="1">
      <c r="A9" s="73" t="n">
        <v>8</v>
      </c>
      <c r="B9" s="74" t="inlineStr">
        <is>
          <t>Jade miniature</t>
        </is>
      </c>
      <c r="C9" s="74">
        <f>IF(Local!H9,"1","0")</f>
        <v/>
      </c>
      <c r="D9" s="75" t="n">
        <v>59</v>
      </c>
      <c r="E9" s="66" t="inlineStr">
        <is>
          <t>Crassula portulacea</t>
        </is>
      </c>
      <c r="F9" s="76">
        <f>"public/sale_plants/"&amp;A9&amp;".jpg"</f>
        <v/>
      </c>
      <c r="G9" s="77" t="inlineStr">
        <is>
          <t>(2"-3")</t>
        </is>
      </c>
      <c r="H9" s="78" t="inlineStr">
        <is>
          <t>Low</t>
        </is>
      </c>
      <c r="I9" s="66" t="inlineStr">
        <is>
          <t>Low</t>
        </is>
      </c>
      <c r="J9" s="66" t="inlineStr">
        <is>
          <t>Medium</t>
        </is>
      </c>
      <c r="K9" s="79" t="n">
        <v>59</v>
      </c>
      <c r="L9" s="81" t="inlineStr">
        <is>
          <t>Jade</t>
        </is>
      </c>
      <c r="M9" s="80" t="n">
        <v>0</v>
      </c>
      <c r="N9" s="80" t="n">
        <v>0</v>
      </c>
      <c r="O9" s="81" t="n">
        <v>0</v>
      </c>
      <c r="P9" s="80" t="n">
        <v>1</v>
      </c>
      <c r="Q9" s="81" t="n">
        <v>1</v>
      </c>
      <c r="R9" s="81">
        <f>Local!D9</f>
        <v/>
      </c>
      <c r="S9" s="81">
        <f>Local!F9</f>
        <v/>
      </c>
      <c r="T9" s="81">
        <f>Local!G9</f>
        <v/>
      </c>
      <c r="U9" s="83" t="inlineStr">
        <is>
          <t>## About
The Jade Plant, scientifically known as Crassula portulacea, is a popular succulent loved for its thick, glossy, oval-shaped leaves that look like shiny green coins. This easy-to-care-for plant is often considered a symbol of good luck and prosperity, making it a favorite choice for homes and offices across India.
## Origin
The Jade Plant is native to South Africa and Mozambique, where it grows in rocky, dry areas. It has adapted well to various climates around the world, including the diverse weather conditions found across India.
## Temperature &amp; Humidity
- **Temperature Range:** 15Â°C to 35Â°C
- **Humidity:** The Jade Plant prefers low to moderate humidity levels, typically between 30% to 50%. It can tolerate the dry air found in most Indian homes, making it an excellent indoor plant. It thrives in the warm climate of India but should be protected from extreme cold below 10Â°C.
## Growth
Jade Plants grow slowly but steadily, eventually reaching heights of 30 cm to 90 cm when grown indoors. They can grow taller outdoors with proper care. The plant has a tree-like appearance with thick, woody stems and branches. It forms a compact, bushy shape with plump, rounded leaves that store water. New growth appears at the tips of branches, and the plant can live for many years, even decades, with proper care.
## Watering
- **Frequency:** Water once every 10-14 days depending on season and weather conditions. In summer, water once a week depending on other parameters. In winter and monsoon, reduce watering to once every 2-3 weeks depending on other parameters.
- **Tips:** Always allow the soil to dry out completely between waterings. Jade Plants are succulents and store water in their leaves, so they prefer to stay on the drier side. Water less during the monsoon season. Check the soil with your fingerâ€”if it feels moist, wait before watering. Overwatering is the most common cause of problems with Jade Plants. Use pots with drainage holes to prevent water from sitting at the bottom.
## Sunlight
- **Hours per day:** 4 to 6 hours
- **Type:** Bright indirect light or a few hours of direct morning sunlight. The plant can tolerate some direct sun, especially morning sun, but should be protected from harsh afternoon sun during peak summer months in India, which can scorch the leaves.
## Care Tips
- Place near a bright window where it gets good light but not harsh afternoon sun
- Rotate the pot occasionally so all sides of the plant receive equal light
- Wipe the leaves gently with a damp cloth every few weeks to remove dust and keep them shiny
- Protect from heavy rain during monsoonâ€”bring potted plants under shelter
- Keep away from cold drafts during winter, especially in North India
- The plant is pet-friendly concerns aside, but keep away from curious pets as ingestion can cause mild stomach upset
- Prune leggy growth to maintain a compact, bushy shape
## Growth Tips
- Use well-draining soilâ€”a mix of regular potting soil, cocopeat, and sand or perlite works well
- You can also use a special cactus and succulent soil mix
- Feed with a balanced liquid fertilizer diluted to half strength once a month during the growing season (spring and summer)
- Avoid fertilizing during winter when the plant is resting
- Repot every 2-3 years in spring using a slightly larger pot
- The plant prefers being slightly root-bound, so don't use too large a pot
- Jade Plants are easy to propagate from leaf or stem cuttingsâ€”just let the cutting dry for a day or two before planting
## Common Problems
- **Wrinkled, soft leaves:** Sign of underwateringâ€”give the plant a good drink
- **Yellow, mushy leaves:** Overwatering is the causeâ€”reduce watering frequency and check for root rot
- **Leaf drop:** Can be caused by overwatering, underwatering, or sudden temperature changes
- **Leggy growth with large gaps between leaves:** Not enough lightâ€”move to a brighter location
- **Brown spots on leaves:** Sunburn from too much direct harsh sunâ€”provide some shade during peak hours
- **Mealybugs:** White cottony pests that appear in leaf jointsâ€”wipe off with alcohol-soaked cotton or spray with neem oil solution
- **Root rot:** Caused by overwatering and poor drainageâ€”use well-draining soil and pots with holes
- **Slow growth:** Normal for Jade Plants, but if concerned, check that it's getting enough light and occasional fertilizer during growing season</t>
        </is>
      </c>
      <c r="V9" s="98">
        <f>HYPERLINK("https://rosaryplanthouse.com/plant/"&amp;A9&amp;"-"&amp;SUBSTITUTE(LOWER(E9), " ", "-"))</f>
        <v/>
      </c>
      <c r="W9" t="inlineStr">
        <is>
          <t>🟢 Jade Miniature (ID: 8)  
🌱 Meet the enchanting Crassula portulacea, also known as the Jade Miniature! This charming succulent is not just a pretty face; it's a symbol of good luck and prosperity, making it perfect for your home or office. ✨  
With its thick, glossy leaves resembling shiny green coins, the Jade Miniature is a low-maintenance plant that thrives in bright, indirect sunlight. An ideal companion for those who love greenery without the fuss! 🌞  
**Key Details:**  
- 🌿 **Watering:** Low, every 10-14 days  
- ☀️ **Sunlight:** Medium, 4-6 hours of bright indirect light  
- 🌡️ **Temperature:** Prefers 15°C to 35°C, tolerates low to moderate humidity  
Ready to add a touch of green to your space? 🌟 Click the link in bio to bring home your very own Jade Miniature!  
#RosaryPlantHouse #JadePlant #CrassulaPortulacea #SucculentLove #IndoorPlants #PlantParent #GreenThumb #PlantGoals #HomeDecor #GoodLuckPlant #SucculentCare #HousePlants #PlantLovers #NatureInYourHome</t>
        </is>
      </c>
    </row>
    <row r="10" ht="99.5" customHeight="1">
      <c r="A10" s="73" t="n">
        <v>9</v>
      </c>
      <c r="B10" s="74" t="inlineStr">
        <is>
          <t>string of necklace</t>
        </is>
      </c>
      <c r="C10" s="74">
        <f>IF(Local!H10,"1","0")</f>
        <v/>
      </c>
      <c r="D10" s="75" t="n">
        <v>59</v>
      </c>
      <c r="E10" s="66" t="inlineStr">
        <is>
          <t>Senecio radicans</t>
        </is>
      </c>
      <c r="F10" s="76">
        <f>"public/sale_plants/"&amp;A10&amp;".jpg"</f>
        <v/>
      </c>
      <c r="G10" s="77" t="inlineStr">
        <is>
          <t>(3"-4")</t>
        </is>
      </c>
      <c r="H10" s="78" t="inlineStr">
        <is>
          <t>Moderate</t>
        </is>
      </c>
      <c r="I10" s="66" t="inlineStr">
        <is>
          <t>Low</t>
        </is>
      </c>
      <c r="J10" s="66" t="inlineStr">
        <is>
          <t>Medium</t>
        </is>
      </c>
      <c r="K10" s="79" t="n">
        <v>69</v>
      </c>
      <c r="L10" s="81" t="inlineStr">
        <is>
          <t>Succulent</t>
        </is>
      </c>
      <c r="M10" s="80" t="n">
        <v>0</v>
      </c>
      <c r="N10" s="80" t="n">
        <v>0</v>
      </c>
      <c r="O10" s="81" t="n">
        <v>0</v>
      </c>
      <c r="P10" s="81" t="n">
        <v>0</v>
      </c>
      <c r="Q10" s="81">
        <f>IF(Local!I10=TRUE,1,0)</f>
        <v/>
      </c>
      <c r="R10" s="81">
        <f>Local!D10</f>
        <v/>
      </c>
      <c r="S10" s="81">
        <f>Local!F10</f>
        <v/>
      </c>
      <c r="T10" s="81">
        <f>Local!G10</f>
        <v/>
      </c>
      <c r="U10" s="83" t="inlineStr">
        <is>
          <t>## About
String of Necklace is a beautiful trailing succulent with unique curved, banana-shaped leaves that grow along thin purple stems. This plant produces small yellow flowers and is perfect for hanging baskets or elevated planters where its cascading stems can be displayed beautifully.
## Origin
This plant is native to South Africa, where it grows in rocky areas and dry regions. It belongs to the Asteraceae family and is closely related to the popular String of Bananas plant. It has adapted to survive in arid conditions with minimal water.
## Temperature &amp; Humidity
- **Temperature Range:** 15Â°C to 35Â°C
- **Humidity:** This plant prefers low to moderate humidity levels between 30% to 50%. It adapts well to the dry conditions common in many parts of India and does not require high humidity to thrive.
## Growth
String of Necklace is a fast-growing trailing succulent that can reach lengths of 60 to 90 cm or more as it matures. The stems grow downward and spread out, making it ideal for hanging pots or shelf displays. The plant produces clusters of curved, fleshy leaves along purple-tinged stems. Growth is especially vigorous during the warmer months of spring and summer.
## Watering
- **Frequency:** Once every 10-14 days depending on season and weather conditions. Water less frequently during monsoon and winter months.
- **Tips:** Always allow the soil to dry out completely between waterings. Check the soil by inserting your finger about 2-3 cm deep - if it feels dry, it's time to water. Water thoroughly until it drains from the bottom holes. Reduce watering in winter when growth slows down. Overwatering is the most common cause of problems with this plant. The fleshy leaves store water, so the plant can handle some neglect better than frequent watering.
## Sunlight
- **Hours per day:** 4 to 6 hours
- **Type:** Bright indirect light with some direct morning sunlight. Can tolerate a few hours of gentle direct sun, but avoid harsh afternoon sun which can scorch the leaves. Filtered light through a curtain works well for indoor placement.
## Care Tips
- Place in a bright spot near an east or north-facing window for best results in Indian homes
- Protect from intense afternoon sun during summer months, especially in hot regions
- Ensure good air circulation around the plant to prevent fungal issues during humid monsoon season
- Use a well-draining pot with drainage holes to prevent water logging
- The plant can handle heat well but protect from temperatures below 10Â°C in winter
- Rotate the hanging basket occasionally for even growth on all sides
- Remove any dead or dried stems to keep the plant looking tidy
## Growth Tips
- Use a well-draining cactus or succulent potting mix, or make your own by mixing regular potting soil with sand and perlite in equal parts
- Feed with a diluted succulent fertilizer once every 4-6 weeks during the growing season (spring and summer)
- Avoid fertilizing during winter when the plant is dormant
- Repot every 2-3 years or when the plant becomes root-bound, preferably in spring
- Choose a slightly larger pot when repotting, as too large a pot can hold excess moisture
- Propagate easily by taking stem cuttings and letting them dry for a day before planting in soil
- Prune leggy stems to encourage bushier growth
## Common Problems
- **Yellow, mushy leaves:** This is a sign of overwatering. Reduce watering frequency and ensure the pot has proper drainage
- **Shriveled, wrinkled leaves:** The plant needs water. Give it a thorough watering and adjust your schedule
- **Leggy growth with sparse leaves:** Not enough light. Move the plant to a brighter location
- **Brown, crispy leaves:** Too much direct harsh sunlight or heat stress. Provide some shade during peak afternoon hours
- **Mealybugs or aphids:** Check regularly for white cottony masses or tiny insects. Treat with neem oil spray
- **Root rot:** Caused by overwatering and poor drainage. Prevention is key - always use well-draining soil and pots with holes
- **Slow or no growth:** May need fertilizer or more light during growing season</t>
        </is>
      </c>
      <c r="V10" s="98">
        <f>HYPERLINK("https://rosaryplanthouse.com/plant/"&amp;A10&amp;"-"&amp;SUBSTITUTE(LOWER(E10), " ", "-"))</f>
        <v/>
      </c>
      <c r="W10" t="inlineStr">
        <is>
          <t>🟢 Senecio radicans (ID: 9)
✨ Meet the stunning String of Necklace! 🌿 This trailing succulent is a true showstopper with its unique curved, banana-shaped leaves that gracefully cascade down thin purple stems. Perfect for hanging baskets or elevated displays, this beauty not only adds a touch of elegance to your space but also blooms with charming yellow flowers! 🌼 
🌍 Originating from the rocky terrains of South Africa, the String of Necklace thrives in arid conditions, making it an ideal low-maintenance plant for indoor and outdoor enthusiasts alike. 
🌞 **Key Details:**
- **Watering:** Low frequency, just once every 10-14 days! 💧
- **Sunlight:** Prefers bright indirect light with a splash of morning sun ☀️
- **Growth:** Fast-growing with cascading stems, perfect for creating a lush display 🌱
Ready to elevate your plant game? 🌿✨ Check out the String of Necklace and bring home this beauty today! Link in bio! 
#RosaryPlantHouse #SenecioRadicans #StringOfNecklace #SucculentLove #IndoorPlants #PlantParent #GreenThumb #PlantGoals #HomeDecor #PlantCare #SucculentCollection #PlantAddict #HangingPlants #GardenInspo #NatureLovers #HousePlantClub</t>
        </is>
      </c>
    </row>
    <row r="11" ht="99.5" customHeight="1">
      <c r="A11" s="73" t="n">
        <v>10</v>
      </c>
      <c r="B11" s="74" t="inlineStr">
        <is>
          <t>Chocolate</t>
        </is>
      </c>
      <c r="C11" s="74">
        <f>IF(Local!H11,"1","0")</f>
        <v/>
      </c>
      <c r="D11" s="75" t="n">
        <v>79</v>
      </c>
      <c r="E11" s="66" t="inlineStr">
        <is>
          <t>Huernia zebrina</t>
        </is>
      </c>
      <c r="F11" s="76">
        <f>"public/sale_plants/"&amp;A11&amp;".jpg"</f>
        <v/>
      </c>
      <c r="G11" s="77" t="inlineStr">
        <is>
          <t>(2"-3")</t>
        </is>
      </c>
      <c r="H11" s="78" t="inlineStr">
        <is>
          <t>Low</t>
        </is>
      </c>
      <c r="I11" s="66" t="inlineStr">
        <is>
          <t>Low</t>
        </is>
      </c>
      <c r="J11" s="66" t="inlineStr">
        <is>
          <t>Medium</t>
        </is>
      </c>
      <c r="K11" s="79" t="n">
        <v>99</v>
      </c>
      <c r="L11" s="80" t="inlineStr">
        <is>
          <t>Succulent</t>
        </is>
      </c>
      <c r="M11" s="80" t="n">
        <v>0</v>
      </c>
      <c r="N11" s="80" t="n">
        <v>0</v>
      </c>
      <c r="O11" s="81" t="n">
        <v>0</v>
      </c>
      <c r="P11" s="80" t="n">
        <v>0</v>
      </c>
      <c r="Q11" s="81" t="n">
        <v>1</v>
      </c>
      <c r="R11" s="81">
        <f>Local!D11</f>
        <v/>
      </c>
      <c r="S11" s="81">
        <f>Local!F11</f>
        <v/>
      </c>
      <c r="T11" s="81">
        <f>Local!G11</f>
        <v/>
      </c>
      <c r="U11" s="83" t="inlineStr">
        <is>
          <t>## About
The Zebra Lifesaver Cactus is a unique and eye-catching succulent known for its stunning star-shaped flowers that look like small lifesaver candies with zebra stripes. Despite its name, it is not a true cactus but a succulent from the Asclepiadaceae family. This plant is popular among collectors for its unusual and beautiful blooms.
## Origin
Huernia zebrina is native to Southern Africa, particularly found in countries like South Africa, Zimbabwe, and Mozambique. In its natural habitat, it grows in rocky areas and dry regions where it has adapted to survive with minimal water and harsh conditions.
## Temperature &amp; Humidity
- **Temperature Range:** 15Â°C to 35Â°C
- **Humidity:** Low to moderate humidity (30% to 50%). This plant prefers drier conditions and can tolerate the typical humidity levels found in most Indian homes. It does well in the hot and dry climate of India but should be protected from extreme cold.
## Growth
The Zebra Lifesaver Cactus is a compact, slow-growing succulent that typically reaches about 10 to 15 cm in height. It grows in clusters with thick, angular stems that have small teeth along the edges. The stems are green and grow upright or slightly sprawling. The plant produces stunning star-shaped flowers that are about 3 to 4 cm across, with a cream or yellow base decorated with bold red or maroon zebra-like stripes. The flowers bloom from the base of the stems and have a unique appearance.
## Watering
- **Frequency:** Once every two weeks depending on season and weather conditions. In summer, you may water slightly more frequently, while in winter, reduce watering to once every three weeks.
- **Tips:** Always allow the soil to dry out completely between waterings. Water less during the monsoon and winter months. Overwatering is the biggest enemy of this plant, so it's better to underwater than overwater. Water directly into the soil and avoid wetting the stems and flowers.
## Sunlight
- **Hours per day:** 4 to 6 hours
- **Type:** Bright indirect light or filtered sunlight. Can tolerate a few hours of gentle morning or evening direct sun, but avoid harsh afternoon sun which can burn the plant. In Indian summers, provide shade during the hottest part of the day.
## Care Tips
- Keep the plant in a well-ventilated area to prevent fungal issues, especially during monsoon season
- Protect from temperatures below 10Â°C as frost can damage or kill the plant
- During the Indian monsoon, move the plant to a covered area or indoors to prevent excess moisture
- Clean the stems gently with a soft brush to remove dust and keep the plant healthy
- The flowers may have a slight unpleasant smell to attract flies for pollination, so keep this in mind when placing indoors
## Growth Tips
- Use a well-draining cactus or succulent soil mix with added perlite, cocopeat, and sand
- Add some coarse sand or small gravel to improve drainage
- Feed with a diluted succulent fertilizer once every 2-3 months during the growing season (spring and summer)
- Repot every 2-3 years in spring using a slightly larger pot with drainage holes
- Propagation is easy through stem cuttings - let them dry for a few days before planting
## Common Problems
- **Root rot:** Caused by overwatering or poor drainage; stems become soft and mushy
- **Shriveling stems:** Sign of underwatering; increase watering frequency slightly
- **No flowers:** Insufficient light or lack of a slight temperature drop at night can prevent blooming
- **Mealybugs:** White cottony pests that hide in stem joints; remove with rubbing alcohol on a cotton swab
- **Stem discoloration:** Too much direct harsh sunlight can cause browning or bleaching
- **Slow growth:** Normal for this plant, but can also indicate need for fertilizer or repotting</t>
        </is>
      </c>
      <c r="V11" s="98">
        <f>HYPERLINK("https://rosaryplanthouse.com/plant/"&amp;A11&amp;"-"&amp;SUBSTITUTE(LOWER(E11), " ", "-"))</f>
        <v/>
      </c>
      <c r="W11" t="inlineStr">
        <is>
          <t>🟢 Huernia zebrina (ID: 10)  
🌟 Meet the stunning Zebra Lifesaver Cactus! 🌟 
This unique succulent is not just a feast for the eyes but also a conversation starter! With its mesmerizing star-shaped flowers adorned in bold zebra stripes, it's a must-have for any plant lover's collection. Native to the rocky terrains of Southern Africa, this resilient beauty thrives in low humidity, making it perfect for indoor spaces! 
💧 **Care Tips:**  
- Water once every two weeks (let the soil dry out completely between waterings).  
- Prefers bright indirect light or filtered sunlight, with a little morning sun.  
- Keep in a well-ventilated area to prevent fungal issues.  
🔑 **Key Details:**  
- Compact and slow-growing  
- Unique blooms resembling lifesaver candies  
- Ideal for collectors and beginners alike  
✨ Ready to add this eye-catching succulent to your home? Check the Link in bio!  
#HuerniaZebrina #ZebraLifesaverCactus #SucculentLovers #IndoorPlants #PlantParenthood #SucculentCare #HousePlants #PlantCollection #RosaryPlantHouse</t>
        </is>
      </c>
    </row>
    <row r="12" ht="99.5" customHeight="1">
      <c r="A12" s="73" t="n">
        <v>11</v>
      </c>
      <c r="B12" s="74" t="inlineStr">
        <is>
          <t>Jack fruit</t>
        </is>
      </c>
      <c r="C12" s="74">
        <f>IF(Local!H12,"1","0")</f>
        <v/>
      </c>
      <c r="D12" s="75" t="n">
        <v>70</v>
      </c>
      <c r="E12" s="66" t="inlineStr">
        <is>
          <t>Huernia zebrina</t>
        </is>
      </c>
      <c r="F12" s="76">
        <f>"public/sale_plants/"&amp;A12&amp;".jpg"</f>
        <v/>
      </c>
      <c r="G12" s="77" t="inlineStr">
        <is>
          <t>(2"-3")</t>
        </is>
      </c>
      <c r="H12" s="78" t="inlineStr">
        <is>
          <t>Low</t>
        </is>
      </c>
      <c r="I12" s="66" t="inlineStr">
        <is>
          <t>Low</t>
        </is>
      </c>
      <c r="J12" s="66" t="inlineStr">
        <is>
          <t>Medium</t>
        </is>
      </c>
      <c r="K12" s="79" t="n">
        <v>99</v>
      </c>
      <c r="L12" s="80" t="inlineStr">
        <is>
          <t>Succulent</t>
        </is>
      </c>
      <c r="M12" s="80" t="n">
        <v>0</v>
      </c>
      <c r="N12" s="80" t="n">
        <v>0</v>
      </c>
      <c r="O12" s="81" t="n">
        <v>0</v>
      </c>
      <c r="P12" s="80" t="n">
        <v>0</v>
      </c>
      <c r="Q12" s="81" t="n">
        <v>1</v>
      </c>
      <c r="R12" s="81">
        <f>Local!D12</f>
        <v/>
      </c>
      <c r="S12" s="81">
        <f>Local!F12</f>
        <v/>
      </c>
      <c r="T12" s="81">
        <f>Local!G12</f>
        <v/>
      </c>
      <c r="U12" s="83" t="inlineStr">
        <is>
          <t>## About
The Lifesaver Cactus is a small, spiny succulent that grows in clumps and produces unique star-shaped flowers that look like tiny lifesaver candies. Despite its common name, it is not actually a true cactus but belongs to the Apocynaceae family. This fascinating plant is perfect for beginners and adds an interesting texture to any succulent collection.
## Origin
This plant is native to South Africa, particularly the Eastern Cape region. It grows naturally in rocky, well-drained areas where it receives filtered sunlight and experiences dry conditions for most of the year.
## Temperature &amp; Humidity
- **Temperature Range:** 15Â°C to 35Â°C
- **Humidity:** Low to moderate humidity (30% to 50%). The plant is adapted to dry conditions and does not require high humidity. It can tolerate the warm, dry climate of most Indian regions very well.
## Growth
The Lifesaver Cactus is a compact, slow-growing succulent that typically reaches 10 to 15 cm in height. It grows in clusters, with multiple stems branching from the base. Each stem is thick, four to five-angled, and covered with soft spines along the edges. The plant spreads slowly outward, forming attractive clumps over time. Its unique burgundy-red, star-shaped flowers appear near the base of the stems during the blooming season.
## Watering
- **Frequency:** Once every two weeks depending on season and weather conditions. Water less in monsoon and winter, slightly more in peak summer if the soil dries out quickly.
- **Tips:** Allow the soil to dry out completely between waterings. Overwatering is the most common cause of problems with this plant. Water at the base of the plant and avoid wetting the stems. Reduce watering during the monsoon and winter months when the plant is semi-dormant.
## Sunlight
- **Hours per day:** 4 to 6 hours
- **Type:** Bright indirect light or filtered sunlight. Some morning sun is beneficial, but protect from harsh afternoon sun, especially during Indian summers. The plant can tolerate partial shade but needs good light to flower.
## Care Tips
- Keep the plant in a well-ventilated area to prevent fungal issues, especially during the monsoon.
- Protect from heavy rain as excessive moisture can cause root rot.
- The plant is very sensitive to overwatering, so err on the side of less water rather than more.
- During Indian summers, provide some shade during the hottest part of the day (12 PM to 3 PM).
- The plant can tolerate Indian winters well, but protect from frost if temperatures drop below 10Â°C.
- Clean the plant gently with a soft brush to remove dust and keep the spines looking fresh.
## Growth Tips
- Use a very well-draining cactus or succulent mix. Add extra perlite or coarse sand (40% to 50% of the mix) to improve drainage.
- Fertilize sparinglyâ€”once a month during the growing season (spring and early summer) with a diluted succulent fertilizer at half strength.
- Repot every 2 to 3 years or when the plant outgrows its pot. Choose a shallow, wide pot with drainage holes.
- Propagation is easy through stem cuttings. Let cuttings dry for 2 to 3 days before planting in dry soil.
- The plant blooms best when slightly root-bound, so don't rush to repot.
## Common Problems
- **Root rot:** Caused by overwatering or poorly draining soil. Stems turn mushy and black at the base.
- **Shriveling stems:** Usually due to underwatering. Give the plant a thorough watering and it should plump up.
- **No flowers:** Insufficient light or too much fertilizer can prevent blooming. Ensure the plant gets adequate bright light.
- **Mealybugs:** White cottony pests that hide between stems. Remove with a cotton swab dipped in rubbing alcohol.
- **Stretching (etiolation):** Stems become thin and elongated due to insufficient light. Move to a brighter location.
- **Yellowing stems:** Often a sign of overwatering or waterlogged soil. Check roots for rot and adjust watering schedule.</t>
        </is>
      </c>
      <c r="V12" s="98">
        <f>HYPERLINK("https://rosaryplanthouse.com/plant/"&amp;A12&amp;"-"&amp;SUBSTITUTE(LOWER(E12), " ", "-"))</f>
        <v/>
      </c>
      <c r="W12" t="inlineStr">
        <is>
          <t>🟢 Huernia Zebrina (ID: 11)
🌟 Meet the Lifesaver Cactus! 🌟 This unique succulent packs a punch with its star-shaped burgundy-red flowers that look like tiny lifesaver candies! Perfect for beginners, it's not just a pretty face; it adds striking texture to any plant collection. 🌱✨
📝 **About**: Native to the rocky regions of South Africa, this charming plant thrives in well-drained soil and filtered sunlight. With low watering needs, it’s a breeze to care for! 
🌞 **Key Details**:
- **Watering**: Once every two weeks
- **Sunlight**: 4-6 hours of bright indirect light
- **Humidity**: Low to moderate
👉 Ready to add this stunning succulent to your home? Discover more! *Link in bio*
#HuerniaZebrina #LifesaverCactus #SucculentLove #PlantParent #IndoorPlants #CactusCollection #PlantGoals #GreenThumb #RosaryPlantHouse #PlantAddict #SucculentCare #HomeDecor #PlantsOfInstagram #GardeningCommunity</t>
        </is>
      </c>
    </row>
    <row r="13" ht="99.5" customHeight="1">
      <c r="A13" s="73" t="n">
        <v>12</v>
      </c>
      <c r="B13" s="74" t="inlineStr">
        <is>
          <t>Lavender</t>
        </is>
      </c>
      <c r="C13" s="74">
        <f>IF(Local!H13,"1","0")</f>
        <v/>
      </c>
      <c r="D13" s="75" t="n">
        <v>49</v>
      </c>
      <c r="E13" s="66" t="inlineStr">
        <is>
          <t>Callisia repens 'Pink Lady'</t>
        </is>
      </c>
      <c r="F13" s="76">
        <f>"public/sale_plants/"&amp;A13&amp;".jpg"</f>
        <v/>
      </c>
      <c r="G13" s="77" t="inlineStr">
        <is>
          <t>(2"-3")</t>
        </is>
      </c>
      <c r="H13" s="78" t="inlineStr">
        <is>
          <t>High</t>
        </is>
      </c>
      <c r="I13" s="66" t="inlineStr">
        <is>
          <t>Medium</t>
        </is>
      </c>
      <c r="J13" s="66" t="inlineStr">
        <is>
          <t>Medium</t>
        </is>
      </c>
      <c r="K13" s="79" t="n">
        <v>89</v>
      </c>
      <c r="L13" s="81" t="inlineStr">
        <is>
          <t>Sedum</t>
        </is>
      </c>
      <c r="M13" s="80" t="n">
        <v>0</v>
      </c>
      <c r="N13" s="80" t="n">
        <v>1</v>
      </c>
      <c r="O13" s="81" t="n">
        <v>0</v>
      </c>
      <c r="P13" s="81" t="n">
        <v>0</v>
      </c>
      <c r="Q13" s="81" t="n">
        <v>1</v>
      </c>
      <c r="R13" s="81">
        <f>Local!D13</f>
        <v/>
      </c>
      <c r="S13" s="81">
        <f>Local!F13</f>
        <v/>
      </c>
      <c r="T13" s="81">
        <f>Local!G13</f>
        <v/>
      </c>
      <c r="U13" s="83" t="inlineStr">
        <is>
          <t>## About
Pink Lady Turtle Vine is a beautiful trailing succulent with stunning pink and purple variegated leaves. This colorful variety of Callisia repens is loved for its compact, densely packed foliage that creates a lovely cascading effect, making it perfect for hanging baskets and containers.
## Origin
This plant originates from Central and South America, particularly Mexico and the Caribbean regions. It naturally grows as a ground cover in tropical and subtropical forests, thriving in warm, humid conditions under the canopy of larger plants.
## Temperature &amp; Humidity
- **Temperature Range:** 15Â°C to 35Â°C (ideal range is 20Â°C to 30Â°C)
- **Humidity:** Prefers moderate to high humidity levels between 50% to 70%. The plant can adapt to average household humidity but displays better coloration with higher humidity levels.
## Growth
This is a fast-growing trailing plant that can spread quickly under good conditions. The stems can grow up to 30-60 cm in length, creating a beautiful cascading effect. The leaves are small, rounded, and densely packed along the stems. The pink and purple coloration becomes more intense with proper light exposure. It has a compact, mat-forming growth habit and can be easily pruned to maintain desired shape and fullness.
## Watering
- **Frequency:** Water once or twice a week depending on season, weather conditions, and pot size
- **Tips:** Allow the top layer of soil to dry out between watering sessions. In summer or hot Indian weather, you may need to water more frequently. During monsoon or winter, reduce watering frequency. Overwatering can cause root rot, while underwatering may cause leaves to shrivel. Water early morning or late evening. Use well-draining soil to prevent water logging.
## Sunlight
- **Hours per day:** 3 to 5 hours
- **Type:** Bright indirect light is best. Can tolerate 2-3 hours of gentle direct morning or evening sunlight. Too much direct harsh sunlight will burn the leaves, while too little light will cause the pink color to fade and the plant to become leggy.
## Care Tips
- Keep the plant in a bright spot with indirect light to maintain vibrant pink coloration
- Prune regularly to encourage bushier growth and prevent legginess
- In hot Indian summers, ensure adequate humidity by misting occasionally or using a pebble tray
- Protect from intense afternoon sun, especially during April-June
- During monsoon season, ensure good air circulation to prevent fungal problems
- Can be grown both indoors near bright windows or outdoors in shaded balconies
- Pinch off growing tips regularly to promote fuller, more compact growth
- The plant is relatively pest-resistant but keep it clean
## Growth Tips
- Use well-draining potting mix with perlite, cocopeat, and regular soil in equal proportions
- Add organic compost once every 2-3 months for healthy growth
- Liquid fertilizer diluted to half strength can be applied once a month during growing season (spring and summer)
- Repot once a year or when roots outgrow the container, preferably in spring
- Propagation is very easy through stem cuttings - simply place cuttings in water or directly in moist soil
- Use hanging baskets or containers with drainage holes for best results
- The plant responds well to occasional pruning and grooming
## Common Problems
- **Fading color:** Usually caused by insufficient light. Move to a brighter location with indirect sunlight
- **Leggy growth:** Not enough light or needs pruning. Pinch tips and provide more light
- **Root rot:** Overwatering or poor drainage. Reduce watering frequency and ensure proper drainage
- **Brown leaf tips:** Low humidity or underwatering. Increase humidity and maintain consistent watering schedule
- **Pests:** Occasionally affected by mealybugs or spider mites. Wipe leaves with neem oil solution
- **Wilting leaves:** Either too much or too little water. Check soil moisture before watering
- **Yellowing leaves:** Natural aging of older leaves or overwatering. Remove dead leaves and adjust watering</t>
        </is>
      </c>
      <c r="V13" s="98">
        <f>HYPERLINK("https://rosaryplanthouse.com/plant/"&amp;A13&amp;"-"&amp;SUBSTITUTE(LOWER(E13), " ", "-"))</f>
        <v/>
      </c>
      <c r="W13" t="inlineStr">
        <is>
          <t>🟢 Callisia repens 'Pink Lady' (ID: 12)
🌿 Meet the enchanting Pink Lady Turtle Vine! This stunning trailing succulent features vibrant pink and purple variegated leaves that are sure to steal the spotlight in any space. Perfect for hanging baskets or containers, its cascading effect adds a touch of elegance to your home or garden! 
✨ **About**: Originally from the lush landscapes of Central and South America, this beauty thrives in warm, humid conditions. With its compact, densely packed foliage, it's not just a feast for the eyes but also a fast-growing companion that can flourish with the right care.
🌟 **Key Details**:
- 🌞 **Light**: Enjoys bright indirect light; 3-5 hours daily.
- 💧 **Watering**: Once or twice a week, allowing the top soil to dry out.
- 🌱 **Humidity**: Prefers moderate to high humidity, so misting is a plus!
Ready to bring home this vibrant charmer? 🌸 Check out the details and care tips for your new plant friend! Link in bio. 
#PinkLady #CallisiaRepens #SucculentLove #HangingPlants #PlantParent #IndoorGardening #PlantCare #RosaryPlantHouse #SucculentAddict #GreenThumb #PlantGoals #HomeDecor #PlantLovers #HouseplantClub #PlantsMakePeopleHappy</t>
        </is>
      </c>
    </row>
    <row r="14" ht="99.5" customHeight="1">
      <c r="A14" s="73" t="n">
        <v>13</v>
      </c>
      <c r="B14" s="74" t="inlineStr">
        <is>
          <t>Finger Jade</t>
        </is>
      </c>
      <c r="C14" s="74">
        <f>IF(Local!H14,"1","0")</f>
        <v/>
      </c>
      <c r="D14" s="75" t="n">
        <v>79</v>
      </c>
      <c r="E14" s="66" t="inlineStr">
        <is>
          <t>Crassula ovata 'Gollum'</t>
        </is>
      </c>
      <c r="F14" s="76">
        <f>"public/sale_plants/"&amp;A14&amp;".jpg"</f>
        <v/>
      </c>
      <c r="G14" s="77" t="inlineStr">
        <is>
          <t>(2"-3")</t>
        </is>
      </c>
      <c r="H14" s="78" t="inlineStr">
        <is>
          <t>Low</t>
        </is>
      </c>
      <c r="I14" s="66" t="inlineStr">
        <is>
          <t>Low</t>
        </is>
      </c>
      <c r="J14" s="66" t="inlineStr">
        <is>
          <t>Medium</t>
        </is>
      </c>
      <c r="K14" s="79" t="n">
        <v>59</v>
      </c>
      <c r="L14" s="81" t="inlineStr">
        <is>
          <t>Jade</t>
        </is>
      </c>
      <c r="M14" s="80" t="n">
        <v>0</v>
      </c>
      <c r="N14" s="80" t="n">
        <v>0</v>
      </c>
      <c r="O14" s="81" t="n">
        <v>0</v>
      </c>
      <c r="P14" s="80" t="n">
        <v>1</v>
      </c>
      <c r="Q14" s="81">
        <f>IF(Local!I14=TRUE,1,0)</f>
        <v/>
      </c>
      <c r="R14" s="81">
        <f>Local!D14</f>
        <v/>
      </c>
      <c r="S14" s="81">
        <f>Local!F14</f>
        <v/>
      </c>
      <c r="T14" s="81">
        <f>Local!G14</f>
        <v/>
      </c>
      <c r="U14" s="83" t="inlineStr">
        <is>
          <t>## About
Finger Jade, also known as Gollum Jade, is a unique and charming succulent with tubular, finger-like leaves that have a distinctive cup-shaped tip. This plant is a cultivar of the popular Jade plant and is loved by plant enthusiasts for its quirky appearance and easy-care nature.
## Origin
Finger Jade is a cultivated variety of Crassula ovata, which originates from South Africa. The original species grows in rocky, dry areas with excellent drainage. This particular cultivar was developed through selective breeding to create its unusual tubular leaf shape.
## Temperature &amp; Humidity
- **Temperature Range:** 15Â°C to 30Â°C (can tolerate up to 35Â°C in Indian summers)
- **Humidity:** Low to moderate humidity (30% to 50%). This plant thrives in dry conditions and does not require high humidity, making it perfect for most Indian homes.
## Growth
Finger Jade is a slow to moderate-growing succulent that can reach 30 to 60 cm in height when mature. The plant grows upright with thick, woody stems as it ages. The finger-shaped leaves grow in clusters and can develop a reddish tint on the tips when exposed to bright light. With proper care, this plant can live for many years and develop into a miniature tree-like structure.
## Watering
- **Frequency:** Once every 10-14 days in summer, once every 3-4 weeks in monsoon and winter depending on other parameters
- **Tips:** Water only when the soil is completely dry. Check by inserting your finger 2 inches into the soil. During Indian monsoons, reduce watering significantly as humidity is high. Always water at the base of the plant, avoiding the leaves. Overwatering is the most common cause of problems with this plant. The thick leaves store water, so the plant can survive drought periods easily.
## Sunlight
- **Hours per day:** 4 to 6 hours
- **Type:** Bright indirect light to partial direct sunlight. Morning sun is ideal. In hot Indian summers (April-June), protect from harsh afternoon sun which can scorch the leaves.
## Care Tips
- Place near an east or west-facing window for best results indoors
- During Indian summers, move to a spot with filtered light during peak afternoon hours
- In winter, you can give more direct sunlight as the intensity is lower
- Keep the plant in a well-ventilated area to prevent fungal issues during monsoon
- Wipe the leaves gently with a dry cloth occasionally to remove dust
- Avoid moving the plant frequently once it's settled in a spot
- This plant is pet-friendly concerns aside, but can cause mild stomach upset if ingested in large quantities
## Growth Tips
- Use a well-draining succulent or cactus soil mix with at least 50% perlite, sand, or pumice
- Add a layer of small stones or gravel at the bottom of the pot for extra drainage
- Choose a terracotta or clay pot which allows soil to dry faster
- Feed with a balanced liquid fertilizer diluted to half strength once every 2-3 months during growing season (spring and early summer)
- Avoid fertilizing during monsoon and winter months
- Repot every 2-3 years or when the plant becomes root-bound, preferably in spring
- Prune leggy growth to maintain compact shape
- Propagate easily from leaf or stem cuttings by letting them dry for 2-3 days before planting
## Common Problems
- **Soft, mushy leaves:** Sign of overwatering or root rot. Reduce watering immediately and check roots
- **Wrinkled, shriveled leaves:** Underwatering. Give the plant a thorough drink
- **Yellowing leaves:** Usually caused by overwatering or poor drainage
- **Leaf drop:** Can occur due to sudden temperature changes or overwatering
- **Leggy growth:** Insufficient light. Move to a brighter location
- **Mealybugs:** White cotton-like pests in leaf joints. Remove with cotton swab dipped in rubbing alcohol
- **Brown spots:** Sunburn from too much direct harsh sunlight. Provide some shade
- **No growth:** Normal during winter dormancy period or may need fertilizer during growing season</t>
        </is>
      </c>
      <c r="V14" s="98">
        <f>HYPERLINK("https://rosaryplanthouse.com/plant/"&amp;A14&amp;"-"&amp;SUBSTITUTE(LOWER(E14), " ", "-"))</f>
        <v/>
      </c>
      <c r="W14" t="inlineStr">
        <is>
          <t>🟢 Crassula ovata 'Gollum' (ID: 13)  
🌿 Meet the quirky Finger Jade! This charming succulent is not just a treat for the eyes but also a breeze to care for! 🌱✨  
With its unique tubular leaves and captivating cup-shaped tips, the Finger Jade adds a touch of whimsy to any indoor space. Originating from the sun-kissed landscapes of South Africa, this delightful plant thrives in low humidity and requires minimal watering, making it a perfect companion for both seasoned green thumbs and budding plant parents alike! 🌞  
**Key Details:**  
- **Watering:** Once every 10-14 days  
- **Sunlight:** 4-6 hours of bright indirect light  
- **Care:** Pet-friendly and easy to maintain  
👉 Ready to bring home this unique succulent? Discover more and shop now! Link in bio!  
#FingerJade #CrassulaOvata #SucculentLove #IndoorPlants #PlantParent #PlantCare #GreenThumb #Houseplants #RosaryPlantHouse #PlantAddict #HomeDecor #PlantLovers #SucculentCare #EasyCarePlants #PlantLife 🌿❤️</t>
        </is>
      </c>
    </row>
    <row r="15" ht="99.5" customHeight="1">
      <c r="A15" s="73" t="n">
        <v>14</v>
      </c>
      <c r="B15" s="74" t="inlineStr">
        <is>
          <t>Diamond</t>
        </is>
      </c>
      <c r="C15" s="74">
        <f>IF(Local!H15,"1","0")</f>
        <v/>
      </c>
      <c r="D15" s="75" t="n">
        <v>120</v>
      </c>
      <c r="E15" s="66" t="inlineStr">
        <is>
          <t>Echeveria setosa</t>
        </is>
      </c>
      <c r="F15" s="76">
        <f>"public/sale_plants/"&amp;A15&amp;".jpg"</f>
        <v/>
      </c>
      <c r="G15" s="77" t="inlineStr">
        <is>
          <t>(2"-3")</t>
        </is>
      </c>
      <c r="H15" s="78" t="inlineStr">
        <is>
          <t>Low</t>
        </is>
      </c>
      <c r="I15" s="66" t="inlineStr">
        <is>
          <t>Low</t>
        </is>
      </c>
      <c r="J15" s="66" t="inlineStr">
        <is>
          <t>High</t>
        </is>
      </c>
      <c r="K15" s="79" t="n">
        <v>69</v>
      </c>
      <c r="L15" s="81" t="inlineStr">
        <is>
          <t>Echeveria</t>
        </is>
      </c>
      <c r="M15" s="80" t="n">
        <v>0</v>
      </c>
      <c r="N15" s="80" t="n">
        <v>1</v>
      </c>
      <c r="O15" s="81" t="n">
        <v>0</v>
      </c>
      <c r="P15" s="80" t="n">
        <v>0</v>
      </c>
      <c r="Q15" s="81">
        <f>IF(Local!I15=TRUE,1,0)</f>
        <v/>
      </c>
      <c r="R15" s="81">
        <f>Local!D15</f>
        <v/>
      </c>
      <c r="S15" s="81">
        <f>Local!F15</f>
        <v/>
      </c>
      <c r="T15" s="81">
        <f>Local!G15</f>
        <v/>
      </c>
      <c r="U15" s="83" t="inlineStr">
        <is>
          <t>## About
Echeveria setosa, commonly known as Mexican Firecracker, is a beautiful rosette-forming succulent known for its soft, fuzzy leaves covered in fine white hairs. This attractive plant produces lovely coral-pink to red flowers on long stems, making it a favorite among succulent collectors in India.
## Origin
This charming succulent originates from the semi-arid regions of Mexico, particularly the state of Puebla. In its native habitat, it grows on rocky slopes and cliff faces where drainage is excellent and sunlight is abundant.
## Temperature &amp; Humidity
- **Temperature Range:** 15Â°C to 35Â°C (ideal range 20Â°C to 30Â°C)
- **Humidity:** Prefers low to moderate humidity levels between 30% to 50%. Can tolerate typical Indian humidity but ensure good air circulation to prevent fungal issues during monsoon season.
## Growth
Echeveria setosa forms compact rosettes that grow 8 to 12 cm in diameter. The plant grows slowly and stays relatively small, making it perfect for small pots and container gardens. It produces offsets (baby plants) around the base, which can gradually form attractive clumps. The plant reaches maturity in 2-3 years and sends up flowering stalks that can reach 20-30 cm in height during blooming season.
## Watering
- **Frequency:** Once every 10-14 days depending on season and weather conditions. Water more frequently during hot summer months and reduce significantly during monsoon and winter.
- **Tips:** Always water at the soil level, avoiding the fuzzy leaves as water droplets can cause rot or fungal spots. Let the soil dry completely between waterings. Use the "soak and dry" method - water thoroughly until it drains out, then wait for soil to dry. During monsoon, protect from rain and water only if soil is completely dry.
## Sunlight
- **Hours per day:** 4 to 6 hours
- **Type:** Bright direct sunlight, preferably morning sun. Can tolerate afternoon sun but gradually acclimate the plant. In very hot Indian summers (above 40Â°C), provide filtered light during peak afternoon hours to prevent leaf burn.
## Care Tips
- Provide excellent drainage to prevent root rot, especially important during Indian monsoon season
- Keep the plant in a well-ventilated area to prevent fungal issues in humid conditions
- Avoid getting water on the fuzzy leaves as it can cause rotting or leave permanent marks
- During monsoon, move under covered area or reduce watering to once every 3-4 weeks
- In winter, reduce watering further as growth slows down
- The pink/red stems and flower stalks appear naturally when the plant is happy and getting enough light
- Protect from frost in North Indian winters if temperatures drop below 10Â°C
## Growth Tips
- Use well-draining cactus or succulent mix; add 50% perlite or coarse sand to regular potting soil
- Fertilize once a month during growing season (spring and autumn) with diluted succulent fertilizer at half strength
- Repot every 2-3 years in spring, using a pot only slightly larger than the current one
- Choose terracotta or clay pots for better drainage and air circulation
- Remove offsets to propagate new plants or leave them to form attractive clusters
- Deadhead spent flower stalks after blooming to maintain plant energy
## Common Problems
- **Leaf rot:** Caused by water sitting on fuzzy leaves or high humidity without air circulation
- **Stretched/elongated growth:** Insufficient sunlight; move to brighter location
- **Shriveled leaves:** Underwatering; increase watering frequency slightly
- **Mushy leaves or black spots:** Overwatering or root rot; reduce watering and check roots
- **Mealybugs:** White cottony pests in leaf crevices; treat with neem oil or isopropyl alcohol
- **Leaf discoloration or brown spots:** Sunburn from too intense afternoon sun; provide shade during peak hours
- **Fungal issues during monsoon:** Poor air circulation; move to covered, airy location and stop watering</t>
        </is>
      </c>
      <c r="V15" s="98">
        <f>HYPERLINK("https://rosaryplanthouse.com/plant/"&amp;A15&amp;"-"&amp;SUBSTITUTE(LOWER(E15), " ", "-"))</f>
        <v/>
      </c>
      <c r="W15" t="inlineStr">
        <is>
          <t>🟢 Echeveria Setosa (ID: 14)
🌟 Meet the stunning Diamond, also known as the Mexican Firecracker! This charming succulent boasts soft, fuzzy leaves adorned with fine white hairs, creating a mesmerizing rosette that’s sure to steal the spotlight in your collection! 🌵✨
📝 About: Echeveria setosa is not just a pretty face; it produces beautiful coral-pink to red flowers on long stems, making it a favorite among succulent enthusiasts! Originating from the semi-arid regions of Mexico, it thrives in bright sunlight and requires minimal watering, perfect for those who love low-maintenance plants. 
🌱 Key Details:
- 🌞 Sunlight: 4-6 hours of bright direct sunlight
- 💧 Watering: Every 10-14 days; let the soil dry completely
- 🌬️ Humidity: Prefers low to moderate levels, good air circulation is key!
✨ Ready to add some sparkle to your plant collection? Click "Link in bio" to get yours today!
#EcheveriaSetosa #SucculentLove #PlantParent #IndoorPlants #SucculentCollection #HousePlants #PlantCommunity #GreenThumb #RosaryPlantHouse #PlantAddict #FuzzySucculent #GardeningJoy #PlantCareTips #HomeDecor #CactusAndSucculents</t>
        </is>
      </c>
    </row>
    <row r="16" ht="99.5" customHeight="1">
      <c r="A16" s="73" t="n">
        <v>15</v>
      </c>
      <c r="B16" s="74" t="inlineStr">
        <is>
          <t>Echeveria</t>
        </is>
      </c>
      <c r="C16" s="74">
        <f>IF(Local!H16,"1","0")</f>
        <v/>
      </c>
      <c r="D16" s="75" t="n">
        <v>79</v>
      </c>
      <c r="E16" s="66" t="inlineStr">
        <is>
          <t>Echeveria 'Perle von Nurnberg'</t>
        </is>
      </c>
      <c r="F16" s="76">
        <f>"public/sale_plants/"&amp;A16&amp;".jpg"</f>
        <v/>
      </c>
      <c r="G16" s="77" t="inlineStr">
        <is>
          <t>(2"-3")</t>
        </is>
      </c>
      <c r="H16" s="78" t="inlineStr">
        <is>
          <t>Low</t>
        </is>
      </c>
      <c r="I16" s="66" t="inlineStr">
        <is>
          <t>Low</t>
        </is>
      </c>
      <c r="J16" s="66" t="inlineStr">
        <is>
          <t>High</t>
        </is>
      </c>
      <c r="K16" s="79" t="n">
        <v>79</v>
      </c>
      <c r="L16" s="81" t="inlineStr">
        <is>
          <t>Echeveria</t>
        </is>
      </c>
      <c r="M16" s="80" t="n">
        <v>0</v>
      </c>
      <c r="N16" s="80" t="n">
        <v>0</v>
      </c>
      <c r="O16" s="81" t="n">
        <v>0</v>
      </c>
      <c r="P16" s="81" t="n">
        <v>0</v>
      </c>
      <c r="Q16" s="81">
        <f>IF(Local!I16=TRUE,1,0)</f>
        <v/>
      </c>
      <c r="R16" s="81">
        <f>Local!D16</f>
        <v/>
      </c>
      <c r="S16" s="81">
        <f>Local!F16</f>
        <v/>
      </c>
      <c r="T16" s="81">
        <f>Local!G16</f>
        <v/>
      </c>
      <c r="U16" s="83" t="inlineStr">
        <is>
          <t>## About
This stunning succulent is known for its beautiful rosette shape with blue-green leaves edged in pink or red. It is one of the most popular echeverias because of its striking colors and easy care requirements. This plant is perfect for beginners and experienced plant lovers alike.
## Origin
Native to Mexico and Central America, this echeveria hybrid thrives in rocky, dry regions. It has adapted to survive in harsh conditions with minimal water and intense sunlight.
## Temperature &amp; Humidity
- **Temperature Range:** 15Â°C to 35Â°C (can tolerate up to 40Â°C in summer)
- **Humidity:** Prefers low humidity levels between 30% to 50%. Does very well in dry Indian climates and doesn't need extra humidity.
## Growth
This echeveria grows in a compact rosette form, reaching about 10 to 15 cm in diameter and height. It is a slow to moderate grower and produces offsets (baby plants) around the base. The plant maintains its tight rosette shape when given adequate sunlight.
## Watering
- **Frequency:** Water once every 10-15 days depending on season and weather conditions. In monsoon, reduce watering significantly. In summer, you may need to water once a week depending on other parameters.
- **Tips:** Always allow the soil to dry completely between waterings. Water directly into the soil, avoiding the leaves and center of the rosette. Overwatering is the main cause of problems with this plant. During monsoon season, protect from direct rain and water very sparingly.
## Sunlight
- **Hours per day:** 4 to 6 hours
- **Type:** Direct bright sunlight is best. Morning sun is ideal. Can tolerate bright indirect light indoors but colors will be less vibrant. The pink and purple tones develop best with direct sun exposure.
## Care Tips
- Place in the brightest spot available, preferably where it gets morning or evening sun
- Rotate the plant occasionally to ensure even growth
- Remove dead lower leaves carefully to prevent rot
- Keep the rosette dry, especially during monsoon season
- In extreme Indian summer (above 40Â°C), provide some afternoon shade
- This plant is perfect for terrace gardens, balconies, and sunny windowsills
- Protect from heavy monsoon rains as too much water can cause root rot
## Growth Tips
- Use well-draining cactus or succulent soil mix. Add cocopeat, sand, and perlite for better drainage
- Feed with diluted succulent fertilizer once every 2-3 months during growing season (spring and autumn)
- Repot every 2 years in spring using a slightly larger pot with drainage holes
- The plant naturally sheds lower leaves as it grows - this is normal
- Propagate easily from leaf cuttings or offsets during warmer months
- Use terracotta pots as they allow better air circulation and drainage
## Common Problems
- **Stretched or elongated growth:** Not getting enough direct sunlight. Move to a brighter location
- **Root rot and mushy leaves:** Overwatering or poor drainage. Reduce watering frequency and improve soil drainage
- **Brown or black spots:** Fungal infection due to water sitting on leaves or too much humidity during monsoon
- **Shriveled leaves:** Underwatering. Increase watering frequency slightly
- **Mealybugs (white cottony pests):** Common in Indian climate. Remove with cotton swab dipped in rubbing alcohol
- **Pale or faded colors:** Not enough sunlight. Increase sun exposure gradually
- **Drooping leaves:** Usually overwatering or root damage. Check roots and adjust watering schedule</t>
        </is>
      </c>
      <c r="V16" s="98">
        <f>HYPERLINK("https://rosaryplanthouse.com/plant/"&amp;A16&amp;"-"&amp;SUBSTITUTE(LOWER(E16), " ", "-"))</f>
        <v/>
      </c>
      <c r="W16" t="inlineStr">
        <is>
          <t>🟢 Echeveria 'Perle von Nurnberg' (ID: 15)  
✨ Ready to elevate your plant game? Meet the stunning Echeveria 'Perle von Nurnberg'! This beauty boasts a rosette shape with mesmerizing blue-green leaves kissed with pink edges. Perfect for both novice and seasoned plant parents! 🌸🌿
🌍 **About:** Native to the rocky terrains of Mexico and Central America, this resilient succulent thrives on minimal water and intense sunlight, making it an ideal companion for your sunny spots! 
🔑 **Key Details:**  
- **Watering:** Low (once every 10-15 days)  
- **Sunlight:** High (4-6 hours of direct sunlight)  
- **Growth:** Compact rosette form with offsets  
👉 Ready to add this beauty to your collection? Check out the **Link in bio**! 🌟
#Echeveria #SucculentLove #PlantParent #IndoorPlants #GardenGoals #PlantCare #RosaryPlantHouse #Houseplants #SucculentGarden #PlantAddict #GreenThumb #HomeDecor #PlantsOfInstagram 🌱💚</t>
        </is>
      </c>
    </row>
    <row r="17" ht="99.5" customHeight="1">
      <c r="A17" s="73" t="n">
        <v>16</v>
      </c>
      <c r="B17" s="74" t="inlineStr">
        <is>
          <t>Monkey Tail</t>
        </is>
      </c>
      <c r="C17" s="74">
        <f>IF(Local!H17,"1","0")</f>
        <v/>
      </c>
      <c r="D17" s="75" t="n">
        <v>79</v>
      </c>
      <c r="E17" s="66" t="inlineStr">
        <is>
          <t>Sedum morganianum</t>
        </is>
      </c>
      <c r="F17" s="76">
        <f>"public/sale_plants/"&amp;A17&amp;".jpg"</f>
        <v/>
      </c>
      <c r="G17" s="77" t="inlineStr">
        <is>
          <t>(2"-3")</t>
        </is>
      </c>
      <c r="H17" s="78" t="inlineStr">
        <is>
          <t>Low</t>
        </is>
      </c>
      <c r="I17" s="66" t="inlineStr">
        <is>
          <t>Low</t>
        </is>
      </c>
      <c r="J17" s="66" t="inlineStr">
        <is>
          <t>Medium</t>
        </is>
      </c>
      <c r="K17" s="79" t="n">
        <v>69</v>
      </c>
      <c r="L17" s="81" t="inlineStr">
        <is>
          <t>Succulent</t>
        </is>
      </c>
      <c r="M17" s="80" t="n">
        <v>0</v>
      </c>
      <c r="N17" s="80" t="n">
        <v>1</v>
      </c>
      <c r="O17" s="81" t="n">
        <v>0</v>
      </c>
      <c r="P17" s="80" t="n">
        <v>0</v>
      </c>
      <c r="Q17" s="81">
        <f>IF(Local!I17=TRUE,1,0)</f>
        <v/>
      </c>
      <c r="R17" s="81">
        <f>Local!D17</f>
        <v/>
      </c>
      <c r="S17" s="81">
        <f>Local!F17</f>
        <v/>
      </c>
      <c r="T17" s="81">
        <f>Local!G17</f>
        <v/>
      </c>
      <c r="U17" s="83" t="inlineStr">
        <is>
          <t>## About
Donkey Tail, also known as Burro's Tail, is a beautiful trailing succulent with thick, fleshy leaves that overlap like braided hair. The plump, blue-green leaves grow densely along hanging stems that can reach up to 60 cm or more in length. This plant is native to Mexico and is a favorite for hanging baskets and shelf displays.
## Origin
Sedum morganianum originates from the dry regions of Southern Mexico and Honduras. It grows naturally on rocky cliffs and in crevices where it drapes down beautifully. The plant is adapted to survive in poor soil conditions with minimal water.
## Temperature &amp; Humidity
- **Temperature Range:** 15Â°C to 30Â°C (ideal growing temperature is between 18Â°C to 27Â°C)
- **Humidity:** Prefers low to moderate humidity levels, typically 30% to 50%. This succulent does well in dry indoor air and does not require high humidity. It can tolerate the dry conditions common in Indian homes.
## Growth
Donkey Tail is a slow to moderate grower. The stems can grow 30 to 60 cm long over several years. Each stem is covered with overlapping, plump leaves that look like beads on a string. The plant grows in a trailing manner, making it perfect for hanging pots or tall shelves where the stems can cascade down. With proper care, mature plants can produce multiple trailing stems creating a lush, full appearance.
## Watering
- **Frequency:** Once every two weeks depending on season and weather conditions. In hot summer months, you may need to water once a week, while in cooler months reduce to once every 3 weeks.
- **Tips:** Always allow the soil to dry out completely between waterings. Water thoroughly until water drains out from the bottom, then let it dry. Overwatering is the biggest threat to this plant. The leaves store water, so the plant can survive long dry periods. Reduce watering significantly during monsoon season. Handle carefully when watering as the leaves fall off easily when touched.
## Sunlight
- **Hours per day:** 4 to 6 hours
- **Type:** Bright indirect light is best. Morning sun (direct) is beneficial, but protect from harsh afternoon sun especially in Indian summers. Can tolerate some direct sunlight but too much can cause sunburn. In very hot regions, filtered or bright indirect light works better.
## Care Tips
- Handle the plant very gently as the leaves detach easily from stems with even slight touch
- Keep in a location where people and pets won't brush against it
- Provide good air circulation around the plant to prevent fungal issues during humid monsoon months
- Use a well-draining pot with multiple drainage holes
- Avoid moving the plant frequently once you find a good spot
- During Indian summers, provide some shade during peak afternoon hours (12 PM to 3 PM)
- The plant may go semi-dormant in extreme heat or cold, so reduce watering during these times
- Protect from heavy rain during monsoon season if kept outdoors
## Growth Tips
- Use a cactus or succulent potting mix, or create your own by mixing regular potting soil with coarse sand and perlite in equal parts
- Ensure the soil is very well-draining to prevent root rot
- Feed with a diluted liquid succulent fertilizer once a month during the growing season (spring and early summer)
- Avoid fertilizing during winter and extreme summer heat
- Repot only when the plant becomes root-bound, usually every 2 to 3 years
- When repotting, choose a slightly larger pot and be extremely gentle with the stems
- Fallen leaves can be propagated easily - just place them on dry soil and they will root
- Stem cuttings can also be propagated after letting the cut end dry for a day or two
## Common Problems
- **Leaves falling off:** This is normal to some extent, but excessive leaf drop can be due to overwatering, underwatering, or rough handling
- **Shriveled, wrinkled leaves:** Sign of underwatering or roots damaged by overwatering in the past
- **Yellow, mushy leaves:** Overwatering or root rot; stop watering immediately and check roots
- **Stretched, leggy growth:** Not getting enough light; move to a brighter location
- **Brown or bleached leaves:** Sunburn from too much direct harsh sunlight; provide more shade
- **Mealybugs:** White cottony pests that hide between leaves; remove with cotton swabs dipped in rubbing alcohol
- **Root rot:** Caused by overwatering or poor drainage; use well-draining soil and pots with holes
- **Fungal issues during monsoon:** High humidity and moisture can cause fungal problems; ensure good air circulation and reduce watering</t>
        </is>
      </c>
      <c r="V17" s="98">
        <f>HYPERLINK("https://rosaryplanthouse.com/plant/"&amp;A17&amp;"-"&amp;SUBSTITUTE(LOWER(E17), " ", "-"))</f>
        <v/>
      </c>
      <c r="W17" t="inlineStr">
        <is>
          <t>🟢 Monkey Tail (ID: 16)
🌿 Ready to add a touch of whimsy to your space? Meet the captivating **Monkey Tail**—a stunning trailing succulent that transforms any corner into a lush oasis! 
😍 Known for its thick, fleshy leaves that cascade like a natural waterfall, this beauty is perfect for hanging baskets or tall shelves. Native to the rocky cliffs of Mexico, it's a resilient companion that thrives with minimal care. 
✨ **Key Details:**
- 🌱 **Watering:** Low (every 2 weeks)
- ☀️ **Sunlight:** Prefers bright indirect light (4-6 hours)
- 🌡️ **Temperature:** Thrives in a cozy range of 15°C to 30°C 
- 💧 **Humidity:** Low to moderate, perfect for dry indoor air
Don't miss out on this unique addition to your plant family! 🌟 **Link in bio**
#MonkeyTail #SedumMorganianum #SucculentLove #HangingPlants #PlantParenthood #IndoorGardening #PlantCare #GreenThumb #RosaryPlantHouse #PlantAddict #HomeDecor #SucculentCollection</t>
        </is>
      </c>
    </row>
    <row r="18" ht="99.5" customHeight="1">
      <c r="A18" s="73" t="n">
        <v>17</v>
      </c>
      <c r="B18" s="74" t="inlineStr">
        <is>
          <t>Height Haworthia</t>
        </is>
      </c>
      <c r="C18" s="74">
        <f>IF(Local!H18,"1","0")</f>
        <v/>
      </c>
      <c r="D18" s="75" t="n">
        <v>59</v>
      </c>
      <c r="E18" s="66" t="inlineStr">
        <is>
          <t>Haworthiopsis reinwardtii</t>
        </is>
      </c>
      <c r="F18" s="76">
        <f>"public/sale_plants/"&amp;A18&amp;".jpg"</f>
        <v/>
      </c>
      <c r="G18" s="77" t="inlineStr">
        <is>
          <t>(2"-3")</t>
        </is>
      </c>
      <c r="H18" s="78" t="inlineStr">
        <is>
          <t>Low</t>
        </is>
      </c>
      <c r="I18" s="66" t="inlineStr">
        <is>
          <t>Low</t>
        </is>
      </c>
      <c r="J18" s="66" t="inlineStr">
        <is>
          <t>Medium</t>
        </is>
      </c>
      <c r="K18" s="79" t="n">
        <v>120</v>
      </c>
      <c r="L18" s="81" t="inlineStr">
        <is>
          <t>Haworthia</t>
        </is>
      </c>
      <c r="M18" s="80" t="n">
        <v>0</v>
      </c>
      <c r="N18" s="80" t="n">
        <v>0</v>
      </c>
      <c r="O18" s="81" t="n">
        <v>0</v>
      </c>
      <c r="P18" s="80" t="n">
        <v>1</v>
      </c>
      <c r="Q18" s="81">
        <f>IF(Local!I18=TRUE,1,0)</f>
        <v/>
      </c>
      <c r="R18" s="81">
        <f>Local!D18</f>
        <v/>
      </c>
      <c r="S18" s="81">
        <f>Local!F18</f>
        <v/>
      </c>
      <c r="T18" s="81">
        <f>Local!G18</f>
        <v/>
      </c>
      <c r="U18" s="83" t="inlineStr">
        <is>
          <t>## About
Haworthiopsis reinwardtii, commonly known as the Zebra Wart Plant, is a beautiful small succulent with tall, upright stems covered in raised white dots or tubercles arranged in neat rows. This charming plant is perfect for beginners and adds a unique texture to any indoor plant collection.
## Origin
This plant is native to South Africa, particularly the Eastern Cape region. It grows naturally in rocky areas and slopes where it receives dappled sunlight and well-draining soil conditions.
## Temperature &amp; Humidity
- **Temperature Range:** 15Â°C to 35Â°C (can tolerate slightly higher temperatures in Indian summers)
- **Humidity:** 30% to 50% - This plant prefers low to moderate humidity and does very well in typical indoor conditions across most Indian homes. It can handle the dry air-conditioned environments as well as naturally humid conditions.
## Growth
Haworthiopsis reinwardtii grows in a vertical, columnar fashion with multiple stems that can reach 15-20 cm in height. The plant grows slowly but steadily, producing offsets (baby plants) at the base which create a nice clustered effect over time. The stems are triangular in cross-section and covered with white pearly tubercles that give it its distinctive appearance. Growth is more active during the cooler months (October to March) and slows down during hot Indian summers.
## Watering
- **Frequency:** Once every 10-14 days depending on season and weather conditions. In summer, you may need to water once a week, while in monsoon and winter, reduce to once every 2-3 weeks.
- **Tips:** Always check if the soil is completely dry before watering. Water thoroughly until it drains out from the bottom, then wait until the soil dries completely again. Reduce watering significantly during monsoon season. Never let the plant sit in water as this can cause root rot. In Indian climate, water less frequently during the rainy season and winter months.
## Sunlight
- **Hours per day:** 3 to 4 hours of morning or evening sun
- **Type:** Bright indirect light with some direct morning or evening sun. Avoid harsh afternoon sun, especially during Indian summers (April-June) as it can burn the leaves and turn them brown. A bright windowsill with filtered light works perfectly.
## Care Tips
- Place the plant in an east-facing window where it gets gentle morning sun in Indian homes
- Protect from intense afternoon sun during peak summer months (April to June)
- During monsoon season, reduce watering significantly and ensure good air circulation to prevent fungal issues
- Clean the leaves gently with a soft brush to remove dust and keep the white tubercles visible
- If kept outdoors, provide shade cloth during summer months to filter harsh sunlight
- This plant is perfect for air-conditioned rooms as it tolerates lower humidity
- During Indian winters, the plant may go semi-dormant; reduce watering frequency
## Growth Tips
- Use a very well-draining soil mix: combine 50% regular potting soil with 50% perlite, cocopeat, or sand
- Add some gravel or small stones at the bottom of the pot for extra drainage
- Feed with diluted succulent fertilizer once every 2-3 months during the growing season (October to March)
- Repot every 2-3 years or when the plant becomes too crowded with offsets
- Use terracotta or clay pots which allow soil to dry faster and prevent waterlogging
- Propagate easily by removing offsets during repotting and planting them separately
- Keep the pot size small; Haworthias prefer being slightly root-bound
## Common Problems
- **Brown or black leaves:** Usually caused by overwatering or fungal infection during monsoon. Reduce watering and ensure good drainage.
- **Leaves turning red or brown:** Too much direct sunlight, especially harsh afternoon sun. Move to a location with filtered light.
- **Stretched or elongated growth:** Not enough light. Move the plant to a brighter location with more indirect sunlight.
- **Soft, mushy stems:** Root rot from overwatering. Stop watering immediately, check roots, remove affected parts, and repot in fresh dry soil.
- **White cottony patches:** Mealybugs are common pests. Remove with cotton swabs dipped in rubbing alcohol or neem oil solution.
- **Slow or no growth:** Normal during hot summer months. The plant may also need fertilizer during growing season or might be root-bound and need repotting.
- **Leaves losing their white tubercles:** Natural aging process for older leaves at the bottom. New growth should show prominent white dots.</t>
        </is>
      </c>
      <c r="V18" s="98">
        <f>HYPERLINK("https://rosaryplanthouse.com/plant/"&amp;A18&amp;"-"&amp;SUBSTITUTE(LOWER(E18), " ", "-"))</f>
        <v/>
      </c>
      <c r="W18" t="inlineStr">
        <is>
          <t>🟢 Haworthiopsis Reinwardtii (ID: 17)
🌟 Meet the stunning Height Haworthia, also known as the Zebra Wart Plant! This captivating succulent will elevate your indoor plant collection with its unique textures and charming appearance. 
🌱 **About the Plant:** Native to South Africa, this gem features tall, upright stems adorned with raised white tubercles, creating a striking visual contrast. Perfect for beginners, it thrives in low to medium light and is a breeze to care for!
✨ **Key Details:**
- 🌞 Sunlight: Bright indirect light with some morning sun
- 💧 Watering: Low; once every 10-14 days
- 🌡️ Temperature: Prefers 15°C to 35°C; tolerates dry indoor conditions
Ready to bring this beauty home? 🌿 **Link in bio!**
#Haworthia #IndoorPlants #SucculentLove #PlantParent #HomeDecor #PlantCollection #ZebraWartPlant #GreenThumb #RosaryPlantHouse #PlantLovers #SucculentCare #HousePlants #PlantAddict #IndoorJungle #PlantGoals</t>
        </is>
      </c>
    </row>
    <row r="19" ht="99.5" customHeight="1">
      <c r="A19" s="73" t="n">
        <v>18</v>
      </c>
      <c r="B19" s="74" t="inlineStr">
        <is>
          <t>Chinese Jade</t>
        </is>
      </c>
      <c r="C19" s="74">
        <f>IF(Local!H19,"1","0")</f>
        <v/>
      </c>
      <c r="D19" s="75" t="n">
        <v>69</v>
      </c>
      <c r="E19" s="66" t="inlineStr">
        <is>
          <t>Sinocrassula yunnanensis</t>
        </is>
      </c>
      <c r="F19" s="76">
        <f>"public/sale_plants/"&amp;A19&amp;".jpg"</f>
        <v/>
      </c>
      <c r="G19" s="77" t="inlineStr">
        <is>
          <t>(1.5"-2.5")</t>
        </is>
      </c>
      <c r="H19" s="78" t="inlineStr">
        <is>
          <t>Low</t>
        </is>
      </c>
      <c r="I19" s="66" t="inlineStr">
        <is>
          <t>Low</t>
        </is>
      </c>
      <c r="J19" s="66" t="inlineStr">
        <is>
          <t>Medium</t>
        </is>
      </c>
      <c r="K19" s="79" t="n">
        <v>89</v>
      </c>
      <c r="L19" s="80" t="inlineStr">
        <is>
          <t>Crassula</t>
        </is>
      </c>
      <c r="M19" s="80" t="n">
        <v>0</v>
      </c>
      <c r="N19" s="80" t="n">
        <v>0</v>
      </c>
      <c r="O19" s="81" t="n">
        <v>0</v>
      </c>
      <c r="P19" s="81" t="n">
        <v>0</v>
      </c>
      <c r="Q19" s="81">
        <f>IF(Local!I19=TRUE,1,0)</f>
        <v/>
      </c>
      <c r="R19" s="81">
        <f>Local!D19</f>
        <v/>
      </c>
      <c r="S19" s="81">
        <f>Local!F19</f>
        <v/>
      </c>
      <c r="T19" s="81">
        <f>Local!G19</f>
        <v/>
      </c>
      <c r="U19" s="83" t="inlineStr">
        <is>
          <t>## About
Chinese Jade (Sinocrassula yunnanensis) is a charming miniature succulent that forms tight rosettes of thick, fleshy leaves arranged in a beautiful spiral pattern. This small but stunning plant is native to China and is loved by succulent collectors for its compact size and unique appearance.
## Origin
This plant originates from the Yunnan province in China, where it grows naturally in rocky, mountainous areas. It is adapted to cooler mountain climates and can tolerate temperature variations better than many tropical succulents.
## Temperature &amp; Humidity
- **Temperature Range:** 10Â°C to 30Â°C (can tolerate brief drops to 5Â°C but should be protected from frost)
- **Humidity:** Low to moderate humidity (30% to 50%). This plant prefers drier conditions and does not need high humidity like tropical plants.
## Growth
Chinese Jade is a slow-growing succulent that typically reaches 5-8 cm in height and width. Each rosette grows in a compact, dome-shaped form with leaves tightly packed together. The plant produces offsets (baby plants) around the base, which can eventually form small clusters. Growth is slower during hot summers and picks up during cooler months.
## Watering
- **Frequency:** Once every 10-14 days depending on other parameters like season, weather, and pot size. Water less in monsoon and winter.
- **Tips:** Always check if the soil is completely dry before watering. Water thoroughly until it drains from the bottom, but never let the plant sit in water. During Indian summers (April-June), water once a week if kept outdoors. In monsoon season, reduce watering significantly or stop completely if kept outside in rain. The thick leaves store water, so it's better to underwater than overwater.
## Sunlight
- **Hours per day:** 4 to 6 hours
- **Type:** Bright indirect light or morning direct sun with afternoon shade. Avoid harsh afternoon sun during Indian summers as it can burn the leaves.
## Care Tips
- Protect from heavy monsoon rains as excessive moisture can cause root rot
- During hot Indian summers (above 35Â°C), move to a shadier spot to prevent leaf burn
- This plant prefers cooler temperatures, so it grows best during winter months (November to February)
- Good air circulation is important to prevent fungal issues in humid conditions
- Use a well-draining pot with drainage holes to prevent water logging
- Can be kept on windowsills, balconies, or in shaded outdoor areas
## Growth Tips
- Use a well-draining cactus or succulent potting mix with added perlite or cocopeat
- You can make your own mix: 50% regular soil + 30% cocopeat + 20% perlite or sand
- Fertilize sparingly, only once every 2-3 months during the growing season (October to March) with a diluted succulent fertilizer
- Repot every 2-3 years or when the plant outgrows its container
- Propagation is easy through offsets - gently separate baby plants and pot them individually
- The plant may go dormant during extreme heat, which is normal
## Common Problems
- **Leaf drop or mushy leaves:** Caused by overwatering or poor drainage. Reduce watering immediately and check for root rot.
- **Stretched or leggy growth:** Not enough sunlight. Move to a brighter location gradually.
- **Brown, crispy leaf tips:** Too much direct harsh sun or underwatering during active growth period.
- **Mealybugs:** White cotton-like pests on leaves. Remove with cotton swab dipped in rubbing alcohol or neem oil solution.
- **Fungal issues:** Can occur during monsoon due to excess humidity. Ensure good air flow and avoid overhead watering.
- **Slow or no growth:** Normal during summer dormancy or if the plant needs fertilizer during growing season.</t>
        </is>
      </c>
      <c r="V19" s="98">
        <f>HYPERLINK("https://rosaryplanthouse.com/plant/"&amp;A19&amp;"-"&amp;SUBSTITUTE(LOWER(E19), " ", "-"))</f>
        <v/>
      </c>
      <c r="W19" t="inlineStr">
        <is>
          <t>🟢 Chinese Jade (ID: 18)
🌿 Say hello to the enchanting Chinese Jade (Sinocrassula yunnanensis)! This charming miniature succulent is a true gem for any plant lover's collection. 
✨ With its stunning spiral arrangement of thick, fleshy leaves, this unique plant hails from the rocky mountains of China's Yunnan province. Adapted to cooler climates, the Chinese Jade thrives in low to moderate humidity, making it the perfect low-maintenance companion! 
🌱 **Key Details:**
- **Watering:** Once every 10-14 days, allowing the soil to dry completely between waterings.
- **Sunlight:** Prefers 4-6 hours of bright indirect light or morning sun with afternoon shade.
- **Care Tips:** Protect from heavy rains, and provide good air circulation to prevent fungal issues.
🌟 Ready to add this stunning succulent to your home? Discover more about the Chinese Jade—Link in bio! 
#ChineseJade #SinocrassulaYunnanensis #SucculentLove #PlantCollection #IndoorPlants #SucculentCare #Houseplants #GreenThumb #PlantLovers #RosaryPlantHouse</t>
        </is>
      </c>
    </row>
    <row r="20" ht="99.5" customHeight="1">
      <c r="A20" s="73" t="n">
        <v>19</v>
      </c>
      <c r="B20" s="84" t="inlineStr">
        <is>
          <t>Rabbit ear(Brown Border)</t>
        </is>
      </c>
      <c r="C20" s="74">
        <f>IF(Local!H20,"1","0")</f>
        <v/>
      </c>
      <c r="D20" s="75" t="n">
        <v>69</v>
      </c>
      <c r="E20" s="66" t="inlineStr">
        <is>
          <t>Kalanchoe tomentosa 'Chocolate Soldier'</t>
        </is>
      </c>
      <c r="F20" s="76">
        <f>"public/sale_plants/"&amp;A20&amp;".jpg"</f>
        <v/>
      </c>
      <c r="G20" s="77" t="inlineStr">
        <is>
          <t>(2"-3")</t>
        </is>
      </c>
      <c r="H20" s="78" t="inlineStr">
        <is>
          <t>Low</t>
        </is>
      </c>
      <c r="I20" s="66" t="inlineStr">
        <is>
          <t>Low</t>
        </is>
      </c>
      <c r="J20" s="66" t="inlineStr">
        <is>
          <t>Medium</t>
        </is>
      </c>
      <c r="K20" s="79" t="n">
        <v>99</v>
      </c>
      <c r="L20" s="80" t="inlineStr">
        <is>
          <t>Succulent</t>
        </is>
      </c>
      <c r="M20" s="80" t="n">
        <v>0</v>
      </c>
      <c r="N20" s="80" t="n">
        <v>0</v>
      </c>
      <c r="O20" s="81" t="n">
        <v>0</v>
      </c>
      <c r="P20" s="80" t="n">
        <v>0</v>
      </c>
      <c r="Q20" s="81">
        <f>IF(Local!I20=TRUE,1,0)</f>
        <v/>
      </c>
      <c r="R20" s="81">
        <f>Local!D20</f>
        <v/>
      </c>
      <c r="S20" s="81">
        <f>Local!F20</f>
        <v/>
      </c>
      <c r="T20" s="81">
        <f>Local!G20</f>
        <v/>
      </c>
      <c r="U20" s="83" t="inlineStr">
        <is>
          <t>## About
Chocolate Soldier is a beautiful succulent plant with fuzzy, soft leaves covered in tiny hairs that give it a velvety texture. The leaves are green-grey in color with distinctive chocolate-brown edges and markings that give this plant its delicious name. This is a popular choice for indoor gardening and makes a wonderful addition to any succulent collection.
## Origin
Chocolate Soldier is a cultivated variety of Kalanchoe tomentosa, which originally comes from Madagascar. In its native habitat, it grows in rocky, dry areas where water is scarce. This background makes it perfectly adapted to survive with minimal care and low water needs.
## Temperature &amp; Humidity
- **Temperature Range:** 15Â°C to 35Â°C
- **Humidity:** Low to moderate humidity (30% to 50%). This plant prefers drier conditions and can handle the dry climate found in many parts of India. It does not like excessive humidity, so avoid keeping it in very damp locations.
## Growth
Chocolate Soldier is a slow-growing succulent that typically reaches 30 to 45 cm in height when mature. It grows upright with thick, fleshy stems and leaves arranged in rosette patterns. The plant spreads slowly and stays compact, making it ideal for small pots and indoor spaces. Its fuzzy leaves grow in clusters and the chocolate-brown edges become more pronounced with proper sunlight exposure.
## Watering
- **Frequency:** Once every 10-15 days depending on season and weather conditions. Water less frequently during monsoon and winter, and slightly more during hot summer months.
- **Tips:** Always check if the soil is completely dry before watering. Water thoroughly until it drains from the bottom, then wait for the soil to dry out completely. Overwatering is the biggest enemy of this plant. The fuzzy leaves should not get wet as water droplets can cause rot or fungal issues, so water directly into the soil. Reduce watering significantly during winter months.
## Sunlight
- **Hours per day:** 4 to 6 hours
- **Type:** Bright indirect light to partial direct sunlight. Morning sun is best. In Indian summers, protect from harsh afternoon sun which can scorch the fuzzy leaves. Filtered light through a window or light shade is ideal.
## Care Tips
- Protect from direct afternoon sun during peak Indian summer (April-June) as the intense heat can damage the delicate fuzzy coating on leaves
- Keep in a well-ventilated area to prevent fungal problems, especially during humid monsoon months
- Avoid getting water on the leaves as the fuzzy coating traps moisture and can lead to rot
- Remove any dead or damaged leaves from the base to maintain plant health
- During winter (December-February), reduce watering and protect from temperatures below 10Â°C
- Clean dust gently from leaves using a soft brush to maintain the plant's fuzzy appearance
- This plant is pet-friendly compared to many succulents, but it's still best to keep it away from curious pets
## Growth Tips
- Use a well-draining cactus or succulent potting mix. You can make your own by mixing regular potting soil with coarse sand and perlite in equal parts
- Add small pieces of charcoal to the soil to prevent root rot
- Fertilize very sparingly - once every 2-3 months during the growing season (spring and early summer) with a diluted succulent fertilizer
- Repot only when the plant outgrows its container, typically every 2-3 years
- Choose terracotta or clay pots as they allow excess moisture to evaporate quickly
- Ensure pots have proper drainage holes to prevent waterlogging
- Propagate easily by leaf or stem cuttings - allow cut ends to dry for 2-3 days before planting in dry soil
## Common Problems
- **Brown, mushy leaves:** This is usually caused by overwatering or water sitting on the fuzzy leaves. Allow soil to dry completely between waterings
- **Leaves dropping off:** Can be due to underwatering in extreme heat or overwatering. Check soil moisture to determine the cause
- **Stretching and losing compact shape:** Not enough sunlight. Move to a brighter location with more indirect light
- **Loss of chocolate-brown coloring:** Insufficient light. The distinctive brown edges develop best with adequate bright light
- **Mealybugs:** Small white cottony pests that hide between leaves. Remove with cotton swabs dipped in rubbing alcohol
- **Root rot:** Caused by overwatering or poor drainage. Prevention is key - always use well-draining soil and pots with holes
- **Yellowing leaves:** Natural aging of lower leaves, or possibly overwatering if multiple leaves are affected
- **Fungal spots on fuzzy leaves:** Caused by water sitting on leaves or high humidity. Keep leaves dry and improve air circulation</t>
        </is>
      </c>
      <c r="V20" s="98">
        <f>HYPERLINK("https://rosaryplanthouse.com/plant/"&amp;A20&amp;"-"&amp;SUBSTITUTE(LOWER(E20), " ", "-"))</f>
        <v/>
      </c>
      <c r="W20" t="inlineStr">
        <is>
          <t>🟢 Kalanchoe tomentosa 'Chocolate Soldier' (ID: 19)  
🌿 Meet the adorable Chocolate Soldier, your new favorite succulent! This beauty boasts fuzzy, soft leaves with charming chocolate-brown edges that make it an irresistible addition to any indoor garden. 🌱✨  
About this delightful plant: Originating from the rocky landscapes of Madagascar, this low-maintenance succulent thrives in bright indirect light and requires minimal watering. Its compact growth and velvety texture will surely elevate your plant collection!  
**Key Details:**  
- 🌞 Sunlight: Bright indirect light (4-6 hours)  
- 💧 Watering: Low; every 10-15 days  
- 🌡️ Temperature: 15°C to 35°C (prefers low humidity)  
Ready to welcome this charming succulent into your home? 🌟 **Link in bio** to shop!  
#Kalanchoe #ChocolateSoldier #SucculentLove #IndoorPlants #PlantParents #PlantCollection #HousePlants #FuzzyLeaves #PlantCare #RosaryPlantHouse #GreenThumb #PlantAddict #SucculentCare</t>
        </is>
      </c>
    </row>
    <row r="21" ht="99.5" customHeight="1">
      <c r="A21" s="73" t="n">
        <v>20</v>
      </c>
      <c r="B21" s="74" t="inlineStr">
        <is>
          <t>Opuntia Red</t>
        </is>
      </c>
      <c r="C21" s="74">
        <f>IF(Local!H21,"1","0")</f>
        <v/>
      </c>
      <c r="D21" s="75" t="n">
        <v>49</v>
      </c>
      <c r="E21" s="66" t="inlineStr">
        <is>
          <t>Opuntia microdasys var. rufida</t>
        </is>
      </c>
      <c r="F21" s="76">
        <f>"public/sale_plants/"&amp;A21&amp;".jpg"</f>
        <v/>
      </c>
      <c r="G21" s="77" t="inlineStr">
        <is>
          <t>(2"-3")</t>
        </is>
      </c>
      <c r="H21" s="78" t="inlineStr">
        <is>
          <t>Low</t>
        </is>
      </c>
      <c r="I21" s="66" t="inlineStr">
        <is>
          <t>Low</t>
        </is>
      </c>
      <c r="J21" s="66" t="inlineStr">
        <is>
          <t>High</t>
        </is>
      </c>
      <c r="K21" s="79" t="n">
        <v>69</v>
      </c>
      <c r="L21" s="81" t="inlineStr">
        <is>
          <t>Cactus</t>
        </is>
      </c>
      <c r="M21" s="80" t="n">
        <v>0</v>
      </c>
      <c r="N21" s="80" t="n">
        <v>0</v>
      </c>
      <c r="O21" s="81" t="n">
        <v>0</v>
      </c>
      <c r="P21" s="80" t="n">
        <v>0</v>
      </c>
      <c r="Q21" s="81">
        <f>IF(Local!I21=TRUE,1,0)</f>
        <v/>
      </c>
      <c r="R21" s="81">
        <f>Local!D21</f>
        <v/>
      </c>
      <c r="S21" s="81">
        <f>Local!F21</f>
        <v/>
      </c>
      <c r="T21" s="81">
        <f>Local!G21</f>
        <v/>
      </c>
      <c r="U21" s="83" t="inlineStr">
        <is>
          <t>## About
The Bunny Ear Cactus Red is a charming variety of cactus with flat, oval-shaped pads that look like bunny ears. It is covered with reddish-brown fuzzy dots called glochids, giving it a unique colorful appearance. This cute cactus is popular among plant lovers because of its adorable shape and low maintenance needs.
## Origin
This cactus originally comes from Mexico and the southwestern parts of the United States. It grows naturally in dry desert regions where water is scarce and sunlight is abundant. The plant has adapted well to hot, dry conditions and can survive in tough environments.
## Temperature &amp; Humidity
- **Temperature Range:** 20Â°C to 38Â°C
- **Humidity:** Low humidity (30% to 50%) is ideal. This cactus thrives in dry air and does not need high humidity. It can tolerate the hot and dry Indian summer very well.
## Growth
The Bunny Ear Cactus Red grows slowly and can reach a height of 30 to 60 cm over several years. It spreads by producing new pads that grow from the sides of existing ones. Each pad can grow to about 7 to 15 cm long. The plant has a bushy, upright growth pattern and looks great in small pots or as part of a cactus garden.
## Watering
- **Frequency:** Once every two weeks depending on season and weather conditions. In monsoon or winter, reduce watering to once a month.
- **Tips:** Always let the soil dry out completely between waterings. Overwatering is the biggest enemy of this cactus. Water less during the rainy season and winter months. Make sure the pot has drainage holes to prevent water from sitting at the bottom.
## Sunlight
- **Hours per day:** 6 to 8 hours
- **Type:** Direct sunlight is best. This cactus loves bright, direct sunlight and will thrive when placed outdoors or on a sunny windowsill. Too little light will cause slow growth and faded color.
## Care Tips
- Keep the cactus in a spot where it receives full sun, especially during morning hours.
- Use a well-draining cactus or succulent soil mix to prevent root rot.
- Be very careful when handling this cactus. The glochids (tiny fuzzy spines) can stick to your skin and are hard to remove.
- During the hot Indian summer, the cactus can handle high heat without any problems.
- Protect the plant from heavy rain during monsoon as too much water can cause root rot.
- In winter, reduce watering significantly as the plant goes into a semi-dormant state.
## Growth Tips
- Use a cactus or succulent potting mix with sand, perlite, or pumice for excellent drainage.
- Fertilize once every 2 to 3 months during the growing season (spring and summer) with a diluted cactus fertilizer.
- Repot the cactus every 2 to 3 years in fresh soil. Choose a pot that is slightly larger than the previous one.
- Propagation is easy. Simply break off a pad, let it dry for a few days to form a callus, and then place it on cactus soil. It will root on its own.
- Avoid using heavy clay soil as it retains too much moisture.
## Common Problems
- **Yellow or soft pads:** This is a sign of overwatering or root rot. Reduce watering immediately and check if the soil is too wet.
- **Shriveled or wrinkled pads:** The cactus is thirsty. Water it thoroughly and it should plump up in a few days.
- **Glochid irritation:** The tiny reddish spines can cause skin irritation. Use tweezers or tape to remove them if they stick to your skin.
- **Slow or no growth:** Not enough sunlight. Move the plant to a brighter spot with more direct sun.
- **Pests like mealybugs or scale insects:** These can appear as white cottony spots or brown bumps on the pads. Wipe them off with a cotton swab dipped in rubbing alcohol.
- **No flowers:** This cactus may not flower indoors easily. It needs strong sunlight, maturity, and a dry winter rest period to bloom.</t>
        </is>
      </c>
      <c r="V21" s="98">
        <f>HYPERLINK("https://rosaryplanthouse.com/plant/"&amp;A21&amp;"-"&amp;SUBSTITUTE(LOWER(E21), " ", "-"))</f>
        <v/>
      </c>
      <c r="W21" t="inlineStr">
        <is>
          <t>🟢 Opuntia Red (ID: 20)  
🌵 Meet the adorable Opuntia microdasys var. rufida, also known as the Bunny Ear Cactus Red! 🐰 This charming cactus is not just a plant; it’s a delightful addition to your home that’s low-maintenance and full of character!
✨ **About:** With its unique bunny ear-shaped pads covered in fuzzy red-brown dots, this cactus captures hearts with its whimsical appearance. Native to the hot, dry deserts of Mexico and the southwestern U.S., it thrives on low water and high sunlight, making it the perfect companion for busy plant lovers!
🌞 **Key Details:**  
- **Watering:** Low; once every two weeks  
- **Sunlight:** 6-8 hours of direct sunlight daily  
- **Growth:** A slow grower with bushy, upright pads  
👉 Ready to add this adorable cactus to your collection? **Link in bio!**  
#OpuntiaRed #BunnyEarCactus #CactusCollection #PlantLovers #LowMaintenancePlants #SucculentAddict #DesertPlants #HomeDecor #PlantGoals #CactusLovers #RosaryPlantHouse</t>
        </is>
      </c>
    </row>
    <row r="22" ht="99.5" customHeight="1">
      <c r="A22" s="73" t="n">
        <v>21</v>
      </c>
      <c r="B22" s="74" t="inlineStr">
        <is>
          <t>Opuntia yellow</t>
        </is>
      </c>
      <c r="C22" s="74">
        <f>IF(Local!H22,"1","0")</f>
        <v/>
      </c>
      <c r="D22" s="75" t="n">
        <v>49</v>
      </c>
      <c r="E22" s="66" t="inlineStr">
        <is>
          <t>Opuntia microdasys</t>
        </is>
      </c>
      <c r="F22" s="76">
        <f>"public/sale_plants/"&amp;A22&amp;".jpg"</f>
        <v/>
      </c>
      <c r="G22" s="77" t="inlineStr">
        <is>
          <t>(2"-3")</t>
        </is>
      </c>
      <c r="H22" s="78" t="inlineStr">
        <is>
          <t>Low</t>
        </is>
      </c>
      <c r="I22" s="66" t="inlineStr">
        <is>
          <t>Low</t>
        </is>
      </c>
      <c r="J22" s="66" t="inlineStr">
        <is>
          <t>High</t>
        </is>
      </c>
      <c r="K22" s="79" t="n">
        <v>69</v>
      </c>
      <c r="L22" s="81" t="inlineStr">
        <is>
          <t>Cactus</t>
        </is>
      </c>
      <c r="M22" s="80" t="n">
        <v>0</v>
      </c>
      <c r="N22" s="80" t="n">
        <v>0</v>
      </c>
      <c r="O22" s="81" t="n">
        <v>0</v>
      </c>
      <c r="P22" s="81" t="n">
        <v>0</v>
      </c>
      <c r="Q22" s="81">
        <f>IF(Local!I22=TRUE,1,0)</f>
        <v/>
      </c>
      <c r="R22" s="81">
        <f>Local!D22</f>
        <v/>
      </c>
      <c r="S22" s="81">
        <f>Local!F22</f>
        <v/>
      </c>
      <c r="T22" s="81">
        <f>Local!G22</f>
        <v/>
      </c>
      <c r="U22" s="83" t="inlineStr">
        <is>
          <t>## About
The Bunny Ear Cactus is a cheerful and easy-to-grow cactus loved for its cute, pad-shaped stems that look like rabbit ears. With its bright yellow dots (glochids) covering the green pads, this plant adds a playful touch to any space. It is a popular choice for beginners and collectors alike.
## Origin
This cactus comes from the northern and central regions of Mexico, where it grows naturally in dry, rocky areas with lots of sunshine. It belongs to the Opuntia family, which includes many popular cacti known for their flat, pad-like structures.
## Temperature &amp; Humidity
- **Temperature Range:** 15Â°C to 35Â°C
- **Humidity:** Prefers low to moderate humidity (30% to 50%). The Bunny Ear Cactus loves dry conditions and does well in the typical Indian climate, especially during summer. It can tolerate high temperatures but should be protected from frost and cold below 10Â°C during winter months.
## Growth
The Bunny Ear Cactus grows slowly and forms thick, flat pads that stack on top of each other, resembling bunny ears. A mature plant can grow up to 30 to 60 cm in height and spread about 30 cm wide. It is a compact plant, making it perfect for small pots and windowsills. The plant grows actively during the warmer months (spring and summer) and slows down in winter.
## Watering
- **Frequency:** Once every 2 weeks depending on weather and season (water less in winter and rainy season, slightly more during hot summer months)
- **Tips:** Always allow the soil to dry out completely between watering. Overwatering is the most common cause of root rot in cacti. Water thoroughly but make sure the pot has drainage holes. During monsoon, reduce watering significantly to prevent excess moisture. In winter, water only once a month or less.
## Sunlight
- **Hours per day:** 4 to 6 hours
- **Type:** Direct sunlight is ideal. This cactus loves bright, direct sunlight and thrives best when placed near a sunny window or outdoors in full sun. However, if kept indoors, place it in the brightest spot available. In very intense afternoon sun (above 40Â°C), provide some light shade to prevent scorching.
## Care Tips
- Keep the plant in a well-ventilated area to avoid moisture buildup, especially during monsoons.
- Use a shallow pot with good drainage holes to prevent waterlogging.
- Avoid touching the yellow glochids (tiny hair-like spines) as they can irritate the skin.
- During extreme summer heat, you can move the plant to a spot with morning sun and afternoon shade.
- Clean the pads gently with a soft brush to remove dust, which helps the plant photosynthesize better.
- If growing indoors, rotate the pot every few weeks so all sides get equal sunlight.
## Growth Tips
- **Soil:** Use a well-draining cactus or succulent mix. You can make your own by mixing regular potting soil with coarse sand and perlite in a 1:1:1 ratio.
- **Fertilizer:** Feed once a month during the growing season (March to September) with a diluted cactus fertilizer or a balanced liquid fertilizer at half strength. Do not fertilize in winter.
- **Repotting:** Repot every 2 to 3 years or when the plant outgrows its pot. Repotting is best done in spring. Use gloves or folded newspaper to handle the plant safely.
## Common Problems
- **Yellow or brown pads:** Usually caused by overwatering or poor drainage. Let the soil dry out completely and reduce watering frequency.
- **Soft or mushy stems:** A sign of root rot due to too much water. Remove affected pads and repot in fresh, dry soil.
- **Shriveled pads:** Underwatering or extreme heat. Increase watering slightly during very hot weather.
- **Slow or no growth:** Lack of sunlight or nutrients. Move to a sunnier spot and fertilize during growing season.
- **Pests:** Mealybugs and scale insects can sometimes appear. Wipe them off with a cotton swab dipped in rubbing alcohol or use neem oil spray.
- **Pads falling off:** Can happen due to overwatering, underwatering, or sudden temperature changes. Ensure consistent care and stable conditions.</t>
        </is>
      </c>
      <c r="V22" s="98">
        <f>HYPERLINK("https://rosaryplanthouse.com/plant/"&amp;A22&amp;"-"&amp;SUBSTITUTE(LOWER(E22), " ", "-"))</f>
        <v/>
      </c>
      <c r="W22" t="inlineStr">
        <is>
          <t>🟢 Opuntia Microdasys (ID: 21)
🌟 Meet the charming Bunny Ear Cactus! 🌟 This delightful plant is not just a feast for the eyes; it's also a breeze to care for! 
With its unique pad-shaped stems resembling rabbit ears and adorable yellow glochids, the Opuntia microdasys adds a playful touch to any space. Perfect for both beginners and seasoned collectors, this cactus thrives in high sunlight and low humidity, making it a fantastic addition to your home or office.
✨ **Key Details:**
- 🌞 Sunlight: Thrives in direct sunlight (4-6 hours/day)
- 💧 Watering: Low maintenance - water every 2 weeks 
- 🌵 Origin: Native to the sunny regions of Mexico
Don’t miss your chance to bring this cheerful companion home! 🌼 Link in bio for more details!
#BunnyEarCactus #OpuntiaMicrodasys #CactusLove #PlantParent #IndoorPlants #SucculentCollection #PlantAddict #HousePlants #GreenThumb #PlantGoals #RosaryPlantHouse #CactusCare #LowMaintenancePlants #EcoFriendlyDecor</t>
        </is>
      </c>
    </row>
    <row r="23" ht="99.5" customHeight="1">
      <c r="A23" s="73" t="n">
        <v>22</v>
      </c>
      <c r="B23" s="74" t="inlineStr">
        <is>
          <t>Moonstone</t>
        </is>
      </c>
      <c r="C23" s="74">
        <f>IF(Local!H23,"1","0")</f>
        <v/>
      </c>
      <c r="D23" s="75" t="n">
        <v>79</v>
      </c>
      <c r="E23" s="66" t="inlineStr">
        <is>
          <t>Graptopetalum amethystinum</t>
        </is>
      </c>
      <c r="F23" s="76">
        <f>"public/sale_plants/"&amp;A23&amp;".jpg"</f>
        <v/>
      </c>
      <c r="G23" s="77" t="inlineStr">
        <is>
          <t>(2"-3")</t>
        </is>
      </c>
      <c r="H23" s="78" t="inlineStr">
        <is>
          <t>Moderate</t>
        </is>
      </c>
      <c r="I23" s="66" t="inlineStr">
        <is>
          <t>Low</t>
        </is>
      </c>
      <c r="J23" s="66" t="inlineStr">
        <is>
          <t>High</t>
        </is>
      </c>
      <c r="K23" s="79" t="n">
        <v>99</v>
      </c>
      <c r="L23" s="80" t="inlineStr">
        <is>
          <t>Succulent</t>
        </is>
      </c>
      <c r="M23" s="80" t="n">
        <v>0</v>
      </c>
      <c r="N23" s="80" t="n">
        <v>0</v>
      </c>
      <c r="O23" s="81" t="n">
        <v>0</v>
      </c>
      <c r="P23" s="80" t="n">
        <v>0</v>
      </c>
      <c r="Q23" s="81">
        <f>IF(Local!I23=TRUE,1,0)</f>
        <v/>
      </c>
      <c r="R23" s="81">
        <f>Local!D23</f>
        <v/>
      </c>
      <c r="S23" s="81">
        <f>Local!F23</f>
        <v/>
      </c>
      <c r="T23" s="81">
        <f>Local!G23</f>
        <v/>
      </c>
      <c r="U23" s="83" t="inlineStr">
        <is>
          <t>## About
Graptopetalum amethystinum, commonly known as Lavender Pebbles, is a beautiful succulent with thick, plump leaves that look like smooth pebbles. The leaves have a lovely blue-green to lavender-grey color with a powdery coating that gives them a frosted appearance. This charming plant is native to Mexico and is loved by succulent collectors for its unique color and compact rosette shape.
## Origin
This succulent originates from Mexico, where it grows naturally in rocky, mountainous regions. It is used to dry conditions and bright sunlight, which makes it well-suited for Indian climates, especially in regions with hot summers and mild winters.
## Temperature &amp; Humidity
- **Temperature Range:** 15Â°C to 35Â°C
- **Humidity:** Prefers low to moderate humidity levels, around 30% to 50%. It can tolerate the dry conditions common in many parts of India, but should be protected from excessive monsoon moisture.
## Growth
Lavender Pebbles is a slow-growing succulent that forms compact rosettes. Each rosette can grow to about 5-8 cm in diameter. The plant tends to stay small and grows close to the ground, making it perfect for small pots, succulent arrangements, and dish gardens. Over time, it may produce offsets (baby plants) around the base, creating a clustering effect.
## Watering
- **Frequency:** Once every 10-15 days depending on season and weather conditions. During hot summer months, you may need to water once a week, but in cooler months or monsoon season, reduce watering significantly.
- **Tips:** Always allow the soil to dry out completely between waterings. Water deeply but infrequently. Avoid getting water on the leaves as this can wash away the protective powdery coating. Reduce watering during winter months when the plant is dormant. Overwatering is the most common cause of problems with this succulent.
## Sunlight
- **Hours per day:** 4 to 6 hours
- **Type:** Direct bright sunlight is best, especially morning sun. Can tolerate some afternoon shade during the hottest part of the day in peak summer. The beautiful lavender coloring becomes more intense with adequate sunlight. In low light, the plant may lose its color and become leggy.
## Care Tips
- Protect from heavy monsoon rains as excessive moisture can cause root rot
- Keep in a well-ventilated area to prevent fungal issues common in humid Indian climates
- The powdery coating on the leaves is natural and protects the plant; avoid touching the leaves unnecessarily
- During extreme summer heat (above 40Â°C), provide some afternoon shade
- Bring indoors or provide shelter during heavy rains
- Can be grown on sunny balconies, windowsills, or terrace gardens in Indian homes
## Growth Tips
- Use a well-draining succulent or cactus soil mix; you can make your own by mixing regular potting soil with coarse sand and perlite in equal parts
- Add small pebbles or gravel at the bottom of the pot for better drainage
- Fertilize sparinglyâ€”once every 2-3 months during the growing season (spring and early summer) with a diluted succulent fertilizer
- Repot every 2-3 years or when the plant outgrows its container
- Use terracotta or clay pots as they allow excess moisture to evaporate quickly
- Propagate easily from leaf cuttings or offsets
## Common Problems
- **Root rot:** Caused by overwatering or poor drainage; leaves become soft, translucent, and mushy
- **Etiolation (stretching):** Plant becomes leggy and loses compact shape due to insufficient sunlight
- **Leaf drop:** Can occur from overwatering or sudden temperature changes
- **Mealybugs:** White cotton-like pests that hide between leaves; remove manually or treat with neem oil
- **Sunburn:** Brown or white patches on leaves from sudden exposure to intense afternoon sun without acclimatization
- **Loss of powdery coating:** Caused by excessive handling or water splashing on leaves
- **Fungal issues:** Can develop during monsoon season if kept in poorly ventilated, damp conditions</t>
        </is>
      </c>
      <c r="V23" s="98">
        <f>HYPERLINK("https://rosaryplanthouse.com/plant/"&amp;A23&amp;"-"&amp;SUBSTITUTE(LOWER(E23), " ", "-"))</f>
        <v/>
      </c>
      <c r="W23" t="inlineStr">
        <is>
          <t>🟢 Graptopetalum Amethystinum (ID: 22)
✨ Introducing the enchanting Moonstone! ✨ This stunning succulent is more than just a pretty face; its thick, plump leaves resemble smooth pebbles and showcase a mesmerizing blend of blue-green to lavender-grey tones, adorned with a unique powdery coating. 
🌿 **About Moonstone:** 
Native to the rocky terrains of Mexico, this slow-growing beauty thrives in bright sunlight and tolerates dry conditions, making it a perfect addition to your indoor or outdoor plant collection! 
🌞 **Key Details:**
- **Watering:** Low maintenance, just water every 10-15 days!
- **Sunlight:** Loves 4-6 hours of bright sunlight daily to maintain its vibrant colors.
- **Care Tips:** Ensure good drainage and protect from heavy rains for a thriving plant!
💚 Ready to add some charm to your space? Find the Moonstone and bring home this unique succulent today! Link in bio.
#Moonstone #GraptopetalumAmethystinum #SucculentLove #PlantAddict #IndoorPlants #SucculentCare #GreenThumb #RosaryPlantHouse #PlantParents #HomeDecor #PlantLovers #SucculentCollection #GardeningJoy #PlantLife #NatureLovers</t>
        </is>
      </c>
    </row>
    <row r="24" ht="99.5" customHeight="1">
      <c r="A24" s="73" t="n">
        <v>23</v>
      </c>
      <c r="B24" s="74" t="inlineStr">
        <is>
          <t>Velvet</t>
        </is>
      </c>
      <c r="C24" s="74">
        <f>IF(Local!H24,"1","0")</f>
        <v/>
      </c>
      <c r="D24" s="75" t="n">
        <v>99</v>
      </c>
      <c r="E24" s="66" t="inlineStr">
        <is>
          <t>Echeveria setosa</t>
        </is>
      </c>
      <c r="F24" s="76">
        <f>"public/sale_plants/"&amp;A24&amp;".jpg"</f>
        <v/>
      </c>
      <c r="G24" s="77" t="inlineStr">
        <is>
          <t>(2"-3")</t>
        </is>
      </c>
      <c r="H24" s="78" t="inlineStr">
        <is>
          <t>Low</t>
        </is>
      </c>
      <c r="I24" s="66" t="inlineStr">
        <is>
          <t>Low</t>
        </is>
      </c>
      <c r="J24" s="66" t="inlineStr">
        <is>
          <t>High</t>
        </is>
      </c>
      <c r="K24" s="79" t="n">
        <v>69</v>
      </c>
      <c r="L24" s="81" t="inlineStr">
        <is>
          <t>Echeveria</t>
        </is>
      </c>
      <c r="M24" s="80" t="n">
        <v>0</v>
      </c>
      <c r="N24" s="80" t="n">
        <v>0</v>
      </c>
      <c r="O24" s="81" t="n">
        <v>0</v>
      </c>
      <c r="P24" s="80" t="n">
        <v>0</v>
      </c>
      <c r="Q24" s="81">
        <f>IF(Local!I24=TRUE,1,0)</f>
        <v/>
      </c>
      <c r="R24" s="81">
        <f>Local!D24</f>
        <v/>
      </c>
      <c r="S24" s="81">
        <f>Local!F24</f>
        <v/>
      </c>
      <c r="T24" s="81">
        <f>Local!G24</f>
        <v/>
      </c>
      <c r="U24" s="83" t="inlineStr">
        <is>
          <t>## About
Echeveria setosa, commonly known as Mexican Firecracker, is a beautiful rosette-forming succulent with soft, fuzzy leaves. The plant gets its name from the fine white hairs that cover its green leaves, giving them a frosted appearance. The leaf edges often have a reddish tint, adding to its decorative appeal.
## Origin
This charming succulent is native to Mexico, particularly from the Puebla region. It grows naturally in rocky, semi-arid areas where it has adapted to survive with minimal water and plenty of sunshine. It belongs to the Crassulaceae family and is one of the most popular Echeveria species among succulent collectors.
## Temperature &amp; Humidity
- **Temperature Range:** 15Â°C to 30Â°C (can tolerate up to 35Â°C in Indian summers)
- **Humidity:** Low to moderate humidity (30% to 50%). This plant does well in dry conditions and doesn't need high humidity. It can handle the dry climate found in most parts of India, making it an excellent choice for Indian homes.
## Growth
Echeveria setosa is a slow to moderate growing succulent that forms compact rosettes. Each rosette can grow 8 to 15 cm in diameter and about 8 to 10 cm in height. The plant tends to grow in a tight, symmetrical pattern. Over time, it may produce offsets (baby plants) around the base, which can be separated and grown as new plants. The fuzzy leaves grow in a spiral pattern, creating an attractive geometric appearance.
## Watering
- **Frequency:** Once every 10-14 days depending on season and weather conditions (less in monsoon and winter, slightly more in hot summer months)
- **Tips:** Water deeply but only when the soil is completely dry. Always check the soil before watering by inserting your finger about 2 cm deep. During monsoons, reduce watering significantly as humidity is high. Water at the base of the plant and avoid getting water on the fuzzy leaves as they can trap moisture and rot. Use the "soak and dry" method - water thoroughly and then let the soil dry out completely before the next watering.
## Sunlight
- **Hours per day:** 4 to 6 hours
- **Type:** Bright direct sunlight, preferably morning sun. In extremely hot Indian summers (above 40Â°C), provide some afternoon shade to prevent leaf burn. Bright indirect light also works well for indoor settings near south or east-facing windows.
## Care Tips
- The fuzzy leaves are delicate, so avoid touching them frequently as the white hairs can get damaged
- In Indian summers, if temperatures exceed 38Â°C, move the plant to a spot with morning sun and afternoon shade
- During monsoon season, keep the plant in a covered area or indoors to avoid excess moisture
- Good air circulation is important to prevent fungal issues, especially during humid months
- Remove any dead or dried leaves from the base to prevent pest problems
- The plant can be kept outdoors year-round in most Indian cities except during heavy monsoons
- If keeping indoors, rotate the pot every week to ensure even growth
## Growth Tips
- Use a well-draining cactus or succulent potting mix; you can make your own by mixing regular soil with cocopeat and perlite or sand in a 1:1:1 ratio
- Add a layer of small pebbles or gravel at the bottom of the pot for extra drainage
- Choose terracotta or clay pots as they allow excess moisture to evaporate
- Feed with a diluted liquid succulent fertilizer once every 2-3 months during the growing season (spring and early summer)
- Repot every 2-3 years or when the plant outgrows its pot, preferably in spring
- Propagate from leaf cuttings or offsets for best results
- Gently remove offsets when they are about one-third the size of the mother plant
## Common Problems
- **Leaf rot:** Caused by overwatering or water sitting on the fuzzy leaves. Always water at the base
- **Stretched or leggy growth:** Not enough sunlight. Move to a brighter location
- **Shriveled leaves:** Underwatering. Water more frequently but still allow soil to dry between waterings
- **Black or brown spots:** Fungal infection due to excess humidity or poor air circulation
- **Mealybugs:** Small white cotton-like pests that hide between leaves. Remove with a cotton swab dipped in rubbing alcohol
- **Root rot:** Caused by waterlogged soil or pots without drainage holes. Always ensure proper drainage
- **Leaf discoloration or sunburn:** Too much intense afternoon sun in peak summer. Provide filtered light during the hottest hours
- **Dropping lower leaves:** Normal aging process, but if excessive, check for overwatering or pests</t>
        </is>
      </c>
      <c r="V24" s="98">
        <f>HYPERLINK("https://rosaryplanthouse.com/plant/"&amp;A24&amp;"-"&amp;SUBSTITUTE(LOWER(E24), " ", "-"))</f>
        <v/>
      </c>
      <c r="W24" t="inlineStr">
        <is>
          <t>🟢 Echeveria setosa (ID: 23)  
🌟 Meet the Velvet, your new favorite succulent! 🌟  
This stunning rosette-forming beauty, often called the Mexican Firecracker, boasts soft, fuzzy leaves that shimmer with a frosted look. With a charming reddish tint along the edges, it’s a visual delight for any plant lover! 🌿✨  
**Key Details:**  
- 🌞 **Sunlight:** Loves bright direct sunlight (4-6 hours daily)  
- 💧 **Watering:** Low maintenance, water every 10-14 days  
- 🌵 **Growth:** Slow to moderate, forms compact rosettes  
Ready to add a pop of texture and color to your collection? Don’t miss out! 🌱  
👉 Link in bio!  
#Echeveria #SucculentLove #PlantParent #IndoorPlants #HousePlants #SucculentCollection #PlantStyle #GreenThumb #RosaryPlantHouse #PlantAddict #HomeDecor #Gardening #PlantLovers #NatureLovers #PlantCommunity</t>
        </is>
      </c>
    </row>
    <row r="25" ht="99.5" customHeight="1">
      <c r="A25" s="73" t="n">
        <v>24</v>
      </c>
      <c r="B25" s="74" t="inlineStr">
        <is>
          <t>Tree Cactus</t>
        </is>
      </c>
      <c r="C25" s="74">
        <f>IF(Local!H25,"1","0")</f>
        <v/>
      </c>
      <c r="D25" s="75" t="n">
        <v>49</v>
      </c>
      <c r="E25" s="66" t="inlineStr">
        <is>
          <t>Opuntia monacantha</t>
        </is>
      </c>
      <c r="F25" s="76">
        <f>"public/sale_plants/"&amp;A25&amp;".jpg"</f>
        <v/>
      </c>
      <c r="G25" s="77" t="inlineStr">
        <is>
          <t>(2"-3")</t>
        </is>
      </c>
      <c r="H25" s="78" t="inlineStr">
        <is>
          <t>Low</t>
        </is>
      </c>
      <c r="I25" s="66" t="inlineStr">
        <is>
          <t>Low</t>
        </is>
      </c>
      <c r="J25" s="66" t="inlineStr">
        <is>
          <t>High</t>
        </is>
      </c>
      <c r="K25" s="79" t="n">
        <v>59</v>
      </c>
      <c r="L25" s="81" t="inlineStr">
        <is>
          <t>Cactus</t>
        </is>
      </c>
      <c r="M25" s="80" t="n">
        <v>0</v>
      </c>
      <c r="N25" s="80" t="n">
        <v>0</v>
      </c>
      <c r="O25" s="81" t="n">
        <v>0</v>
      </c>
      <c r="P25" s="81" t="n">
        <v>0</v>
      </c>
      <c r="Q25" s="81">
        <f>IF(Local!I25=TRUE,1,0)</f>
        <v/>
      </c>
      <c r="R25" s="81">
        <f>Local!D25</f>
        <v/>
      </c>
      <c r="S25" s="81">
        <f>Local!F25</f>
        <v/>
      </c>
      <c r="T25" s="81">
        <f>Local!G25</f>
        <v/>
      </c>
      <c r="U25" s="83" t="inlineStr">
        <is>
          <t>## About
Opuntia monacantha, commonly known as Prickly Pear Cactus, is a beautiful and easy-to-grow cactus that features flat, paddle-shaped green segments covered with clusters of spines. This plant is perfect for beginners and cactus enthusiasts alike, making it an excellent addition to any Indian home or garden.
## Origin
This cactus originates from South America, particularly from regions of Brazil, Uruguay, Paraguay, and Argentina. It grows naturally in dry, rocky areas and has adapted well to hot climates, making it suitable for cultivation in most parts of India.
## Temperature &amp; Humidity
- **Temperature Range:** 15Â°C to 40Â°C (can tolerate higher temperatures during Indian summers)
- **Humidity:** Prefers low to moderate humidity levels (30% to 50%). This plant does well in dry conditions and doesn't require high humidity, making it ideal for Indian climate, especially in drier regions.
## Growth
Opuntia monacantha is a medium-sized cactus that can grow up to 1.5 to 2 meters in height when mature. It grows by producing new paddle-shaped segments that branch out from older ones. The growth rate is moderate to slow, with more active growth during the warm summer months. The plant develops a bushy, branching structure over time and can spread outward as it produces more segments.
## Watering
- **Frequency:** Once every two weeks depending on season and weather conditions. During monsoon, reduce or stop watering completely.
- **Tips:** Water deeply but infrequently. Always allow the soil to dry out completely between waterings. During winter months (November to February), reduce watering to once a month or even less. Overwatering is the most common cause of problems with this cactus. In the hot Indian summer, you may need to water slightly more frequently, but always check soil dryness first. Water early morning or evening, never during harsh afternoon sun.
## Sunlight
- **Hours per day:** 6 to 8 hours
- **Type:** Direct bright sunlight is ideal. This cactus thrives in full sun and can handle the intense Indian summer sun. If growing indoors, place near a south or west-facing window where it gets maximum light.
## Care Tips
- Keep the plant in a well-ventilated area to prevent fungal issues, especially during monsoon
- Protect from excessive rain during monsoon season as too much water can cause root rot
- Handle with care using thick gloves or folded newspaper as the spines can be irritating to skin
- Clean the plant occasionally with a soft brush to remove dust and spider webs
- During extreme summer heat (above 42Â°C), provide some afternoon shade if the plant shows signs of sunburn
- The plant can be grown both indoors and outdoors, but outdoor placement in full sun is ideal
## Growth Tips
- Use a well-draining cactus or succulent mix. You can make your own by mixing regular potting soil with coarse sand and perlite in equal parts
- Add small pieces of brick or gravel to improve drainage
- Fertilize sparingly with a balanced liquid fertilizer diluted to half strength once during the growing season (March to June)
- Repot only when the plant outgrows its container, typically every 2 to 3 years
- Use terracotta or clay pots as they allow better air circulation and moisture evaporation
- Propagation is very easy - simply cut a pad, let it dry for a week, then plant in well-draining soil
## Common Problems
- **Root rot:** Caused by overwatering or poor drainage. The base becomes soft and discolored. Solution: Reduce watering and ensure proper drainage
- **Yellowing segments:** Usually due to overwatering or inadequate sunlight. Move to brighter location and adjust watering schedule
- **Mealybugs:** White cottony insects on the plant. Remove with cotton swabs dipped in rubbing alcohol
- **Scale insects:** Brown or white bumps on pads. Scrape off manually or use neem oil spray
- **Shriveling:** Sign of underwatering or root damage. Check roots and adjust watering if needed
- **Fungal spots:** Brown or black spots during humid monsoon weather. Improve air circulation and avoid overhead watering
- **Etiolation (stretching):** Pale, elongated growth indicates insufficient light. Move to brighter location</t>
        </is>
      </c>
      <c r="V25" s="98">
        <f>HYPERLINK("https://rosaryplanthouse.com/plant/"&amp;A25&amp;"-"&amp;SUBSTITUTE(LOWER(E25), " ", "-"))</f>
        <v/>
      </c>
      <c r="W25" t="inlineStr">
        <is>
          <t>🟢 Opuntia Monacantha (ID: 24)
🌵 Get ready to bring home the beauty of the desert with our stunning Tree Cactus! This prickly pear variety is not only a visual delight but also an easy-care plant perfect for both beginners and seasoned cactus lovers. 
🌞 **About the Plant:** Opuntia monacantha features charming, paddle-shaped segments adorned with clusters of spines, making it a unique addition to your indoor or outdoor space. Native to the warm climates of South America, this cactus thrives in high sunlight conditions and is well-suited for the Indian climate!
✨ **Key Details:**
- **Watering:** Low frequency, every two weeks. 
- **Sunlight:** Enjoys 6-8 hours of direct sunlight daily.
- **Growth:** Moderate growth with a bushy appearance over time.
Ready to add this gorgeous cactus to your collection? 🌱 **Link in bio** to shop now!
#CactusLove #OpuntiaMonacantha #TreeCactus #PlantParent #CactusCollection #IndoorPlant #GreenThumb #HouseplantClub #SucculentLove #PlantAddict #RosaryPlantHouse #PlantGoals</t>
        </is>
      </c>
    </row>
    <row r="26" ht="99.5" customHeight="1">
      <c r="A26" s="73" t="n">
        <v>25</v>
      </c>
      <c r="B26" s="74" t="inlineStr">
        <is>
          <t>Rabbit ears</t>
        </is>
      </c>
      <c r="C26" s="74">
        <f>IF(Local!H26,"1","0")</f>
        <v/>
      </c>
      <c r="D26" s="75" t="n">
        <v>49</v>
      </c>
      <c r="E26" s="66" t="inlineStr">
        <is>
          <t>Kalanchoe tomentosa</t>
        </is>
      </c>
      <c r="F26" s="76">
        <f>"public/sale_plants/"&amp;A26&amp;".jpg"</f>
        <v/>
      </c>
      <c r="G26" s="77" t="inlineStr">
        <is>
          <t>(2"-3")</t>
        </is>
      </c>
      <c r="H26" s="78" t="inlineStr">
        <is>
          <t>Low</t>
        </is>
      </c>
      <c r="I26" s="66" t="inlineStr">
        <is>
          <t>Low</t>
        </is>
      </c>
      <c r="J26" s="66" t="inlineStr">
        <is>
          <t>Medium</t>
        </is>
      </c>
      <c r="K26" s="79" t="n">
        <v>69</v>
      </c>
      <c r="L26" s="81" t="inlineStr">
        <is>
          <t>Echeveria</t>
        </is>
      </c>
      <c r="M26" s="80" t="n">
        <v>0</v>
      </c>
      <c r="N26" s="80" t="n">
        <v>0</v>
      </c>
      <c r="O26" s="81" t="n">
        <v>0</v>
      </c>
      <c r="P26" s="80" t="n">
        <v>0</v>
      </c>
      <c r="Q26" s="81">
        <f>IF(Local!I26=TRUE,1,0)</f>
        <v/>
      </c>
      <c r="R26" s="81">
        <f>Local!D26</f>
        <v/>
      </c>
      <c r="S26" s="81">
        <f>Local!F26</f>
        <v/>
      </c>
      <c r="T26" s="81">
        <f>Local!G26</f>
        <v/>
      </c>
      <c r="U26" s="83" t="inlineStr">
        <is>
          <t>## About
The Chocolate Soldier, also known as Kalanchoe tomentosa, is a beautiful fuzzy succulent that gets its name from the dark brown markings on the edges of its leaves. The entire plant is covered with soft, silvery-white hairs that give it a velvety, plush appearance, making it one of the most touchable and attractive succulents for indoor growing.
## Origin
Kalanchoe tomentosa is native to Madagascar, where it grows in rocky, dry areas with well-draining soil. It belongs to the Crassulaceae family and has adapted to survive in harsh conditions with minimal water and intense sunlight.
## Temperature &amp; Humidity
- **Temperature Range:** 15Â°C to 35Â°C (ideal range 18Â°C to 30Â°C)
- **Humidity:** Low to moderate humidity (30% to 50%). This plant does well in typical Indian household humidity levels and doesn't require any special humidity adjustments. It can tolerate the dry air of air-conditioned rooms as well as the natural humidity of Indian homes.
## Growth
The Chocolate Soldier is a slow to moderate grower that typically reaches 30 to 45 cm in height when grown indoors. It grows in an upright, branching pattern with thick, fleshy leaves arranged in a rosette formation. The leaves are oval-shaped, about 5-7 cm long, and covered in fine white hairs with distinctive brown to chocolate-colored tips and edges. As the plant matures, it develops a woody stem at the base. It's a compact plant that doesn't spread much, making it perfect for small spaces and tabletops.
## Watering
- **Frequency:** Once every 10-14 days depending on season and weather conditions. In Indian summers, you may need to water weekly, while in monsoons and winters, once every 2-3 weeks is sufficient.
- **Tips:** Always check if the soil is completely dry before watering. Water thoroughly until water drains from the bottom holes, then discard excess water from the saucer. Avoid getting water on the fuzzy leaves as it can cause brown spots and rot. Water at the soil level only. Reduce watering significantly during monsoon season and winter months when the plant is semi-dormant.
## Sunlight
- **Hours per day:** 4 to 6 hours
- **Type:** Bright indirect light or partial direct morning sun. In Indian conditions, place near an east-facing window or provide filtered light through a curtain if near a south or west-facing window. Too much harsh afternoon sun can scorch the leaves, while too little light will cause the plant to stretch and lose its compact shape.
## Care Tips
- Avoid touching the fuzzy leaves frequently as the oils from your hands can damage the delicate hairs
- Ensure excellent air circulation to prevent fungal issues, especially during humid monsoon months
- Use a well-draining pot with drainage holes - this is essential for succulent health
- Keep away from intense afternoon sun during peak Indian summer (April-June) to prevent sunburn
- In winter months (December-February), reduce watering significantly as the plant's growth slows down
- This plant is mildly toxic to pets, so keep it out of reach of cats and dogs who might chew on it
- Dust can accumulate on the fuzzy leaves - gently blow it off or use a soft brush rather than wiping with water
## Growth Tips
- Use a succulent or cactus potting mix, or create your own by mixing regular potting soil with 50% cocopeat and perlite or sand for excellent drainage
- Fertilize sparingly - once every 2-3 months during the growing season (spring and early summer) with a diluted balanced liquid fertilizer or succulent fertilizer
- Repot every 2-3 years in spring when the plant becomes root-bound or top-heavy
- Propagation is easy through leaf cuttings or stem cuttings - let them dry for 2-3 days before planting in dry soil
- A slightly root-bound plant tends to be more compact and attractive, so don't rush to repot
## Common Problems
- **Leaf drop or mushy leaves:** This is caused by overwatering or poor drainage. Ensure soil dries completely between waterings
- **Brown spots on leaves:** Usually from water sitting on the fuzzy leaves, which can lead to fungal issues. Always water at soil level
- **Stretching or leggy growth:** Not enough sunlight. Move the plant to a brighter location with more indirect light
- **Shriveled or wrinkled leaves:** Underwatering. While this succulent is drought-tolerant, it still needs regular watering when soil is dry
- **Mealybugs:** Small white cottony pests that hide in leaf joints. Remove with a cotton swab dipped in rubbing alcohol
- **Root rot:** Caused by overwatering or poorly draining soil, especially during monsoon. Signs include soft, blackened stems at the base
- **Pale or yellowing leaves:** May indicate too much direct harsh sunlight or nutrient deficiency</t>
        </is>
      </c>
      <c r="V26" s="98">
        <f>HYPERLINK("https://rosaryplanthouse.com/plant/"&amp;A26&amp;"-"&amp;SUBSTITUTE(LOWER(E26), " ", "-"))</f>
        <v/>
      </c>
      <c r="W26" t="inlineStr">
        <is>
          <t>🟢 Kalanchoe tomentosa (ID: 25)  
🌿 Meet the charming Rabbit Ears, your new favorite fuzzy succulent! This delightful plant is not just a feast for the eyes but also a touchable treasure, thanks to its soft, silvery-white hairs and distinctive chocolate-tipped leaves.  
✨ With its origin in the rocky landscapes of Madagascar, the Kalanchoe tomentosa thrives in low-water conditions and medium sunlight, making it the perfect choice for indoor gardening enthusiasts.  
🌱 **Key Details:**  
- 🌞 **Sunlight:** 4-6 hours of bright indirect light  
- 💧 **Watering:** Once every 10-14 days (check soil first!)  
- 🌡️ **Temperature:** Ideal range 18°C to 30°C  
- 🐾 **Pet Safety:** Mildly toxic, keep away from curious pets  
Ready to add this adorable succulent to your collection? 🌟 **Link in bio!**  
#KalanchoeTomentosa #RabbitEars #SucculentLove #IndoorPlants #PlantParenthood #FuzzySucculent #PlantCare #PlantAddict #HomeDecor #RosaryPlantHouse #GreenThumb</t>
        </is>
      </c>
    </row>
    <row r="27" ht="99.5" customHeight="1">
      <c r="A27" s="73" t="n">
        <v>26</v>
      </c>
      <c r="B27" s="74" t="inlineStr">
        <is>
          <t>Black Prince</t>
        </is>
      </c>
      <c r="C27" s="74">
        <f>IF(Local!H27,"1","0")</f>
        <v/>
      </c>
      <c r="D27" s="75" t="n">
        <v>120</v>
      </c>
      <c r="E27" s="66" t="inlineStr">
        <is>
          <t>Echeveria 'Black Prince'</t>
        </is>
      </c>
      <c r="F27" s="76">
        <f>"public/sale_plants/"&amp;A27&amp;".jpg"</f>
        <v/>
      </c>
      <c r="G27" s="77" t="inlineStr">
        <is>
          <t>(2"-3")</t>
        </is>
      </c>
      <c r="H27" s="78" t="inlineStr">
        <is>
          <t>Low</t>
        </is>
      </c>
      <c r="I27" s="66" t="inlineStr">
        <is>
          <t>Low</t>
        </is>
      </c>
      <c r="J27" s="66" t="inlineStr">
        <is>
          <t>High</t>
        </is>
      </c>
      <c r="K27" s="79" t="n">
        <v>89</v>
      </c>
      <c r="L27" s="81" t="inlineStr">
        <is>
          <t>Echeveria</t>
        </is>
      </c>
      <c r="M27" s="80" t="n">
        <v>0</v>
      </c>
      <c r="N27" s="80" t="n">
        <v>0</v>
      </c>
      <c r="O27" s="81" t="n">
        <v>0</v>
      </c>
      <c r="P27" s="80" t="n">
        <v>0</v>
      </c>
      <c r="Q27" s="81">
        <f>IF(Local!I27=TRUE,1,0)</f>
        <v/>
      </c>
      <c r="R27" s="81">
        <f>Local!D27</f>
        <v/>
      </c>
      <c r="S27" s="81">
        <f>Local!F27</f>
        <v/>
      </c>
      <c r="T27" s="81">
        <f>Local!G27</f>
        <v/>
      </c>
      <c r="U27" s="83" t="inlineStr">
        <is>
          <t>## About
Black Prince is a stunning succulent known for its dramatic dark burgundy to almost black rosette-shaped leaves with greenish centers. This beautiful hybrid Echeveria is popular among succulent collectors for its striking color and compact growth habit. It's relatively easy to care for and makes an excellent choice for both beginners and experienced plant lovers.
## Origin
Black Prince is a hybrid Echeveria that was developed through cultivation. The parent species of Echeveria are native to Mexico and Central America, where they grow in rocky, semi-desert areas with excellent drainage. This cultivated variety has adapted well to container growing and indoor environments worldwide.
## Temperature &amp; Humidity
- **Temperature Range:** 15Â°C to 35Â°C (can tolerate up to 40Â°C in Indian summers with proper care)
- **Humidity:** Low to moderate humidity (30% to 50%). This plant prefers dry conditions and does well in most Indian climates. It can tolerate the dry heat of North Indian summers and also adapts to coastal humidity if given proper drainage.
## Growth
Black Prince forms compact rosettes that typically grow 8-12 cm in diameter and can reach up to 15 cm in height. Growth is relatively slow to moderate, making it perfect for small pots and dish gardens. The plant produces offsets (pups) at the base, which can be separated for propagation. The deepest, darkest coloring develops when the plant receives plenty of direct sunlight. In lower light conditions, the leaves may remain more greenish.
## Watering
- **Frequency:** Once every 10-14 days depending on season and weather conditions. During Indian monsoon season, reduce watering significantly. In hot summer months, you may need to water slightly more frequently.
- **Tips:** Always use the "soak and dry" methodâ€”water thoroughly until it drains out from the bottom, then wait until the soil is completely dry before watering again. Check soil moisture by inserting your finger 2-3 cm deep. Never let the plant sit in water as this causes root rot. Water less in winter months and during monsoon.
## Sunlight
- **Hours per day:** 4 to 6 hours of direct sunlight
- **Type:** Direct sunlight is best, especially morning sun. In extremely hot Indian afternoons (above 40Â°C), provide some shade during peak hours (12 PM to 3 PM) to prevent leaf burn. Bright indirect light works too but the plant won't develop its signature dark color.
## Care Tips
- Place in a south or east-facing window for best light in Indian homes
- During Indian summers (April-June), protect from intense afternoon sun if temperatures exceed 40Â°C
- In monsoon season, move to a covered area or reduce outdoor exposure to prevent overwatering from rain
- Ensure excellent air circulation to prevent fungal issues, especially during humid months
- The darker the leaves, the healthier the plantâ€”green leaves indicate need for more sunlight
- Remove dead lower leaves regularly to prevent pest problems
- Wipe dust off leaves gently with a soft brush to keep them clean
## Growth Tips
- Use well-draining succulent or cactus mix; you can make your own by mixing regular potting soil with cocopeat and perlite or sand in 1:1:1 ratio
- Add some activated charcoal to prevent fungal growth
- Terracotta pots work best as they allow soil to dry faster
- Fertilize once a month during growing season (February-May and September-November) with diluted liquid succulent fertilizer at half strength
- Avoid fertilizing during monsoon and winter months
- Repot every 2-3 years in spring, using fresh soil mix
- Propagate easily from leaf cuttings or offsets during warmer months
## Common Problems
- **Stretching (etiolation):** Long stems with widely spaced leaves indicate insufficient sunlight. Move to a brighter location.
- **Root rot:** Caused by overwatering or poor drainage. Leaves become mushy and translucent. Reduce watering frequency and improve soil drainage.
- **Mealybugs:** White cottony masses on leaves. Common in Indian climate. Remove with cotton swab dipped in rubbing alcohol.
- **Leaf drop:** Lower leaves naturally dry and fall, but excessive dropping indicates watering issuesâ€”either too much or too little.
- **Pale or green leaves:** Not enough sunlight. The plant needs direct sun to develop its dark purple-black color.
- **Shriveled leaves:** Underwatering. Give the plant a thorough drink.
- **Black spots on leaves:** Fungal infection from high humidity or water sitting on leaves. Improve air circulation and avoid getting water on leaves.</t>
        </is>
      </c>
      <c r="V27" s="98">
        <f>HYPERLINK("https://rosaryplanthouse.com/plant/"&amp;A27&amp;"-"&amp;SUBSTITUTE(LOWER(E27), " ", "-"))</f>
        <v/>
      </c>
      <c r="W27" t="inlineStr">
        <is>
          <t>🟢 Echeveria 'Black Prince' (ID: 26)
🌿 Meet the stunning Black Prince! This eye-catching succulent flaunts dark burgundy to almost black rosette-shaped leaves with vibrant green centers, making it a must-have for any plant collection! 
✨ A true gem for both novice and seasoned plant lovers, this hybrid Echeveria is not only easy to care for but also thrives in bright sunlight. Perfect for adding a touch of drama to your indoor or outdoor space!
🌞 **Key Details:**
- **Sunlight:** Loves 4-6 hours of direct sunlight ☀️
- **Watering:** Low maintenance; water every 10-14 days 💧
- **Care:** Thrives in dry conditions; ensure excellent drainage 🌵
👉 Ready to welcome this beauty into your home? Discover more about the Black Prince and how to care for it! Link in bio. 
#BlackPrince #Echeveria #SucculentLove #PlantParent #IndoorPlants #SucculentCare #HomeDecor #PlantCollection #GreenThumb #RosaryPlantHouse</t>
        </is>
      </c>
    </row>
    <row r="28" ht="99.5" customHeight="1">
      <c r="A28" s="73" t="n">
        <v>27</v>
      </c>
      <c r="B28" s="74" t="inlineStr">
        <is>
          <t>Bramha Prabhu</t>
        </is>
      </c>
      <c r="C28" s="74">
        <f>IF(Local!H28,"1","0")</f>
        <v/>
      </c>
      <c r="D28" s="75" t="n">
        <v>59</v>
      </c>
      <c r="E28" s="66" t="inlineStr">
        <is>
          <t>Echeveria 'Akmalia'</t>
        </is>
      </c>
      <c r="F28" s="76">
        <f>"public/sale_plants/"&amp;A28&amp;".jpg"</f>
        <v/>
      </c>
      <c r="G28" s="77" t="inlineStr">
        <is>
          <t>(2"-3")</t>
        </is>
      </c>
      <c r="H28" s="78" t="inlineStr">
        <is>
          <t>Low</t>
        </is>
      </c>
      <c r="I28" s="66" t="inlineStr">
        <is>
          <t>Low</t>
        </is>
      </c>
      <c r="J28" s="66" t="inlineStr">
        <is>
          <t>High</t>
        </is>
      </c>
      <c r="K28" s="79" t="n">
        <v>79</v>
      </c>
      <c r="L28" s="81" t="inlineStr">
        <is>
          <t>Echeveria</t>
        </is>
      </c>
      <c r="M28" s="80" t="n">
        <v>0</v>
      </c>
      <c r="N28" s="80" t="n">
        <v>0</v>
      </c>
      <c r="O28" s="81" t="n">
        <v>0</v>
      </c>
      <c r="P28" s="81" t="n">
        <v>0</v>
      </c>
      <c r="Q28" s="81">
        <f>IF(Local!I28=TRUE,1,0)</f>
        <v/>
      </c>
      <c r="R28" s="81">
        <f>Local!D28</f>
        <v/>
      </c>
      <c r="S28" s="81">
        <f>Local!F28</f>
        <v/>
      </c>
      <c r="T28" s="81">
        <f>Local!G28</f>
        <v/>
      </c>
      <c r="U28" s="83" t="inlineStr">
        <is>
          <t>## About
Echeveria 'Akmalia' is a stunning succulent with pale green to creamy yellow leaves arranged in a beautiful rosette pattern. This decorative plant is popular among succulent collectors for its unique coloring and compact growth habit. It belongs to the Echeveria family, known for their easy care and attractive appearance.
## Origin
Echeveria plants originally come from Mexico and Central America, where they grow in rocky, semi-desert areas. The 'Akmalia' variety is a cultivated hybrid developed for its attractive pale coloring and tight rosette form.
## Temperature &amp; Humidity
- **Temperature Range:** 15Â°C to 35Â°C
- **Humidity:** Low to moderate humidity (30% to 50%). This plant does well in typical Indian climate conditions and can tolerate dry air. However, during monsoon season, protect it from excessive moisture which can cause rot.
## Growth
Echeveria 'Akmalia' grows slowly and forms a compact rosette that typically reaches 10-15 cm in diameter. The plant stays relatively small and maintains its neat, symmetrical shape. It grows from the center, producing new leaves while older outer leaves gradually dry up. The plant may produce small offsets (baby plants) around the base, which can be used for propagation.
## Watering
- **Frequency:** Once every 10-14 days depending on season and weather conditions. During hot Indian summers, you may need to water once a week, while in winter and monsoon, reduce to once every 2-3 weeks.
- **Tips:** Always water at the soil level, never on the leaves or center of the rosette as this can cause rot. Let the soil dry out completely between waterings. Use the "soak and dry" method - water thoroughly until it drains out, then wait until soil is completely dry before watering again. Reduce watering during monsoon season.
## Sunlight
- **Hours per day:** 4 to 6 hours
- **Type:** Bright indirect light to direct morning sunlight. In India, place it where it gets morning sun and afternoon shade. Too much harsh afternoon sun can scorch the leaves and cause stress. If kept indoors, place near a bright window with good light.
## Care Tips
- Protect from heavy monsoon rains as excess water can cause root rot
- During hot Indian summers (above 40Â°C), provide some afternoon shade
- Keep in well-ventilated areas to prevent fungal issues in humid conditions
- Avoid placing in air-conditioned rooms with very dry air for extended periods
- Clean dust off leaves gently with a soft brush to help the plant breathe
- During winter months (December-January), the plant may go semi-dormant and need less water
## Growth Tips
- Use well-draining cactus or succulent potting mix, or make your own with regular soil, cocopeat, and plenty of perlite or sand (ratio 1:1:2)
- Choose terracotta or clay pots with drainage holes as they allow excess moisture to evaporate
- Fertilize once every 2-3 months during growing season (spring and autumn) with diluted succulent fertilizer
- Repot every 2-3 years in spring when the plant outgrows its container
- Remove dried lower leaves regularly to keep the plant tidy and prevent pest problems
## Common Problems
- **Leaf rot or black spots:** Caused by overwatering or water sitting on leaves. Always water at soil level and ensure good drainage.
- **Stretched or leggy growth:** Not enough sunlight. Move to a brighter location.
- **Brown or scorched leaf tips:** Too much direct harsh sunlight or heat stress. Provide afternoon shade during peak summer.
- **Mealybugs (white cottony pests):** Common in succulent collections. Remove with cotton swab dipped in rubbing alcohol or neem oil solution.
- **Shriveled leaves:** Underwatering. Increase watering frequency slightly, but don't overdo it.
- **Pale or yellowing leaves:** Natural aging of lower leaves, or possibly too much water. Check watering schedule and soil drainage.</t>
        </is>
      </c>
      <c r="V28" s="98">
        <f>HYPERLINK("https://rosaryplanthouse.com/plant/"&amp;A28&amp;"-"&amp;SUBSTITUTE(LOWER(E28), " ", "-"))</f>
        <v/>
      </c>
      <c r="W28" t="inlineStr">
        <is>
          <t>🟢 Echeveria 'Akmalia' (ID: 27)  
🌵 Looking for a pop of color and charm for your plant collection? Meet the Echeveria 'Akmalia'! This stunning succulent is not just a feast for the eyes, but also incredibly easy to care for!  
✨ With its pale green to creamy yellow leaves forming a beautiful rosette, it's perfect for both beginners and seasoned plant lovers. Originating from the sun-kissed regions of Mexico and Central America, this beauty thrives in bright light and low humidity, making it an ideal companion for your home.  
🌞 **Key Details:**  
- **Watering:** Low frequency (every 10-14 days)  
- **Sunlight:** Prefers bright indirect light with some morning sun  
- **Growth Habit:** Compact rosette forming, perfect for small spaces  
🌱 Ready to add a touch of elegance to your home? Tap 'Link in bio' to explore more!  
#EcheveriaAkmalia #SucculentLove #PlantParent #GreenThumb #IndoorPlants #PlantCollection #RosaryPlantHouse #SucculentCare #HomeDecor #PlantLovers #Houseplants #SucculentAddict #GreenLiving #PlantGoals #GardenInspo</t>
        </is>
      </c>
    </row>
    <row r="29" ht="99.5" customHeight="1">
      <c r="A29" s="73" t="n">
        <v>28</v>
      </c>
      <c r="B29" s="74" t="inlineStr">
        <is>
          <t>Blue Echeviria</t>
        </is>
      </c>
      <c r="C29" s="74">
        <f>IF(Local!H29,"1","0")</f>
        <v/>
      </c>
      <c r="D29" s="75" t="n">
        <v>69</v>
      </c>
      <c r="E29" s="66" t="inlineStr">
        <is>
          <t>Echeveria elegans</t>
        </is>
      </c>
      <c r="F29" s="76">
        <f>"public/sale_plants/"&amp;A29&amp;".jpg"</f>
        <v/>
      </c>
      <c r="G29" s="77" t="inlineStr">
        <is>
          <t>(2"-3")</t>
        </is>
      </c>
      <c r="H29" s="78" t="inlineStr">
        <is>
          <t>High</t>
        </is>
      </c>
      <c r="I29" s="66" t="inlineStr">
        <is>
          <t>Low</t>
        </is>
      </c>
      <c r="J29" s="66" t="inlineStr">
        <is>
          <t>High</t>
        </is>
      </c>
      <c r="K29" s="79" t="n">
        <v>89</v>
      </c>
      <c r="L29" s="81" t="inlineStr">
        <is>
          <t>Echeveria</t>
        </is>
      </c>
      <c r="M29" s="80" t="n">
        <v>0</v>
      </c>
      <c r="N29" s="80" t="n">
        <v>0</v>
      </c>
      <c r="O29" s="81" t="n">
        <v>0</v>
      </c>
      <c r="P29" s="80" t="n">
        <v>0</v>
      </c>
      <c r="Q29" s="81">
        <f>IF(Local!I29=TRUE,1,0)</f>
        <v/>
      </c>
      <c r="R29" s="81">
        <f>Local!D29</f>
        <v/>
      </c>
      <c r="S29" s="81">
        <f>Local!F29</f>
        <v/>
      </c>
      <c r="T29" s="81">
        <f>Local!G29</f>
        <v/>
      </c>
      <c r="U29" s="83" t="inlineStr">
        <is>
          <t>## About
Echeveria elegans, commonly known as Mexican Snowball, is a beautiful succulent with pale blue-green leaves arranged in a perfect rosette pattern. This popular houseplant is loved for its elegant appearance and easy care requirements, making it perfect for beginners and experienced plant lovers alike.
## Origin
This stunning succulent is native to Mexico, particularly the semi-desert regions of central Mexico. In its natural habitat, it grows on rocky slopes and cliffs where it receives plenty of bright sunlight and has excellent drainage.
## Temperature &amp; Humidity
- **Temperature Range:** 15Â°C to 35Â°C (ideal range is 18Â°C to 28Â°C)
- **Humidity:** Low to moderate humidity (30% to 50%). This plant prefers drier conditions and does not need high humidity. It adapts well to Indian climate conditions, though it may need protection during extreme summers above 40Â°C.
## Growth
Mexican Snowball grows as a compact rosette that typically reaches 10 to 15 cm in diameter. It is a slow to moderate grower that produces offsets (baby plants) around the base, forming attractive clusters over time. The rosette stays low and symmetrical, maintaining its beautiful shape with proper care. The plant can spread to about 20-30 cm wide when it produces multiple offsets.
## Watering
- **Frequency:** Once every 10-14 days depending on season and weather conditions. During Indian monsoon season, reduce watering significantly. In hot summer months, you may need to water once a week depending on other parameters.
- **Tips:** Always water the soil directly and avoid getting water on the leaves, as this can cause rot and damage the powdery coating. Allow the soil to dry out completely between waterings. Use the soak and dry method - water thoroughly until it drains from the bottom, then wait until the soil is completely dry before watering again. Reduce watering in winter months.
## Sunlight
- **Hours per day:** 4 to 6 hours
- **Type:** Direct bright sunlight is ideal, though it can tolerate bright indirect light. Morning sunlight is best in Indian climate. During peak summer (April-June), provide some afternoon shade to prevent leaf burn. If kept indoors, place near a south or east-facing window.
## Care Tips
- Keep the plant in a well-ventilated area to prevent fungal issues, especially during monsoon
- Protect from heavy rain during monsoon season as too much water can cause root rot
- During hot Indian summers above 38Â°C, provide light shade during afternoon hours
- Remove dried bottom leaves regularly to keep the plant healthy
- Do not touch the leaves frequently as this removes the natural powdery coating (farina) that protects the plant
- Bring indoors or provide shelter during extreme weather conditions
## Growth Tips
- Use well-draining soil mix: combine regular potting soil with cocopeat, perlite, and sand in equal parts
- Add a top layer of small stones or gravel to prevent water from sitting on the leaves
- Fertilize once every 2-3 months during growing season (February to October) with diluted succulent fertilizer
- Repot every 2-3 years or when the plant outgrows its pot, preferably in early spring
- Use terracotta or clay pots as they allow better air circulation and help soil dry faster
- Propagate easily by removing offsets or from leaf cuttings
## Common Problems
- **Overwatering:** Causes soft, mushy, translucent leaves and root rot. This is the most common problem - always ensure soil is dry before watering again
- **Etiolation (stretching):** Plant becomes leggy and loses compact shape due to insufficient sunlight. Move to brighter location
- **Mealybugs:** White cotton-like bugs appear on leaves. Remove with cotton swab dipped in rubbing alcohol
- **Leaf drop:** Lower leaves naturally dry and fall, but excessive leaf drop indicates stress from overwatering or underwatering
- **Sunburn:** Brown or white patches on leaves from too much direct harsh afternoon sun. Provide some shade during peak hours
- **Powdery mildew:** White fungal growth during humid monsoon months. Improve air circulation and reduce watering</t>
        </is>
      </c>
      <c r="V29" s="98">
        <f>HYPERLINK("https://rosaryplanthouse.com/plant/"&amp;A29&amp;"-"&amp;SUBSTITUTE(LOWER(E29), " ", "-"))</f>
        <v/>
      </c>
      <c r="W29" t="inlineStr">
        <is>
          <t>🟢 Echeveria elegans (ID: 28)
🌟 Meet the stunning Blue Echeveria, also known as the Mexican Snowball! This beauty is not just a feast for the eyes but also a low-maintenance companion for your home. 🌿✨
🌼 About: The Echeveria elegans showcases pale blue-green rosette leaves, adding a touch of elegance to any space. Perfect for both beginners and seasoned plant lovers, it thrives with minimal care! 
🌞 Key Details:
- 🌡️ Prefers bright sunlight (4-6 hours a day)
- 💧 Low watering needs (every 10-14 days)
- 🌵 Adapts well to Indian climates
- 🌱 Produces charming offsets over time
Ready to bring this gorgeous succulent into your life? 🌍💚 Link in bio!
#EcheveriaElegans #BlueEcheveria #SucculentLove #PlantParent #IndoorPlants #PlantCare #HomeDecor #GreenThumb #PlantLovers #RosaryPlantHouse #SucculentCollection #HouseplantClub #BotanicalBeauty #PlantLife #GardenJoy</t>
        </is>
      </c>
    </row>
    <row r="30" ht="99.5" customHeight="1">
      <c r="A30" s="73" t="n">
        <v>29</v>
      </c>
      <c r="B30" s="74" t="inlineStr">
        <is>
          <t>Tiger Tooth Aloe</t>
        </is>
      </c>
      <c r="C30" s="74">
        <f>IF(Local!H30,"1","0")</f>
        <v/>
      </c>
      <c r="D30" s="75" t="n">
        <v>59</v>
      </c>
      <c r="E30" s="66" t="inlineStr">
        <is>
          <t>Aloe juvenna</t>
        </is>
      </c>
      <c r="F30" s="76">
        <f>"public/sale_plants/"&amp;A30&amp;".jpg"</f>
        <v/>
      </c>
      <c r="G30" s="77" t="inlineStr">
        <is>
          <t>(2"-3")</t>
        </is>
      </c>
      <c r="H30" s="78" t="inlineStr">
        <is>
          <t>Low</t>
        </is>
      </c>
      <c r="I30" s="66" t="inlineStr">
        <is>
          <t>Low</t>
        </is>
      </c>
      <c r="J30" s="66" t="inlineStr">
        <is>
          <t>Medium</t>
        </is>
      </c>
      <c r="K30" s="79" t="n">
        <v>59</v>
      </c>
      <c r="L30" s="81" t="inlineStr">
        <is>
          <t>Aloe</t>
        </is>
      </c>
      <c r="M30" s="80" t="n">
        <v>0</v>
      </c>
      <c r="N30" s="80" t="n">
        <v>0</v>
      </c>
      <c r="O30" s="81" t="n">
        <v>0</v>
      </c>
      <c r="P30" s="80" t="n">
        <v>1</v>
      </c>
      <c r="Q30" s="81">
        <f>IF(Local!I30=TRUE,1,0)</f>
        <v/>
      </c>
      <c r="R30" s="81">
        <f>Local!D30</f>
        <v/>
      </c>
      <c r="S30" s="81">
        <f>Local!F30</f>
        <v/>
      </c>
      <c r="T30" s="81">
        <f>Local!G30</f>
        <v/>
      </c>
      <c r="U30" s="83" t="inlineStr">
        <is>
          <t>## About
Tiger Tooth Aloe is a small, striking succulent with bright green leaves covered with distinctive white spots and soft teeth along the edges. This compact aloe species is native to Kenya and is loved by plant collectors for its unique appearance and easy care requirements.
## Origin
This beautiful succulent comes from Kenya in East Africa. In its natural habitat, it grows in rocky areas with well-draining soil and receives plenty of bright sunlight. It has adapted to survive in dry conditions with minimal rainfall.
## Temperature &amp; Humidity
- **Temperature Range:** 15Â°C to 35Â°C
- **Humidity:** Low to moderate humidity (30% to 50%). This plant tolerates the dry indoor air found in most Indian homes very well. It can handle the hot summers across India but needs protection from cold winters, especially in northern regions where temperatures drop below 10Â°C.
## Growth
Tiger Tooth Aloe is a compact, slow-growing succulent that typically reaches 15 to 25 cm in height. The plant grows in a rosette pattern with leaves stacking upward in a spiral arrangement. It produces offsets (baby plants) at the base, which can fill out a pot nicely over time. The growth is quite compact, making it perfect for small spaces, windowsills, and desk plants.
## Watering
- **Frequency:** Once every two weeks depending on season and weather conditions. In Indian summers, you may need to water once a week, while in monsoon and winter, reduce to once every 2-3 weeks.
- **Tips:** Always let the soil dry out completely between waterings. Water thoroughly until water drains from the bottom, then empty the saucer. Reduce watering significantly during monsoon season. Overwatering is the biggest threat to this plant. The leaves will start to turn brown or mushy if given too much water.
## Sunlight
- **Hours per day:** 4 to 6 hours
- **Type:** Bright indirect light or a few hours of direct morning sunlight. Avoid harsh afternoon sun, especially during Indian summers, as it can scorch the leaves and turn them brown or reddish. A bright windowsill with filtered light works perfectly.
## Care Tips
- Keep the plant in a well-ventilated area to prevent fungal issues, especially during monsoon
- Protect from direct rain during the monsoon season as continuous moisture can cause root rot
- In winter, reduce watering and keep the plant in a warmer spot if you live in North India
- The plant can handle Indian summers well but provide some shade during peak afternoon hours (12 PM to 4 PM)
- Wipe dust off the leaves gently with a soft cloth to keep them healthy
- Move indoors during extreme weather conditions
## Growth Tips
- Use a well-draining cactus or succulent soil mix; you can make your own by mixing regular potting soil with coarse sand and perlite in equal parts
- Add small pieces of brick or pumice to improve drainage
- Fertilize sparinglyâ€”once every 2-3 months during the growing season (spring and summer) with a diluted succulent fertilizer
- Repot every 2-3 years or when the plant becomes root-bound
- Use terracotta or clay pots as they allow better air circulation and moisture evaporation
- Remove offsets and replant them to propagate new plants
## Common Problems
- **Brown or mushy leaves:** Sign of overwatering or poor drainage; reduce watering frequency
- **Leaves turning pale or yellowish:** Too much direct sunlight; move to a spot with filtered light
- **Stretched or leggy growth:** Not enough light; move to a brighter location
- **Slow or no growth:** Normal during winter months; also could indicate need for fertilizer during growing season
- **Mealybugs or scale insects:** White cottony spots on leaves; wipe with alcohol-soaked cotton or use neem oil spray
- **Root rot:** Caused by overwatering or poor drainage; may need to repot in fresh dry soil
- **Dried leaf tips:** Usually normal aging, but can also indicate underwatering in extreme heat</t>
        </is>
      </c>
      <c r="V30" s="98">
        <f>HYPERLINK("https://rosaryplanthouse.com/plant/"&amp;A30&amp;"-"&amp;SUBSTITUTE(LOWER(E30), " ", "-"))</f>
        <v/>
      </c>
      <c r="W30" t="inlineStr">
        <is>
          <t>🟢 Tiger Tooth Aloe (ID: 29)
🌿 Meet the striking Tiger Tooth Aloe, your new favorite succulent! This unique beauty features bright green leaves adorned with distinctive white spots and soft teeth, making it a showstopper in any indoor space. 
✨ Native to the rocky landscapes of Kenya, the Tiger Tooth Aloe thrives with minimal care, perfect for both seasoned plant lovers and beginners alike. Its compact growth pattern makes it an ideal choice for small spaces, windowsills, or as a charming desk companion!
🌱 **Key Details:**
- **Watering:** Low (once every 2 weeks, adjust for seasons)
- **Sunlight:** Medium (4-6 hours of bright indirect light)
- **Humidity:** Low to moderate; adapts well to dry indoor air
👉 Ready to bring this stunning succulent home? Check out the full details and shop yours now—Link in bio!
#TigerToothAloe #AloeJuvenna #SucculentLove #IndoorPlants #PlantParent #EasyCarePlants #Houseplants #HomeDecor #PlantCollection #RosaryPlantHouse #GreenThumb #PlantAddict #SucculentCare</t>
        </is>
      </c>
    </row>
    <row r="31" ht="99.5" customHeight="1">
      <c r="A31" s="73" t="n">
        <v>30</v>
      </c>
      <c r="B31" s="74" t="inlineStr">
        <is>
          <t>Blue stick long</t>
        </is>
      </c>
      <c r="C31" s="74">
        <f>IF(Local!H31,"1","0")</f>
        <v/>
      </c>
      <c r="D31" s="75" t="n">
        <v>59</v>
      </c>
      <c r="E31" s="66" t="inlineStr">
        <is>
          <t>Senecio serpens (Curio ficoides)</t>
        </is>
      </c>
      <c r="F31" s="76">
        <f>"public/sale_plants/"&amp;A31&amp;".jpg"</f>
        <v/>
      </c>
      <c r="G31" s="77" t="inlineStr">
        <is>
          <t>(2"-3")</t>
        </is>
      </c>
      <c r="H31" s="78" t="inlineStr">
        <is>
          <t>Low</t>
        </is>
      </c>
      <c r="I31" s="66" t="inlineStr">
        <is>
          <t>Low</t>
        </is>
      </c>
      <c r="J31" s="66" t="inlineStr">
        <is>
          <t>High</t>
        </is>
      </c>
      <c r="K31" s="79" t="n">
        <v>69</v>
      </c>
      <c r="L31" s="80" t="inlineStr">
        <is>
          <t>Succulent</t>
        </is>
      </c>
      <c r="M31" s="80" t="n">
        <v>0</v>
      </c>
      <c r="N31" s="80" t="n">
        <v>0</v>
      </c>
      <c r="O31" s="81" t="n">
        <v>0</v>
      </c>
      <c r="P31" s="81" t="n">
        <v>0</v>
      </c>
      <c r="Q31" s="81">
        <f>IF(Local!I31=TRUE,1,0)</f>
        <v/>
      </c>
      <c r="R31" s="81">
        <f>Local!D31</f>
        <v/>
      </c>
      <c r="S31" s="81">
        <f>Local!F31</f>
        <v/>
      </c>
      <c r="T31" s="81">
        <f>Local!G31</f>
        <v/>
      </c>
      <c r="U31" s="83" t="inlineStr">
        <is>
          <t>## About
Blue Chalksticks is a stunning succulent known for its unique blue-grey finger-like leaves that grow in a starburst pattern. This drought-tolerant plant is popular in Indian gardens and homes for its striking color and low maintenance needs.
## Origin
This plant originally comes from South Africa, where it grows in dry, rocky areas. It belongs to the Senecio family and thrives in warm, arid climates similar to many regions in India.
## Temperature &amp; Humidity
- **Temperature Range:** 15Â°C to 35Â°C
- **Humidity:** Low to moderate humidity (30% to 50%). This plant prefers dry conditions and does not like excessive moisture in the air. It adapts well to most Indian climates except very humid coastal areas during monsoon.
## Growth
Blue Chalksticks is a compact, slow-growing succulent that typically reaches 30 to 45 cm in height and spreads about 30 to 60 cm wide. The plant grows in a bushy, upright manner with cylindrical blue-grey leaves arranged in rosette-like clusters at the stem tips. Growth is moderate during warm months and slows down in cooler winter periods.
## Watering
- **Frequency:** Once every 10 to 15 days depending on season, weather, and soil conditions. Water less frequently during monsoon and winter months.
- **Tips:** Always allow the soil to dry out completely between waterings. Water deeply but infrequently. Reduce watering during winter and rainy season. Overwatering is the biggest threat to this plant. Water at the base of the plant, avoiding the leaves to prevent rot. In Indian summer, you may need to water slightly more often, but still ensure soil dries between waterings.
## Sunlight
- **Hours per day:** 4 to 6 hours
- **Type:** Direct bright sunlight is ideal. This plant loves full sun and develops its best blue color when given plenty of direct light. Can tolerate partial shade but may lose its vibrant blue color and become greenish.
## Care Tips
- Keep the plant in the brightest spot available, preferably where it gets morning sun
- Protect from heavy monsoon rains by moving potted plants under shelter
- In extremely hot Indian summers (above 40Â°C), provide some afternoon shade to prevent leaf burn
- Good air circulation is important to prevent fungal issues during humid months
- Remove dead or dried leaves from the base to keep the plant healthy
- The plant is frost-sensitive, so protect it if temperatures drop below 10Â°C in winter
## Growth Tips
- Use well-draining cactus or succulent mix with added perlite, cocopeat, and sand
- Ensure pots have drainage holes to prevent waterlogging
- Feed with a balanced liquid fertilizer diluted to half strength once every 2 to 3 months during growing season (spring and summer)
- Avoid fertilizing during monsoon and winter
- Repot every 2 to 3 years in spring when the plant outgrows its container
- Propagate easily through stem cuttings - let cuttings dry for 2 to 3 days before planting
- Prune leggy stems to encourage bushier growth
## Common Problems
- **Leaf rot and mushy stems:** Caused by overwatering or poor drainage, especially during monsoon season
- **Loss of blue color, leaves turning green:** Insufficient sunlight - move to a brighter location
- **Shriveled, wrinkled leaves:** Under-watering, though this is less common than overwatering issues
- **Root rot:** Poor drainage and waterlogged soil, particularly during rainy season
- **Mealybugs and aphids:** Can attack during humid conditions - treat with neem oil spray
- **Leggy growth:** Not enough light causes the plant to stretch and lose its compact form
- **Brown leaf tips:** Usually due to extreme heat or sunburn during peak summer - provide some afternoon shade</t>
        </is>
      </c>
      <c r="V31" s="98">
        <f>HYPERLINK("https://rosaryplanthouse.com/plant/"&amp;A31&amp;"-"&amp;SUBSTITUTE(LOWER(E31), " ", "-"))</f>
        <v/>
      </c>
      <c r="W31" t="inlineStr">
        <is>
          <t>🟢 Senecio serpens (ID: 30)
🌟 Meet the stunning Blue Stick Long! 🌟 This eye-catching succulent is not only a visual delight but also a low-maintenance superstar for your home or garden.
💚 **About**: Known for its unique blue-grey finger-like leaves that grow in a beautiful starburst pattern, Blue Chalksticks brings a touch of the exotic to your space. Originating from the dry, rocky landscapes of South Africa, this drought-tolerant beauty thrives in warm, arid climates, making it perfect for Indian gardens!
🌞 **Key Details**:
- **Watering**: Low – only every 10-15 days!
- **Sunlight**: Prefers 4-6 hours of direct bright sunlight for that gorgeous blue hue.
- **Growth**: Compact, bushy, and oh-so-easy to care for!
✨ Ready to add this striking succulent to your collection? Discover more by tapping the link in bio!
#SucculentLove #SenecioSerpens #BlueChalksticks #PlantParenthood #IndoorGardening #DroughtTolerant #GreenThumb #HomeDecor #PlantGoals #NatureLovers #PlantAddict #RosaryPlantHouse 🌱💙</t>
        </is>
      </c>
    </row>
    <row r="32" ht="99.5" customHeight="1">
      <c r="A32" s="73" t="n">
        <v>31</v>
      </c>
      <c r="B32" s="74" t="inlineStr">
        <is>
          <t>thimble cactus</t>
        </is>
      </c>
      <c r="C32" s="74">
        <f>IF(Local!H32,"1","0")</f>
        <v/>
      </c>
      <c r="D32" s="75" t="n">
        <v>49</v>
      </c>
      <c r="E32" s="66" t="inlineStr">
        <is>
          <t>Mammillaria vetula</t>
        </is>
      </c>
      <c r="F32" s="76">
        <f>"public/sale_plants/"&amp;A32&amp;".jpg"</f>
        <v/>
      </c>
      <c r="G32" s="77" t="inlineStr">
        <is>
          <t>(1.5"-2")</t>
        </is>
      </c>
      <c r="H32" s="78" t="inlineStr">
        <is>
          <t>Low</t>
        </is>
      </c>
      <c r="I32" s="66" t="inlineStr">
        <is>
          <t>Low</t>
        </is>
      </c>
      <c r="J32" s="66" t="inlineStr">
        <is>
          <t>High</t>
        </is>
      </c>
      <c r="K32" s="79" t="n">
        <v>89</v>
      </c>
      <c r="L32" s="80" t="inlineStr">
        <is>
          <t>Cactus</t>
        </is>
      </c>
      <c r="M32" s="80" t="n">
        <v>0</v>
      </c>
      <c r="N32" s="80" t="n">
        <v>0</v>
      </c>
      <c r="O32" s="81" t="n">
        <v>0</v>
      </c>
      <c r="P32" s="80" t="n">
        <v>0</v>
      </c>
      <c r="Q32" s="81">
        <f>IF(Local!I32=TRUE,1,0)</f>
        <v/>
      </c>
      <c r="R32" s="81">
        <f>Local!D32</f>
        <v/>
      </c>
      <c r="S32" s="81">
        <f>Local!F32</f>
        <v/>
      </c>
      <c r="T32" s="81">
        <f>Local!G32</f>
        <v/>
      </c>
      <c r="U32" s="83" t="inlineStr">
        <is>
          <t>## About
The Thimble Cactus is a small, charming cactus with globe-shaped stems covered in white spines that create a fluffy, cotton-like appearance. Native to Mexico, this lovely cactus produces beautiful pink to reddish flowers and is perfect for beginners and experienced plant lovers alike.
## Origin
Mammillaria vetula originates from the rocky hillsides and mountainous regions of central Mexico. It grows naturally in semi-arid environments where it receives plenty of sunlight and has excellent drainage. This cactus has adapted to survive in harsh conditions with minimal water.
## Temperature &amp; Humidity
- **Temperature Range:** 15Â°C to 35Â°C (can tolerate up to 40Â°C in Indian summers)
- **Humidity:** Prefers low to moderate humidity levels (30% to 50%). It can adapt well to typical Indian household humidity but should be kept in well-ventilated areas during monsoon season to prevent rot.
## Growth
The Thimble Cactus grows in clusters, forming multiple small globe-shaped stems that can reach 5-10 cm in height and width. It is a slow-growing plant that eventually forms attractive clumps over time. The stems multiply from the base, creating a beautiful grouped appearance. Individual stems are cylindrical to globe-shaped and covered in white spines arranged in neat patterns. This compact size makes it ideal for small pots and windowsills.
## Watering
- **Frequency:** Water once every 2-3 weeks depending on season and weather conditions. During hot Indian summers, you may need to water once every 10-14 days, while in winter, reduce to once a month or less.
- **Tips:** Always allow the soil to dry out completely between waterings. Water thoroughly until water drains from the bottom holes, then discard excess water. Reduce watering significantly during monsoon and winter months. Never let the plant sit in water as this causes root rot. The cactus stores water in its stems, so it's better to underwater than overwater.
## Sunlight
- **Hours per day:** 4 to 6 hours
- **Type:** Direct bright sunlight is best. It can tolerate some indirect light but thrives in direct sun. In extremely hot Indian summers (above 40Â°C), provide some afternoon shade to prevent sunburn.
## Care Tips
- Place near a south or west-facing window for maximum sunlight exposure
- During Indian monsoons, move the plant under cover or reduce watering completely as high humidity can cause rot
- Ensure excellent air circulation around the plant, especially in humid coastal areas
- The white spines may turn brown with age, which is natural
- Handle carefully as the spines can prick, though they are relatively soft compared to other cacti
- Protect from temperatures below 10Â°C during winter in North India
- Clean dust from spines occasionally using a soft brush or gentle water spray
## Growth Tips
- Use a well-draining cactus mix with sand, perlite, and cocopeat (1:1:1 ratio)
- Add small pieces of brick or pumice for extra drainage
- Fertilize once during the growing season (spring/early summer) with diluted cactus fertilizer at half strength
- Repot every 2-3 years in spring when the plant outgrows its pot
- Use terracotta or clay pots which allow better moisture evaporation
- Ensure pots have drainage holes at the bottom
- Propagate by carefully separating offsets (baby plants) from the main cluster
## Common Problems
- **Root rot:** Caused by overwatering or poor drainage, especially during monsoon. Stems become soft and mushy
- **Stretched growth:** Not enough sunlight causes the cactus to grow tall and lose its compact shape
- **Brown spots:** Sunburn from sudden exposure to intense afternoon sun in peak summer
- **Shriveling stems:** Sign of severe underwatering or damaged roots
- **Mealybugs:** White cottony pests that hide between spines. Remove with cotton swabs dipped in rubbing alcohol
- **No flowers:** Insufficient sunlight or lack of winter dormancy period
- **Yellowing:** Often due to overwatering or sitting in wet soil too long</t>
        </is>
      </c>
      <c r="V32" s="98">
        <f>HYPERLINK("https://rosaryplanthouse.com/plant/"&amp;A32&amp;"-"&amp;SUBSTITUTE(LOWER(E32), " ", "-"))</f>
        <v/>
      </c>
      <c r="W32" t="inlineStr">
        <is>
          <t>🟢 Thimble Cactus (ID: 31)  
🌵 Meet the charming Thimble Cactus, a delightful addition to any plant lover's collection! This cute little cactus, native to Mexico, boasts globe-shaped stems adorned with fluffy white spines, perfect for creating a cozy atmosphere in your home.  
✨ **About:** The Thimble Cactus is not just a pretty face; it produces stunning pink to reddish flowers and thrives with minimal care, making it ideal for both beginners and seasoned plant enthusiasts!  
🪴 **Key Details:**  
- **Watering:** Low (every 2-3 weeks)  
- **Sunlight:** High (4-6 hours of direct sunlight)  
- **Temperature:** 15°C to 35°C (can tolerate higher)  
- **Humidity:** Low to moderate (30% to 50%)  
👉 Ready to add this adorable cactus to your collection? **Link in bio!**  
#ThimbleCactus #MammillariaVetula #CactusLove #PlantLover #IndoorPlants #CactusCollection #Houseplants #PlantParent #GreenThumb #RosaryPlantHouse #SucculentLove #PlantAddict #CactusCare #HomeDecor #NatureLovers #PlantLife 🌱</t>
        </is>
      </c>
    </row>
    <row r="33" ht="99.5" customHeight="1">
      <c r="A33" s="73" t="n">
        <v>32</v>
      </c>
      <c r="B33" s="74" t="inlineStr">
        <is>
          <t>White Aloe</t>
        </is>
      </c>
      <c r="C33" s="74">
        <f>IF(Local!H33,"1","0")</f>
        <v/>
      </c>
      <c r="D33" s="75" t="n">
        <v>59</v>
      </c>
      <c r="E33" s="66" t="inlineStr">
        <is>
          <t>Aloe brevifolia</t>
        </is>
      </c>
      <c r="F33" s="76">
        <f>"public/sale_plants/"&amp;A33&amp;".jpg"</f>
        <v/>
      </c>
      <c r="G33" s="77" t="inlineStr">
        <is>
          <t>(2"-3")</t>
        </is>
      </c>
      <c r="H33" s="78" t="inlineStr">
        <is>
          <t>Low</t>
        </is>
      </c>
      <c r="I33" s="66" t="inlineStr">
        <is>
          <t>Low</t>
        </is>
      </c>
      <c r="J33" s="66" t="inlineStr">
        <is>
          <t>High</t>
        </is>
      </c>
      <c r="K33" s="79" t="n">
        <v>69</v>
      </c>
      <c r="L33" s="80" t="inlineStr">
        <is>
          <t>Aloe</t>
        </is>
      </c>
      <c r="M33" s="80" t="n">
        <v>0</v>
      </c>
      <c r="N33" s="80" t="n">
        <v>0</v>
      </c>
      <c r="O33" s="81" t="n">
        <v>0</v>
      </c>
      <c r="P33" s="80" t="n">
        <v>1</v>
      </c>
      <c r="Q33" s="81">
        <f>IF(Local!I33=TRUE,1,0)</f>
        <v/>
      </c>
      <c r="R33" s="81">
        <f>Local!D33</f>
        <v/>
      </c>
      <c r="S33" s="81">
        <f>Local!F33</f>
        <v/>
      </c>
      <c r="T33" s="81">
        <f>Local!G33</f>
        <v/>
      </c>
      <c r="U33" s="83" t="inlineStr">
        <is>
          <t>## About
Aloe brevifolia, commonly known as Short-leaf Aloe, is a small, compact succulent that forms attractive rosettes of thick, triangular leaves with small teeth along the edges. This hardy plant is popular among gardeners in India for its easy care requirements and ability to produce beautiful coral-orange flowers.
## Origin
This plant originates from the Western Cape region of South Africa, where it grows naturally in rocky, well-drained areas. It has adapted to survive in dry conditions with minimal water, making it perfect for Indian climate conditions, especially in hot and dry regions.
## Temperature &amp; Humidity
- **Temperature Range:** 15Â°C to 35Â°C (can tolerate temperatures up to 40Â°C)
- **Humidity:** Low to moderate humidity (30% to 50%). This plant prefers drier conditions and does not require high humidity to thrive. It adapts well to the varying humidity levels across different Indian states.
## Growth
Short-leaf Aloe is a slow to moderate grower that typically reaches 10-15 cm in height and can spread up to 30 cm wide as it produces offsets (baby plants) around the mother plant. The rosettes are compact and neat, making them ideal for small pots and container gardens. Over time, the plant forms clumps as it produces numerous offsets, creating an attractive cluster of rosettes. The leaves are pale green to grey-green with a slightly rough texture.
## Watering
- **Frequency:** Once every 2 weeks depending on other parameters like season, temperature, and pot size. During monsoon season, reduce watering significantly. In hot summer months, you may water slightly more frequently if the soil dries out completely.
- **Tips:** Always check if the soil is completely dry before watering. Water thoroughly but ensure excess water drains out completely. Never let the plant sit in water as this can cause root rot. Reduce watering during winter months to once every 3-4 weeks. Water early morning or late evening during summer.
## Sunlight
- **Hours per day:** 4 to 6 hours
- **Type:** Direct sunlight is best, but the plant can also tolerate bright indirect light. Morning sun is ideal. In extremely hot regions of India (where temperatures exceed 40Â°C regularly), provide some afternoon shade to prevent leaf burn.
## Care Tips
- Protect from heavy monsoon rains by keeping under a covered area or bringing indoors
- Ensure excellent drainage in pots to prevent waterlogging during rainy season
- This plant is heat-tolerant and perfect for hot Indian summers
- Remove dead or dried lower leaves regularly to keep the plant healthy
- Can be grown both indoors near a sunny window and outdoors in the garden
- Best suited for beginners as it requires minimal attention
- The plant may turn slightly reddish or orange when stressed by intense sun, which is normal
## Growth Tips
- Use well-draining soil mix: combine regular potting soil with cocopeat, perlite, or sand in equal proportions
- Add some neem cake powder to the soil to prevent pests naturally
- Fertilize sparingly, only once every 2-3 months during the growing season (spring and summer) with a balanced liquid fertilizer diluted to half strength
- Repot every 2-3 years or when the plant becomes root-bound or produces too many offsets
- Use terracotta or clay pots as they allow better air circulation and moisture evaporation
- You can easily propagate by separating the offsets and planting them in new pots
## Common Problems
- **Root rot:** Caused by overwatering or poor drainage. Leaves become soft, mushy, and translucent
- **Leaf discoloration (brown or black):** Result of too much water or fungal infection during monsoon
- **Shriveled leaves:** Sign of underwatering, though this plant is drought-tolerant
- **Pale or elongated growth:** Not getting enough sunlight, move to a brighter location
- **Mealybugs and scale insects:** Common pests that appear as white cottony masses or brown bumps on leaves. Treat with neem oil spray
- **Sunburn (brown patches):** Caused by sudden exposure to very intense afternoon sun without acclimatization
- **Slow or no growth:** May need fertilizer or the plant could be dormant during winter months, which is normal</t>
        </is>
      </c>
      <c r="V33" s="98">
        <f>HYPERLINK("https://rosaryplanthouse.com/plant/"&amp;A33&amp;"-"&amp;SUBSTITUTE(LOWER(E33), " ", "-"))</f>
        <v/>
      </c>
      <c r="W33" t="inlineStr">
        <is>
          <t>🟢 Aloe Brevifolia (ID: 32)
🌿 Ready to add a touch of elegance to your indoor space? Meet the stunning **White Aloe**! This charming succulent is not just a pretty face; it’s a resilient companion perfect for any plant lover, especially beginners! 🪴✨
**About**: The White Aloe, or Short-leaf Aloe, showcases compact rosettes of thick, triangular leaves adorned with tiny teeth along the edges. Native to the rocky regions of South Africa, it thrives in low watering conditions, making it an ideal plant for the hot and dry Indian climate! 🌞
**Key Details**:
- 🌱 **Watering**: Low – once every 2 weeks
- ☀️ **Sunlight**: Thrives in 4-6 hours of direct sunlight
- 🌡️ **Temperature**: Adapts well from 15°C to 35°C
- 🌍 **Care**: Perfect for indoor and outdoor settings; minimal fuss needed!
Don't miss out on bringing home this beauty! 🌸 Click the **Link in bio** to learn more and grab yours today!
#AloeBrevifolia #WhiteAloe #SucculentLove #IndoorPlants #PlantParenthood #GreenThumb #HomeDecor #PlantCare #RosaryPlantHouse 🌿✨</t>
        </is>
      </c>
    </row>
    <row r="34" ht="99.5" customHeight="1">
      <c r="A34" s="73" t="n">
        <v>33</v>
      </c>
      <c r="B34" s="74" t="inlineStr">
        <is>
          <t>Grey Aloe</t>
        </is>
      </c>
      <c r="C34" s="74">
        <f>IF(Local!H34,"1","0")</f>
        <v/>
      </c>
      <c r="D34" s="75" t="n">
        <v>69</v>
      </c>
      <c r="E34" s="66" t="inlineStr">
        <is>
          <t>Aloe humilis</t>
        </is>
      </c>
      <c r="F34" s="76">
        <f>"public/sale_plants/"&amp;A34&amp;".jpg"</f>
        <v/>
      </c>
      <c r="G34" s="77" t="inlineStr">
        <is>
          <t>(2"-3")</t>
        </is>
      </c>
      <c r="H34" s="78" t="inlineStr">
        <is>
          <t>Low</t>
        </is>
      </c>
      <c r="I34" s="66" t="inlineStr">
        <is>
          <t>Low</t>
        </is>
      </c>
      <c r="J34" s="66" t="inlineStr">
        <is>
          <t>High</t>
        </is>
      </c>
      <c r="K34" s="79" t="n">
        <v>79</v>
      </c>
      <c r="L34" s="80" t="inlineStr">
        <is>
          <t>Aloe</t>
        </is>
      </c>
      <c r="M34" s="80" t="n">
        <v>0</v>
      </c>
      <c r="N34" s="80" t="n">
        <v>0</v>
      </c>
      <c r="O34" s="81" t="n">
        <v>0</v>
      </c>
      <c r="P34" s="81" t="n">
        <v>1</v>
      </c>
      <c r="Q34" s="81">
        <f>IF(Local!I34=TRUE,1,0)</f>
        <v/>
      </c>
      <c r="R34" s="81">
        <f>Local!D34</f>
        <v/>
      </c>
      <c r="S34" s="81">
        <f>Local!F34</f>
        <v/>
      </c>
      <c r="T34" s="81">
        <f>Local!G34</f>
        <v/>
      </c>
      <c r="U34" s="83" t="inlineStr">
        <is>
          <t>## About
The Hedgehog Aloe is a small, attractive succulent plant with thick, spiny leaves arranged in a beautiful rosette pattern. It gets its name from the white spines that cover its green leaves, giving it a hedgehog-like appearance. This plant is perfect for beginners and is loved by plant collectors for its compact size and low care needs.
## Origin
Aloe humilis is native to South Africa, particularly the Eastern Cape region. It grows naturally in rocky, mountainous areas where it receives plenty of sunlight and very little water. The plant is adapted to survive in dry, harsh conditions, which makes it an excellent choice for Indian climate conditions.
## Temperature &amp; Humidity
- **Temperature Range:** 15Â°C to 35Â°C
- **Humidity:** Low to moderate humidity (30% to 50%). This plant can tolerate dry air very well and does not need high humidity. It can handle Indian summers and winters, but should be protected from frost and temperatures below 10Â°C.
## Growth
Hedgehog Aloe is a slow-growing, compact succulent that typically reaches 8 to 15 centimeters in height and spreads about 15 to 20 centimeters wide. It grows in a tight rosette form with leaves that are thick, fleshy, and covered with soft white spines along the edges and surfaces. The plant produces offsets (baby plants) at the base, which can form small clumps over time. During the blooming season, it sends up tall flower stalks with tubular orange or red flowers.
## Watering
- **Frequency:** Once every two weeks depending on other parameters like season, temperature, and humidity. Water less in winter and monsoon seasons.
- **Tips:** Always check if the soil is completely dry before watering. Water deeply but allow all excess water to drain out completely. Never let the plant sit in water as this causes root rot. During the rainy season, reduce watering or stop completely if the plant is outdoors. Use the "soak and dry" method - water thoroughly and then wait until soil is bone dry.
## Sunlight
- **Hours per day:** 4 to 6 hours
- **Type:** Direct sunlight is best. The plant loves bright, direct sunlight and will show the best color and growth in full sun. It can tolerate some indirect bright light if kept indoors, but may become leggy and lose its compact shape without enough light.
## Care Tips
- Place in the brightest spot available, preferably near a south or west-facing window if kept indoors
- Can be kept outdoors year-round in most parts of India, but bring indoors during heavy monsoon rains
- Protect from frost and cold winter nights in North India (below 10Â°C)
- Ensure excellent drainage - the pot must have drainage holes
- Clean the leaves gently with a soft brush to remove dust and allow better photosynthesis
- Fertilize sparingly - this plant does not need much feeding
## Growth Tips
- Use well-draining cactus or succulent soil mix, or make your own by mixing regular potting soil with coarse sand and perlite in equal parts
- Add small pieces of gravel or broken clay pot pieces at the bottom for extra drainage
- Fertilize only once during the growing season (spring or early summer) with a diluted succulent fertilizer at half strength
- Repot every 2 to 3 years or when the plant becomes root-bound or produces many offsets
- Use terracotta or clay pots which allow the soil to dry faster than plastic pots
- Propagate easily by separating the offsets (pups) from the mother plant and planting them in fresh soil
## Common Problems
- **Root rot:** Caused by overwatering or poor drainage. Leaves become soft, mushy, and brown at the base
- **Leggy growth:** Not enough sunlight. Plant stretches towards light and loses compact shape
- **Brown leaf tips:** Natural aging process or inconsistent watering. Usually not a concern
- **Mealybugs:** White cottony pests in leaf crevices. Remove with cotton swab dipped in rubbing alcohol
- **Scale insects:** Small brown bumps on leaves. Scrape off manually and treat with neem oil
- **Leaves turning red or brown:** Too much direct harsh sun. Gradually increase sun exposure or provide some afternoon shade
- **No flowering:** Needs cooler winter temperatures and bright light to trigger blooming</t>
        </is>
      </c>
      <c r="V34" s="98">
        <f>HYPERLINK("https://rosaryplanthouse.com/plant/"&amp;A34&amp;"-"&amp;SUBSTITUTE(LOWER(E34), " ", "-"))</f>
        <v/>
      </c>
      <c r="W34" t="inlineStr">
        <is>
          <t>🟢 Grey Aloe (ID: 33)
🌿 Meet the stunning Hedgehog Aloe! This captivating succulent is not only visually striking but also incredibly low-maintenance, making it the perfect addition to your indoor garden. 🪴✨
With its thick, spiny leaves forming an eye-catching rosette pattern, this plant thrives in bright, direct sunlight and requires minimal watering. Originating from the sun-soaked regions of South Africa, it's perfectly adapted for our Indian climate! ☀️🌍
**Key Details:**
- 🌱 Watering: Low - Just once every two weeks!
- ☀️ Sunlight: Loves 4-6 hours of direct sunlight daily.
- 🌡️ Temperature: Thrives between 15°C to 35°C, perfect for any season!
Ready to add this beauty to your collection? 🌟 Link in bio!
#GreyAloe #AloeHumilis #SucculentLove #PlantParent #IndoorPlants #HouseplantClub #PlantAddict #PlantLover #Gardening #RosaryPlantHouse #GreenThumb #SucculentCare #HomeDecor #PlantGoals #NatureLovers #ShopSmall</t>
        </is>
      </c>
    </row>
    <row r="35" ht="99.5" customHeight="1">
      <c r="A35" s="73" t="n">
        <v>34</v>
      </c>
      <c r="B35" s="74" t="inlineStr">
        <is>
          <t>Chrocodile Teeth</t>
        </is>
      </c>
      <c r="C35" s="74">
        <f>IF(Local!H35,"1","0")</f>
        <v/>
      </c>
      <c r="D35" s="75" t="n">
        <v>79</v>
      </c>
      <c r="E35" s="66" t="inlineStr">
        <is>
          <t>Faucaria tigrina</t>
        </is>
      </c>
      <c r="F35" s="76">
        <f>"public/sale_plants/"&amp;A35&amp;".jpg"</f>
        <v/>
      </c>
      <c r="G35" s="77" t="inlineStr">
        <is>
          <t>(2"-3")</t>
        </is>
      </c>
      <c r="H35" s="78" t="inlineStr">
        <is>
          <t>Low</t>
        </is>
      </c>
      <c r="I35" s="66" t="inlineStr">
        <is>
          <t>Low</t>
        </is>
      </c>
      <c r="J35" s="66" t="inlineStr">
        <is>
          <t>High</t>
        </is>
      </c>
      <c r="K35" s="79" t="n">
        <v>79</v>
      </c>
      <c r="L35" s="80" t="inlineStr">
        <is>
          <t>Succulent</t>
        </is>
      </c>
      <c r="M35" s="80" t="n">
        <v>0</v>
      </c>
      <c r="N35" s="80" t="n">
        <v>0</v>
      </c>
      <c r="O35" s="81" t="n">
        <v>0</v>
      </c>
      <c r="P35" s="80" t="n">
        <v>0</v>
      </c>
      <c r="Q35" s="81">
        <f>IF(Local!I35=TRUE,1,0)</f>
        <v/>
      </c>
      <c r="R35" s="81">
        <f>Local!D35</f>
        <v/>
      </c>
      <c r="S35" s="81">
        <f>Local!F35</f>
        <v/>
      </c>
      <c r="T35" s="81">
        <f>Local!G35</f>
        <v/>
      </c>
      <c r="U35" s="83" t="inlineStr">
        <is>
          <t>## About
Tiger Tooth Aloe is a small, unique succulent with thick, fleshy leaves that have soft teeth along the edges, looking like tiny tiger jaws. This plant produces beautiful bright yellow daisy-like flowers that open during sunny afternoons, making it a favorite among succulent collectors.
## Origin
This plant originally comes from the Eastern Cape region of South Africa. It grows naturally in rocky areas with good drainage and plenty of sunlight. The plant has adapted to survive in dry conditions with little rainfall.
## Temperature &amp; Humidity
- **Temperature Range:** 15Â°C to 35Â°C
- **Humidity:** Low to moderate humidity (30% to 50%). This plant does well in dry conditions and does not need high humidity. It can tolerate the hot and dry summers of most Indian regions very well.
## Growth
Tiger Tooth Aloe is a slow-growing, compact succulent that stays small and neat. It typically grows to about 10-15 cm in height and spreads to about 15-20 cm wide. The plant forms small clusters or clumps over time as it produces offsets (baby plants) around the base. The leaves grow in a rosette pattern and can turn slightly reddish in strong sunlight. Growth is more active during spring and autumn seasons.
## Watering
- **Frequency:** Once every 10-15 days depending on season and weather conditions. In monsoon season, reduce watering significantly or stop completely if kept outdoors.
- **Tips:** Water thoroughly and let the soil dry out completely between waterings. Always check if the soil is dry before watering again. Use a pot with drainage holes to prevent water from collecting at the bottom. Reduce watering during winter months when the plant is resting. Overwatering is the biggest danger for this plant.
## Sunlight
- **Hours per day:** 4 to 6 hours
- **Type:** Direct bright sunlight is best. The plant can tolerate some indirect light but flowers best with good direct sun exposure. Morning sun is ideal in very hot Indian summers. Too much afternoon sun in peak summer (above 40Â°C) may stress the plant slightly.
## Care Tips
- Keep the plant in a well-ventilated spot to prevent fungal issues, especially during monsoon
- Protect from heavy rain as too much water can cause root rot
- The plant is very low maintenance and perfect for beginners
- During Indian summer, provide some shade during the hottest afternoon hours if temperatures exceed 40Â°C
- Can be grown outdoors year-round in most parts of India except in areas with frost
- Indoor placement near a south or west-facing window works well
- Remove dead leaves from the base to keep the plant healthy
## Growth Tips
- Use a well-draining succulent or cactus potting mix with plenty of sand, perlite, or pumice
- Add extra grit or coarse sand (50% of the mix) for better drainage
- Fertilize lightly once every 2-3 months during growing season (spring and autumn) with diluted liquid succulent fertilizer
- Repot every 2-3 years in spring when the plant outgrows its pot
- Use shallow pots as the roots are not very deep
- You can propagate by separating offsets and planting them in new pots
## Common Problems
- **Root rot:** Caused by overwatering or poor drainage. Leaves become soft and mushy
- **Stretched growth:** Not enough sunlight makes the plant grow tall and weak looking
- **Shriveled leaves:** Sign that the plant needs water, but check soil first before watering
- **No flowers:** Needs more direct sunlight and proper rest period in winter
- **Mealybugs:** Small white cottony pests that hide between leaves. Remove with cotton swab dipped in rubbing alcohol
- **Brown or black spots:** Usually fungal infection from too much moisture and poor air circulation
- **Leaves turning red/purple:** Too much direct sun, provide some afternoon shade</t>
        </is>
      </c>
      <c r="V35" s="98">
        <f>HYPERLINK("https://rosaryplanthouse.com/plant/"&amp;A35&amp;"-"&amp;SUBSTITUTE(LOWER(E35), " ", "-"))</f>
        <v/>
      </c>
      <c r="W35" t="inlineStr">
        <is>
          <t>🟢 Faucaria Tigrina (ID: 34)
🌟 Say hello to the stunning Crocodile Teeth! This unique succulent is not just a feast for the eyes but also a low-maintenance gem for your collection! 
🌿 About: Known for its thick, fleshy leaves adorned with soft teeth along the edges resembling tiny tiger jaws, the Crocodile Teeth thrives in bright sunlight and blooms beautiful yellow daisy-like flowers during sunny afternoons. Native to the rocky terrains of South Africa, it's perfectly adapted to dry conditions. 
🌱 Key Details: 
- 🌞 Sunlight: 4-6 hours of direct bright sunlight
- 💧 Watering: Low, every 10-15 days
- 🌡️ Temperature: Thrives between 15°C to 35°C
- 🌬️ Humidity: Prefers low to moderate (30%-50%)
👉 Ready to add this charming succulent to your home? Link in bio! 
#FaucariaTigrina #CrocodileTeeth #SucculentLove #PlantParent #LowMaintenancePlants #HomeDecor #IndoorPlants #PlantAddict #GreenThumb #PlantGoals #RosaryPlantHouse #PlantLovers #SucculentCollection #SouthAfricanPlants #FlowerPower #NatureLovers #HouseplantClub</t>
        </is>
      </c>
    </row>
    <row r="36" ht="99.5" customHeight="1">
      <c r="A36" s="73" t="n">
        <v>35</v>
      </c>
      <c r="B36" s="74" t="inlineStr">
        <is>
          <t>Normal Haworthia</t>
        </is>
      </c>
      <c r="C36" s="74">
        <f>IF(Local!H36,"1","0")</f>
        <v/>
      </c>
      <c r="D36" s="75" t="n">
        <v>49</v>
      </c>
      <c r="E36" s="66" t="inlineStr">
        <is>
          <t>Haworthia resendeana</t>
        </is>
      </c>
      <c r="F36" s="76">
        <f>"public/sale_plants/"&amp;A36&amp;".jpg"</f>
        <v/>
      </c>
      <c r="G36" s="77" t="inlineStr">
        <is>
          <t>(2"-3")</t>
        </is>
      </c>
      <c r="H36" s="78" t="inlineStr">
        <is>
          <t>Low</t>
        </is>
      </c>
      <c r="I36" s="66" t="inlineStr">
        <is>
          <t>Low</t>
        </is>
      </c>
      <c r="J36" s="66" t="inlineStr">
        <is>
          <t>Medium</t>
        </is>
      </c>
      <c r="K36" s="79" t="n">
        <v>120</v>
      </c>
      <c r="L36" s="80" t="inlineStr">
        <is>
          <t>Haworthia</t>
        </is>
      </c>
      <c r="M36" s="80" t="n">
        <v>0</v>
      </c>
      <c r="N36" s="80" t="n">
        <v>0</v>
      </c>
      <c r="O36" s="81" t="n">
        <v>0</v>
      </c>
      <c r="P36" s="80" t="n">
        <v>1</v>
      </c>
      <c r="Q36" s="81">
        <f>IF(Local!I36=TRUE,1,0)</f>
        <v/>
      </c>
      <c r="R36" s="81">
        <f>Local!D36</f>
        <v/>
      </c>
      <c r="S36" s="81">
        <f>Local!F36</f>
        <v/>
      </c>
      <c r="T36" s="81">
        <f>Local!G36</f>
        <v/>
      </c>
      <c r="U36" s="83" t="inlineStr">
        <is>
          <t>## About
Haworthia resendeana is a beautiful small succulent with pointed green leaves that form a compact rosette. This plant is native to South Africa and is loved by plant collectors for its neat, architectural shape and easy care requirements.
## Origin
This plant comes from South Africa, where it grows naturally in rocky areas with well-draining soil. It is adapted to survive in semi-arid conditions with little water and protection from the harsh afternoon sun.
## Temperature &amp; Humidity
- **Temperature Range:** 15Â°C to 35Â°C
- **Humidity:** Low to moderate humidity (30% to 50%). This plant does well in typical Indian household humidity levels and doesn't need any special humid conditions. It can tolerate dry air very well.
## Growth
Haworthia resendeana is a slow-growing plant that stays compact and small. It typically grows to about 10-15 cm in height and 8-12 cm in width. The plant forms a neat rosette of upright, pointed leaves. It may produce offsets (baby plants) around the base over time, which can be left attached to create a cluster or separated for propagation. The growth is especially slow during hot summers and winters, with most growth happening in spring and autumn.
## Watering
- **Frequency:** Once every two weeks depending on season and weather conditions. In monsoon, reduce watering significantly as humidity is high. In summer, you may need to water once a week depending on how quickly the soil dries.
- **Tips:** Always check that the soil is completely dry before watering again. Water thoroughly until it drains from the bottom, but never let the plant sit in water. Reduce watering in winter months. Overwatering is the biggest killer of this plant, so when in doubt, wait a few more days before watering.
## Sunlight
- **Hours per day:** 3 to 4 hours
- **Type:** Bright indirect light or filtered morning sunlight. Avoid harsh afternoon sun which can burn the leaves and turn them brown or red. A shaded outdoor spot or a bright indoor windowsill (east or north-facing) works perfectly.
## Care Tips
- Keep this plant in bright but indirect light indoors near a window
- Protect from direct afternoon sun especially during Indian summers (April-June)
- Use a well-draining pot with drainage holes to prevent root rot
- During monsoon season, move the plant under a covered area to avoid excessive rain
- Clean dust off leaves occasionally with a soft brush for better photosynthesis
- This plant is perfect for beginners as it tolerates neglect better than overcare
## Growth Tips
- Use a succulent or cactus potting mix with added perlite or cocopeat for extra drainage
- You can also make your own mix using regular soil, sand, and perlite in equal parts
- Fertilize very lightly once every 2-3 months during growing season (spring and autumn) with diluted succulent fertilizer
- Repot only when the plant becomes root-bound, usually every 2-3 years
- Use a pot only slightly larger than the previous one as this plant likes snug conditions
- Spring is the best time for repotting
## Common Problems
- **Brown or red leaves:** Too much direct sunlight. Move to a shadier location
- **Soft, mushy leaves:** Overwatering or root rot. Reduce watering immediately and check roots
- **Leaves turning pale or stretching:** Not enough light. Move to a brighter spot
- **Slow or no growth:** Normal for this species, but could also mean it needs fertilizer or is in dormancy during extreme weather
- **Mealybugs:** Small white cottony pests. Remove with cotton swab dipped in rubbing alcohol
- **Shriveled leaves:** Underwatering. Give the plant a good drink, but don't overcompensate with too frequent watering afterward</t>
        </is>
      </c>
      <c r="V36" s="98">
        <f>HYPERLINK("https://rosaryplanthouse.com/plant/"&amp;A36&amp;"-"&amp;SUBSTITUTE(LOWER(E36), " ", "-"))</f>
        <v/>
      </c>
      <c r="W36" t="inlineStr">
        <is>
          <t>🟢 Haworthia resendeana (ID: 35)  
🌿 Meet the Normal Haworthia, the perfect indoor companion for all plant lovers! 🌱✨
This stunning succulent features pointed green leaves forming a compact rosette, showcasing its architectural beauty. Native to South Africa, it's beloved for its low-maintenance care and unique charm, making it a must-have for any collection! 
**Key Details:**  
🌱 **Watering:** Low – Every 2 weeks (less in monsoon)  
☀️ **Sunlight:** Medium – 3-4 hours of bright, indirect light  
🌡️ **Temperature:** Thrives between 15°C to 35°C  
💧 **Humidity:** Low to moderate, perfect for typical Indian homes  
Whether you're a seasoned plant parent or just starting, this Haworthia is your perfect match! 💚✨ Don't miss out on adding this beauty to your home! 
👉 Link in bio for more info!  
#HaworthiaResendeana #SucculentLove #IndoorPlants #PlantParenthood #GreenThumb #PlantCare #RosaryPlantHouse #HomeDecor #PlantCollection #SucculentCare #NatureLovers #HousePlants #PlantAddict #PlantLife #SucculentSociety</t>
        </is>
      </c>
    </row>
    <row r="37" ht="99.5" customHeight="1">
      <c r="A37" s="73" t="n">
        <v>36</v>
      </c>
      <c r="B37" s="74" t="inlineStr">
        <is>
          <t>Face Sedum</t>
        </is>
      </c>
      <c r="C37" s="74">
        <f>IF(Local!H37,"1","0")</f>
        <v/>
      </c>
      <c r="D37" s="75" t="n">
        <v>69</v>
      </c>
      <c r="E37" s="66" t="inlineStr">
        <is>
          <t>Sedum dasyphyllum</t>
        </is>
      </c>
      <c r="F37" s="76">
        <f>"public/sale_plants/"&amp;A37&amp;".jpg"</f>
        <v/>
      </c>
      <c r="G37" s="77" t="inlineStr">
        <is>
          <t>(2"-3")</t>
        </is>
      </c>
      <c r="H37" s="78" t="inlineStr">
        <is>
          <t>High</t>
        </is>
      </c>
      <c r="I37" s="66" t="inlineStr">
        <is>
          <t>Low</t>
        </is>
      </c>
      <c r="J37" s="66" t="inlineStr">
        <is>
          <t>Medium</t>
        </is>
      </c>
      <c r="K37" s="79" t="n">
        <v>89</v>
      </c>
      <c r="L37" s="80" t="inlineStr">
        <is>
          <t>Sedum</t>
        </is>
      </c>
      <c r="M37" s="80" t="n">
        <v>0</v>
      </c>
      <c r="N37" s="80" t="n">
        <v>1</v>
      </c>
      <c r="O37" s="81" t="n">
        <v>0</v>
      </c>
      <c r="P37" s="81" t="n">
        <v>0</v>
      </c>
      <c r="Q37" s="81">
        <f>IF(Local!I37=TRUE,1,0)</f>
        <v/>
      </c>
      <c r="R37" s="81">
        <f>Local!D37</f>
        <v/>
      </c>
      <c r="S37" s="81">
        <f>Local!F37</f>
        <v/>
      </c>
      <c r="T37" s="81">
        <f>Local!G37</f>
        <v/>
      </c>
      <c r="U37" s="83" t="inlineStr">
        <is>
          <t>## About
Sedum dasyphyllum, commonly known as Corsican Stonecrop, is a tiny and delicate succulent that forms dense, compact mats of blue-green to gray-green leaves. This charming plant originates from Mediterranean regions and is loved for its trailing growth habit and tiny, plump leaves that resemble beads or tears. It produces small white or pinkish flowers in summer, making it a lovely addition to any succulent collection.
## Origin
This plant is native to the Mediterranean region, particularly found in areas around Corsica, Italy, Spain, and North Africa. It naturally grows on rocky slopes, stone walls, and crevices where it receives bright light and good drainage.
## Temperature &amp; Humidity
- **Temperature Range:** 10Â°C to 35Â°C
- **Humidity:** This plant prefers low to moderate humidity levels (30% to 50%). It adapts well to Indian climate conditions but needs protection from excessive monsoon moisture. It can tolerate mild frost but prefers warmer temperatures typical of most Indian regions.
## Growth
Sedum dasyphyllum is a small, slow-growing succulent that typically reaches only 5 to 10 cm in height but can spread up to 30 cm wide over time. It has a creeping, mat-forming growth habit with tiny, rounded, fleshy leaves clustered along thin stems. The plant spreads gently and creates a beautiful cascading effect, making it perfect for hanging baskets, wall gardens, or spilling over container edges. Growth is relatively slow but steady when given proper care.
## Watering
- **Frequency:** Once every two weeks depending on season and weather conditions. During hot summer months, you may need to water slightly more frequently, while in winter or monsoon season, reduce watering significantly.
- **Tips:** Always allow the soil to dry out completely between waterings. Water thoroughly but ensure excess water drains away quickly. Avoid getting water on the leaves to prevent rot. In the rainy season, move the plant to a covered area to prevent waterlogging. Overwatering is the biggest enemy of this plant.
## Sunlight
- **Hours per day:** 4 to 6 hours
- **Type:** Bright indirect light to partial direct sunlight. Morning sunlight is ideal. In hot Indian summers, provide afternoon shade to prevent leaf scorch. The plant can tolerate some shade but may become leggy and lose its compact form without adequate light.
## Care Tips
- Protect from heavy monsoon rains by moving to a covered porch or veranda
- Ensure excellent drainage by using pots with drainage holes
- In extreme summer heat (above 40Â°C), provide shade during peak afternoon hours
- Remove dead or dried leaves regularly to maintain appearance and prevent pests
- Keep away from areas with high humidity like bathrooms during monsoon
- The plant is relatively pest-resistant but watch for mealybugs in humid conditions
## Growth Tips
- Use a well-draining succulent or cactus mix with sand, perlite, or pumice added
- Add cocopeat and regular soil in 1:1:1 ratio with sand for better drainage
- Fertilize sparinglyâ€”once every 2-3 months during growing season (spring and autumn) with diluted liquid succulent fertilizer
- Repot every 2-3 years or when the plant outgrows its container
- Propagation is very easy through stem cuttingsâ€”simply lay stems on soil and they will root
- Terracotta pots work best as they allow soil to dry faster
## Common Problems
- **Leaf drop and mushiness:** Caused by overwatering or poor drainage. Reduce watering immediately.
- **Leggy growth:** Not enough sunlight. Move to a brighter location.
- **Yellowing leaves:** Either overwatering or nutrient deficiency. Check soil moisture first.
- **Mealybugs:** White cottony pests that appear in humid conditions. Wipe with alcohol-soaked cotton or use neem oil spray.
- **Root rot:** Occurs when soil stays wet for too long. Ensure proper drainage and reduce watering.
- **Shriveled leaves:** Underwatering. Give the plant a good soak and it should recover quickly.
- **Leaf scorch:** Too much direct harsh sunlight. Provide afternoon shade during summer.</t>
        </is>
      </c>
      <c r="V37" s="98">
        <f>HYPERLINK("https://rosaryplanthouse.com/plant/"&amp;A37&amp;"-"&amp;SUBSTITUTE(LOWER(E37), " ", "-"))</f>
        <v/>
      </c>
      <c r="W37" t="inlineStr">
        <is>
          <t>🟢 Sedum dasyphyllum (ID: 36)
🌿 Meet the enchanting Face Sedum! This charming succulent is perfect for adding a touch of Mediterranean magic to your space. 
✨ With its delicate, trailing growth and tiny, bead-like leaves, Sedum dasyphyllum creates stunning cascading displays in hanging baskets or wall gardens. Native to rocky slopes of the Mediterranean, this plant thrives in bright indirect light and is a breeze to care for—making it ideal for both seasoned plant parents and beginners alike!
🌞 **Key Details:**
- **Watering:** Low frequency, every 2 weeks
- **Sunlight:** 4 to 6 hours of bright indirect light
- **Growth Habit:** Creeping and mat-forming, perfect for hanging displays
- **Care Tips:** Protect from heavy rain, ensure excellent drainage, and watch for mealybugs.
🌱 Ready to bring home this little gem? Check out the link in bio!
#SedumDasyphyllum #FaceSedum #SucculentLove #PlantParenthood #HangingPlants #IndoorGarden #SucculentCare #GreenThumb #PlantGoals #RosaryPlantHouse #EcoFriendlyLiving #PlantAddict #HomeDecor #MediterraneanMagic</t>
        </is>
      </c>
    </row>
    <row r="38" ht="99.5" customHeight="1">
      <c r="A38" s="73" t="n">
        <v>37</v>
      </c>
      <c r="B38" s="74" t="inlineStr">
        <is>
          <t>Cone Tree</t>
        </is>
      </c>
      <c r="C38" s="74">
        <f>IF(Local!H38,"1","0")</f>
        <v/>
      </c>
      <c r="D38" s="75" t="n">
        <v>69</v>
      </c>
      <c r="E38" s="66" t="inlineStr">
        <is>
          <t>Crassula tetragona</t>
        </is>
      </c>
      <c r="F38" s="76">
        <f>"public/sale_plants/"&amp;A38&amp;".jpg"</f>
        <v/>
      </c>
      <c r="G38" s="77" t="inlineStr">
        <is>
          <t>(2"-3")</t>
        </is>
      </c>
      <c r="H38" s="78" t="inlineStr">
        <is>
          <t>Low</t>
        </is>
      </c>
      <c r="I38" s="66" t="inlineStr">
        <is>
          <t>Low</t>
        </is>
      </c>
      <c r="J38" s="66" t="inlineStr">
        <is>
          <t>High</t>
        </is>
      </c>
      <c r="K38" s="79" t="n">
        <v>59</v>
      </c>
      <c r="L38" s="80" t="inlineStr">
        <is>
          <t>Crassula</t>
        </is>
      </c>
      <c r="M38" s="80" t="n">
        <v>0</v>
      </c>
      <c r="N38" s="80" t="n">
        <v>0</v>
      </c>
      <c r="O38" s="81" t="n">
        <v>0</v>
      </c>
      <c r="P38" s="80" t="n">
        <v>0</v>
      </c>
      <c r="Q38" s="81">
        <f>IF(Local!I38=TRUE,1,0)</f>
        <v/>
      </c>
      <c r="R38" s="81">
        <f>Local!D38</f>
        <v/>
      </c>
      <c r="S38" s="81">
        <f>Local!F38</f>
        <v/>
      </c>
      <c r="T38" s="81">
        <f>Local!G38</f>
        <v/>
      </c>
      <c r="U38" s="83" t="inlineStr">
        <is>
          <t>## About
Crassula tetragona, commonly known as the Miniature Pine Tree, is a charming succulent that resembles a tiny pine or conifer tree. This low-maintenance plant is perfect for beginners and experienced gardeners alike, with its unique needle-like leaves arranged in a spiral pattern along woody stems.
## Origin
This beautiful succulent is native to South Africa, particularly found in the Eastern Cape region. In its natural habitat, it grows in rocky areas and dry landscapes where it has adapted to survive with minimal water and in full sunlight.
## Temperature &amp; Humidity
- **Temperature Range:** 15Â°C to 35Â°C
- **Humidity:** Low to moderate humidity (30% to 50%). This plant is highly adaptable to typical Indian climate conditions and can tolerate both dry and slightly humid environments. It thrives best in well-ventilated areas.
## Growth
Crassula tetragona is a slow to moderate grower that can reach heights of 30 to 90 cm when mature. The plant develops a woody, branching stem structure that creates a miniature tree-like appearance. New growth emerges from the top and along the branches, with cylindrical, needle-like leaves about 2-3 cm long. The plant naturally branches as it grows, creating a bushy, tree-like form that makes it an attractive decorative piece for any space.
## Watering
- **Frequency:** Once every 10-14 days depending on season and weather conditions. In summer, water slightly more frequently; in winter and monsoon, reduce watering significantly.
- **Tips:** Always allow the soil to dry out completely between waterings. Water thoroughly but ensure excess water drains out completely. Reduce watering during the monsoon season as high humidity and rainfall can lead to overwatering. The fleshy leaves store water, making this plant very drought-tolerant. When in doubt, underwater rather than overwater.
## Sunlight
- **Hours per day:** 4 to 6 hours
- **Type:** Direct sunlight is best. The plant can tolerate bright indirect light but grows best and maintains its compact shape with direct sun exposure. Morning sun is particularly beneficial in hot Indian summers.
## Care Tips
- Keep the plant in a well-ventilated area to prevent fungal issues during monsoon season
- Protect from heavy rainfall as excessive moisture can cause root rot
- During peak summer (April-June), provide some afternoon shade if temperatures exceed 40Â°C
- Clean the leaves occasionally with a soft brush to remove dust and allow better light absorption
- Rotate the pot every few weeks to ensure even growth on all sides
- Works excellently in terracotta pots which help absorb excess moisture
- Can be kept on sunny windowsills, balconies, or in outdoor gardens
## Growth Tips
- Use well-draining succulent or cactus soil mix with added perlite or cocopeat for better drainage
- Add a layer of gravel or small stones at the bottom of the pot for drainage
- Fertilize sparingly with a diluted balanced liquid fertilizer (10-10-10) once every 2-3 months during the growing season (spring and early summer)
- Repot every 2-3 years or when the plant becomes root-bound, preferably in early spring
- Propagate easily from stem cuttings â€“ allow cuttings to dry for 2-3 days before planting
- Pinch back growing tips to encourage bushier, more compact growth
- Use pots with drainage holes to prevent waterlogging
## Common Problems
- **Root rot:** Caused by overwatering or poorly draining soil. Signs include soft, mushy stems and yellowing leaves
- **Leaf drop:** Usually due to overwatering or sudden temperature changes
- **Leggy growth:** Insufficient sunlight causes the plant to stretch and lose its compact form
- **Mealybugs:** White cotton-like pests that appear on leaves and stems. Remove with alcohol-soaked cotton swabs
- **Brown, crispy leaves:** Underwatering or excessive direct sun during extreme heat
- **Fungal infections:** Common during monsoon if the plant is kept in poorly ventilated, overly humid conditions
- **Slow or stunted growth:** Often due to poor soil quality or lack of nutrients</t>
        </is>
      </c>
      <c r="V38" s="98">
        <f>HYPERLINK("https://rosaryplanthouse.com/plant/"&amp;A38&amp;"-"&amp;SUBSTITUTE(LOWER(E38), " ", "-"))</f>
        <v/>
      </c>
      <c r="W38" t="inlineStr">
        <is>
          <t>🟢 Crassula Tetragona (ID: 37)
🌿 Elevate your space with the enchanting Cone Tree! This charming succulent resembles a miniature pine tree, making it a unique addition to any collection. Perfect for both beginners and seasoned plant lovers, the Crassula tetragona is not just a plant; it's a statement piece! 
💚 **About the Plant:** Known for its needle-like leaves and woody stems, this beauty thrives in direct sunlight and requires minimal watering. Native to South Africa, it has adapted beautifully to various climates, ensuring it remains a resilient choice for your home.
✨ **Key Details:**
- 🌞 **Sunlight:** 4-6 hours of direct sunlight for optimal growth
- 💧 **Watering:** Low; allow soil to dry completely between waterings
- 🌱 **Care Tips:** Keep it well-ventilated and protect from heavy rainfall
👉 Ready to bring home this stunning succulent? Check the **Link in bio**!
#CrassulaTetragona #ConeTree #SucculentLove #HousePlants #IndoorGardening #PlantParent #GreenThumb #SucculentCare #PlantGoals #RosaryPlantHouse</t>
        </is>
      </c>
    </row>
    <row r="39" ht="99.5" customHeight="1">
      <c r="A39" s="73" t="n">
        <v>38</v>
      </c>
      <c r="B39" s="74" t="inlineStr">
        <is>
          <t>Green Sedum</t>
        </is>
      </c>
      <c r="C39" s="74">
        <f>IF(Local!H39,"1","0")</f>
        <v/>
      </c>
      <c r="D39" s="75" t="n">
        <v>59</v>
      </c>
      <c r="E39" s="66" t="inlineStr">
        <is>
          <t>Sedum lineare (Golden Green)</t>
        </is>
      </c>
      <c r="F39" s="76">
        <f>"public/sale_plants/"&amp;A39&amp;".jpg"</f>
        <v/>
      </c>
      <c r="G39" s="77" t="inlineStr">
        <is>
          <t>(2"-3")</t>
        </is>
      </c>
      <c r="H39" s="78" t="inlineStr">
        <is>
          <t>Moderate</t>
        </is>
      </c>
      <c r="I39" s="66" t="inlineStr">
        <is>
          <t>Low</t>
        </is>
      </c>
      <c r="J39" s="66" t="inlineStr">
        <is>
          <t>Medium</t>
        </is>
      </c>
      <c r="K39" s="79" t="n">
        <v>59</v>
      </c>
      <c r="L39" s="80" t="inlineStr">
        <is>
          <t>Sedum</t>
        </is>
      </c>
      <c r="M39" s="80" t="n">
        <v>0</v>
      </c>
      <c r="N39" s="80" t="n">
        <v>1</v>
      </c>
      <c r="O39" s="81" t="n">
        <v>0</v>
      </c>
      <c r="P39" s="80" t="n">
        <v>0</v>
      </c>
      <c r="Q39" s="81">
        <f>IF(Local!I39=TRUE,1,0)</f>
        <v/>
      </c>
      <c r="R39" s="81">
        <f>Local!D39</f>
        <v/>
      </c>
      <c r="S39" s="81">
        <f>Local!F39</f>
        <v/>
      </c>
      <c r="T39" s="81">
        <f>Local!G39</f>
        <v/>
      </c>
      <c r="U39" s="83" t="inlineStr">
        <is>
          <t>## About
Sedum lineare 'Golden Green' is a beautiful spreading succulent with needle-like golden-yellow to lime green leaves arranged in whorls along trailing stems. This low-growing plant produces cheerful yellow star-shaped flowers and makes an excellent ground cover or hanging basket plant. It is perfect for Indian gardens and homes because of its easy-going nature and stunning color.
## Origin
This plant is native to East Asia, particularly China and Japan. It grows naturally on rocky slopes and hillsides where it forms dense mats. The 'Golden Green' variety is a cultivated form selected for its bright golden-yellow foliage that adds a pop of color to any garden.
## Temperature &amp; Humidity
- **Temperature Range:** 15Â°C to 35Â°C (can tolerate brief periods outside this range)
- **Humidity:** Tolerates a wide range from 30% to 70%. This succulent is quite adaptable to Indian climate conditions, from dry summers to monsoon humidity. It does not require high humidity and actually prefers drier conditions.
## Growth
Sedum lineare 'Golden Green' is a fast-growing, mat-forming succulent that spreads quickly. It typically grows 10-15 cm tall and can spread up to 30-45 cm wide. The stems trail and cascade beautifully, making it ideal for hanging baskets, containers, and as ground cover. During active growing seasons (spring and autumn), it grows vigorously and can quickly fill empty spaces. The plant remains evergreen throughout the year in most parts of India.
## Watering
- **Frequency:** Once a week during summer depending on weather conditions; once every 10-14 days during winter depending on other parameters
- **Tips:** Always check if the soil is dry before watering. Let the top 2-3 cm of soil dry out completely between waterings. Reduce watering during monsoon and winter months. Water early morning or evening, never during harsh afternoon sun. This plant is drought-tolerant and prefers to be slightly dry rather than too wet. Overwatering is the biggest killer of this sedum.
## Sunlight
- **Hours per day:** 4 to 6 hours
- **Type:** Bright indirect light to partial direct sunlight. Morning sun with afternoon shade works best in hot Indian climates. The golden color becomes more vibrant with adequate light. Too much harsh direct sun may cause leaf burn, while too little light will make the plant leggy and lose its golden color.
## Care Tips
- Protect from intense afternoon sun during peak summer months (April-June) in most parts of India
- Provide good air circulation to prevent fungal issues during humid monsoon season
- Remove dead or dried stems regularly to keep the plant looking neat and healthy
- Pinch back growing tips occasionally to encourage bushier, fuller growth
- Can tolerate light frost but protect during extreme cold in North India (below 5Â°C)
- Use well-draining pots with drainage holes to prevent water logging
- Perfect for beginners as it is very forgiving and low-maintenance
## Growth Tips
- **Soil:** Use a well-draining succulent or cactus mix. You can make your own by mixing regular potting soil with cocopeat and sand or perlite in equal parts
- **Fertilizer:** Feed once a month during growing season (spring and autumn) with diluted liquid fertilizer (half strength). Avoid fertilizing during winter and peak summer
- **Repotting:** Repot every 2-3 years or when the plant becomes root-bound. Best time is early spring before active growth begins
- **Propagation:** Extremely easy to propagate from stem cuttings. Simply take 5-7 cm cuttings, let them dry for a day, and plant in moist soil. Roots develop within 2-3 weeks
## Common Problems
- **Leggy growth with loss of color:** Not enough sunlight. Move to a brighter location
- **Root rot and mushy stems:** Overwatering or poor drainage. Reduce watering frequency and improve soil drainage
- **Brown, crispy leaf tips:** Too much direct harsh sunlight or underwatering. Provide some shade during hot afternoons
- **Mealybugs and aphids:** Common pests that appear as white cottony masses or tiny insects. Remove with cotton swabs dipped in rubbing alcohol or spray with neem oil solution
- **Fungal issues during monsoon:** High humidity and poor air circulation. Ensure good airflow and avoid overhead watering
- **Slow growth or no growth:** Normal during extreme summer and winter. Plant goes semi-dormant. Resume normal care when weather moderates</t>
        </is>
      </c>
      <c r="V39" s="98">
        <f>HYPERLINK("https://rosaryplanthouse.com/plant/"&amp;A39&amp;"-"&amp;SUBSTITUTE(LOWER(E39), " ", "-"))</f>
        <v/>
      </c>
      <c r="W39" t="inlineStr">
        <is>
          <t>🟢 Sedum lineare (Golden Green) (ID: 38)
🌿 Looking for a vibrant touch to your garden? Meet the stunning **Sedum lineare 'Golden Green'**! 🌞 This charming succulent is a showstopper with its needle-like golden-yellow leaves that cascade beautifully, making it perfect for hanging baskets or as a colorful ground cover. 
✨ **About:** Native to East Asia, this low-growing beauty thrives in various climates, adding a cheerful pop of color to your home. With its drought-tolerant nature and low maintenance needs, it's ideal for both novice and seasoned plant parents alike!
🌱 **Key Details:**
- **Watering:** Low - just once a week in summer and every 10-14 days in winter 🌧️
- **Sunlight:** Prefers 4-6 hours of bright indirect light ☀️
- **Growth:** Fast-growing and evergreen, creating dense mats of lush foliage 🌿
👉 Ready to brighten up your space? **Link in bio** to learn more!
#Sedum #SucculentLove #PlantParent #IndoorPlants #GardenGoals #HangingPlants #PlantLovers #RosaryPlantHouse #GreenThumb #HomeDecor #SucculentCare #PlantAddict</t>
        </is>
      </c>
    </row>
    <row r="40" ht="99.5" customHeight="1">
      <c r="A40" s="73" t="n">
        <v>39</v>
      </c>
      <c r="B40" s="74" t="inlineStr">
        <is>
          <t>Radiator</t>
        </is>
      </c>
      <c r="C40" s="74">
        <f>IF(Local!H40,"1","0")</f>
        <v/>
      </c>
      <c r="D40" s="75" t="n">
        <v>59</v>
      </c>
      <c r="E40" s="66" t="inlineStr">
        <is>
          <t>Peperomia obtusifolia</t>
        </is>
      </c>
      <c r="F40" s="76">
        <f>"public/sale_plants/"&amp;A40&amp;".jpg"</f>
        <v/>
      </c>
      <c r="G40" s="77" t="inlineStr">
        <is>
          <t>(2"-3")</t>
        </is>
      </c>
      <c r="H40" s="78" t="inlineStr">
        <is>
          <t>Moderate</t>
        </is>
      </c>
      <c r="I40" s="66" t="inlineStr">
        <is>
          <t>Low</t>
        </is>
      </c>
      <c r="J40" s="66" t="inlineStr">
        <is>
          <t>Medium</t>
        </is>
      </c>
      <c r="K40" s="79" t="n">
        <v>59</v>
      </c>
      <c r="L40" s="80" t="inlineStr">
        <is>
          <t>Succulent</t>
        </is>
      </c>
      <c r="M40" s="80" t="n">
        <v>0</v>
      </c>
      <c r="N40" s="80" t="n">
        <v>0</v>
      </c>
      <c r="O40" s="81" t="n">
        <v>0</v>
      </c>
      <c r="P40" s="81" t="n">
        <v>0</v>
      </c>
      <c r="Q40" s="81">
        <f>IF(Local!I40=TRUE,1,0)</f>
        <v/>
      </c>
      <c r="R40" s="81">
        <f>Local!D40</f>
        <v/>
      </c>
      <c r="S40" s="81">
        <f>Local!F40</f>
        <v/>
      </c>
      <c r="T40" s="81">
        <f>Local!G40</f>
        <v/>
      </c>
      <c r="U40" s="83" t="inlineStr">
        <is>
          <t>## About
The Radiator Plant is a popular small succulent-like houseplant with thick, glossy green leaves. It is called "Radiator Plant" because it thrives in warm conditions similar to those near a radiator. This plant is perfect for beginners and ideal for Indian homes.
## Origin
The Radiator Plant originates from the tropical regions of Central America, South America, and the Caribbean. It grows naturally in warm, humid forest floors under the shade of larger trees, which makes it well-adapted to indoor conditions.
## Temperature &amp; Humidity
- **Temperature Range:** 18Â°C to 30Â°C
- **Humidity:** The plant prefers moderate to high humidity levels between 40% to 60%. It adapts well to normal Indian household humidity but appreciates occasional misting during dry seasons.
## Growth
The Radiator Plant is a compact, slow-growing plant that typically reaches 15 to 30 cm in height and spreads about 20 to 25 cm wide. It grows in a bushy, upright manner with thick stems and fleshy leaves. The plant stays small and neat, making it perfect for desks, shelves, and small spaces. Growth is slow and steady throughout the year in Indian climates.
## Watering
- **Frequency:** Once every 10-14 days depending on season and weather conditions. In summer, you may need to water once a week depending on other parameters, while in monsoon and winter, reduce frequency to once every two weeks.
- **Tips:** Always check the top 2-3 cm of soil before watering. Water only when the soil feels dry to touch. Overwatering is the biggest enemy of this plant. Use well-draining soil and ensure the pot has drainage holes. The thick leaves store water, so the plant can tolerate some neglect.
## Sunlight
- **Hours per day:** 3 to 5 hours
- **Type:** Bright indirect light or filtered sunlight. Avoid direct harsh afternoon sun which can scorch the leaves. It can also tolerate low light conditions but growth may slow down.
## Care Tips
- Keep the plant away from direct midday sun, especially during Indian summers (April to June)
- Wipe the glossy leaves gently with a damp cloth once a month to remove dust and keep them shiny
- Avoid placing near air conditioner vents or fans that cause sudden temperature changes
- During monsoon season, reduce watering significantly as humidity is naturally high
- The plant is pet-friendly and non-toxic, making it safe for homes with cats and dogs
- Rotate the pot every few weeks to ensure even growth on all sides
## Growth Tips
- Use a well-draining potting mix made of equal parts garden soil, cocopeat, and perlite or sand
- Repot only when the plant becomes root-bound, typically every 2 to 3 years
- Use a pot only slightly larger than the current one, as this plant prefers being slightly root-bound
- Feed with a balanced liquid fertilizer diluted to half strength once every 2 months during the growing season (spring and summer)
- Pruning is rarely needed, but you can pinch off leggy stems to encourage bushier growth
- Propagation is easy through stem cuttings placed in water or soil
## Common Problems
- **Yellow leaves:** Usually caused by overwatering. Allow soil to dry out between waterings and check drainage
- **Drooping or soft leaves:** Sign of root rot due to waterlogged soil. Reduce watering immediately
- **Brown leaf tips:** Often due to low humidity or inconsistent watering. Mist the plant occasionally
- **Slow or no growth:** Can happen due to insufficient light or lack of nutrients. Move to a brighter spot and fertilize lightly
- **Pests:** Generally pest-resistant, but occasionally mealybugs or spider mites may appear. Wipe them off with neem oil solution
- **Leaf drop:** Sudden temperature changes or cold drafts can cause leaves to fall. Keep the plant in a stable, warm location</t>
        </is>
      </c>
      <c r="V40" s="98">
        <f>HYPERLINK("https://rosaryplanthouse.com/plant/"&amp;A40&amp;"-"&amp;SUBSTITUTE(LOWER(E40), " ", "-"))</f>
        <v/>
      </c>
      <c r="W40" t="inlineStr">
        <is>
          <t>🟢 Peperomia obtusifolia (ID: 39)
🌱 Meet the charming Radiator Plant! This delightful little succulent is the perfect addition to your indoor oasis. With thick, glossy green leaves, it thrives in warm conditions and is ideal for both novice and experienced plant parents alike! 
✨ **About:** The Radiator Plant, hailing from the lush tropical forests of Central America and the Caribbean, is a slow-growing beauty that fits perfectly in small spaces. 
🌿 **Key Details:**
- **Watering:** Low; water every 10-14 days
- **Sunlight:** Prefers bright indirect light for 3-5 hours 
- **Humidity:** Enjoys moderate to high humidity (40%-60%)
- **Pet-Friendly:** Safe for your furry friends!
💚 Ready to bring home this easy-care companion? Check out the full details and grab yours today! Link in bio.
#RadiatorPlant #Peperomia #IndoorPlants #Succulents #PlantLovers #HomeDecor #PlantParent #GreenThumb #Houseplants #RosaryPlantHouse #PlantCare #IndoorGardening #SucculentLove</t>
        </is>
      </c>
    </row>
    <row r="41" ht="99.5" customHeight="1">
      <c r="A41" s="73" t="n">
        <v>40</v>
      </c>
      <c r="B41" s="74" t="inlineStr">
        <is>
          <t>Brown Aloe</t>
        </is>
      </c>
      <c r="C41" s="74" t="n">
        <v>0</v>
      </c>
      <c r="D41" s="75" t="n">
        <v>69</v>
      </c>
      <c r="E41" s="66" t="inlineStr">
        <is>
          <t>Aloe brevifolia</t>
        </is>
      </c>
      <c r="F41" s="76">
        <f>"public/sale_plants/"&amp;A41&amp;".jpg"</f>
        <v/>
      </c>
      <c r="G41" s="77" t="inlineStr">
        <is>
          <t>(2"-3")</t>
        </is>
      </c>
      <c r="H41" s="78" t="inlineStr">
        <is>
          <t>Low</t>
        </is>
      </c>
      <c r="I41" s="66" t="inlineStr">
        <is>
          <t>Low</t>
        </is>
      </c>
      <c r="J41" s="66" t="inlineStr">
        <is>
          <t>High</t>
        </is>
      </c>
      <c r="K41" s="79" t="n">
        <v>59</v>
      </c>
      <c r="L41" s="80" t="inlineStr">
        <is>
          <t>Aloe</t>
        </is>
      </c>
      <c r="M41" s="80" t="n">
        <v>0</v>
      </c>
      <c r="N41" s="80" t="n">
        <v>0</v>
      </c>
      <c r="O41" s="81" t="n">
        <v>0</v>
      </c>
      <c r="P41" s="80" t="n">
        <v>0</v>
      </c>
      <c r="Q41" s="81" t="n">
        <v>1</v>
      </c>
      <c r="R41" s="81">
        <f>Local!D41</f>
        <v/>
      </c>
      <c r="S41" s="81" t="inlineStr">
        <is>
          <t>NA</t>
        </is>
      </c>
      <c r="T41" s="81" t="inlineStr">
        <is>
          <t>Low</t>
        </is>
      </c>
      <c r="U41" s="83" t="inlineStr">
        <is>
          <t>## About
Short-leaved Aloe is a compact, attractive succulent with thick, fleshy leaves that form tight rosettes. This hardy plant originates from South Africa and is popular among gardeners for its low maintenance needs and beautiful appearance.
## Origin
This plant is native to South Africa, particularly the Eastern Cape region. It grows naturally in rocky areas and hillsides where it receives plenty of sunlight and has excellent drainage. The plant has adapted to survive in dry conditions with minimal water.
## Temperature &amp; Humidity
- **Temperature Range:** 15Â°C to 35Â°C
- **Humidity:** Low to moderate humidity (30% to 50%). This plant prefers dry conditions and can tolerate the hot, dry summers found in most parts of India. It may need protection from extreme cold below 10Â°C.
## Growth
Short-leaved Aloe is a compact succulent that typically grows 10-15 cm tall and spreads about 20-30 cm wide. It grows slowly to moderately and forms clumping rosettes over time. The plant produces offsets (pups) around the base, creating attractive clusters. The thick, triangular leaves are pale green to blue-green with small white teeth along the edges.
## Watering
- **Frequency:** Once every two weeks during growing season (spring and summer), and once a month or less during winter, depending on weather conditions and soil moisture.
- **Tips:** Always check if the soil is completely dry before watering again. Water thoroughly but ensure excess water drains out completely. Reduce watering during monsoon season and winter months. Overwatering is the most common cause of problems with this plant, so when in doubt, wait a few more days before watering.
## Sunlight
- **Hours per day:** 4 to 6 hours
- **Type:** Direct sunlight is ideal, but the plant can also adapt to bright indirect light. Morning sun with afternoon shade works well in very hot Indian climates. The plant may turn reddish or bronze in intense direct sunlight, which is normal.
## Care Tips
- Place in a location with good air circulation to prevent fungal issues during humid monsoon months
- Use a pot with drainage holes to prevent water logging
- Keep the plant in direct morning sun and provide afternoon shade during peak summer (April-June) in very hot regions
- Wipe dust off leaves occasionally to help the plant photosynthesize better
- Protect from heavy rain during monsoons as too much water can cause root rot
- This plant is perfect for beginners as it tolerates neglect well
- Can be grown both indoors near a sunny window or outdoors in the garden
## Growth Tips
- Use well-draining cactus or succulent soil mix, or make your own by mixing regular potting soil with coarse sand and perlite in equal parts
- Add a layer of small stones or gravel at the bottom of the pot for extra drainage
- Feed with diluted liquid succulent fertilizer once every 2-3 months during the growing season (spring and summer)
- Repot every 2-3 years or when the plant outgrows its container, preferably in spring
- Propagate easily by separating the offsets (pups) that grow around the mother plant
- Allow the separated pups to dry for a day before planting them in fresh soil
## Common Problems
- **Yellow or brown leaves:** Usually caused by overwatering or poor drainage. Allow soil to dry completely between waterings.
- **Soft, mushy leaves:** Sign of root rot due to too much water. Reduce watering immediately and check if roots are healthy.
- **Brown tips or dried leaf ends:** Can be caused by underwatering or low humidity. Increase watering slightly during hot summer months.
- **Stretched or leggy growth:** Not getting enough light. Move the plant to a brighter location with more direct sunlight.
- **Pests:** Watch for mealybugs (white cottony insects) and scale insects. Remove with cotton swabs dipped in rubbing alcohol or neem oil solution.
- **Red or bronze coloring:** This is usually not a problem but a natural response to intense sunlight. The plant is healthy, just adapting to bright light conditions.</t>
        </is>
      </c>
      <c r="V41" s="98">
        <f>HYPERLINK("https://rosaryplanthouse.com/plant/"&amp;A41&amp;"-"&amp;SUBSTITUTE(LOWER(E41), " ", "-"))</f>
        <v/>
      </c>
      <c r="W41" t="inlineStr">
        <is>
          <t>🟢 Aloe Brevifolia (ID: 40)  
🌿 Looking for a stunning, low-maintenance succulent? Meet the Brown Aloe! This compact beauty is perfect for both beginners and seasoned plant lovers alike.  
💚 The Brown Aloe, with its thick, fleshy leaves forming charming rosettes, is native to the rocky hillsides of South Africa. It thrives in bright sunlight and requires minimal watering, making it an excellent addition to any indoor or outdoor space!  
✨ **Key Details:**  
- **Watering:** Low; every 2 weeks in spring/summer  
- **Sunlight:** 4-6 hours of direct or bright indirect light  
- **Care:** Prefers good air circulation and well-draining soil  
🌱 Don’t miss out on adding this unique succulent to your collection! Keep an eye out for when it’s restocked! Link in bio  
#AloeBrevifolia #BrownAloe #SucculentLove #PlantCare #IndoorPlants #GardenGoals #PlantMom #PlantDad #SucculentCollection #RosaryPlantHouse #GreenThumb #HousePlants #PlantLovers #SucculentAddict #NatureLovers</t>
        </is>
      </c>
    </row>
    <row r="42" ht="99.5" customHeight="1">
      <c r="A42" s="73" t="n">
        <v>41</v>
      </c>
      <c r="B42" s="74" t="inlineStr">
        <is>
          <t>Cabbage succulent</t>
        </is>
      </c>
      <c r="C42" s="74" t="n">
        <v>0</v>
      </c>
      <c r="D42" s="85" t="n">
        <v>69</v>
      </c>
      <c r="E42" s="66" t="inlineStr">
        <is>
          <t>Senecio cephalophorus</t>
        </is>
      </c>
      <c r="F42" s="76">
        <f>"public/sale_plants/"&amp;A42&amp;".jpg"</f>
        <v/>
      </c>
      <c r="G42" s="77" t="inlineStr">
        <is>
          <t>(2"-3")</t>
        </is>
      </c>
      <c r="H42" s="78" t="inlineStr">
        <is>
          <t>Low</t>
        </is>
      </c>
      <c r="I42" s="66" t="inlineStr">
        <is>
          <t>Low</t>
        </is>
      </c>
      <c r="J42" s="66" t="inlineStr">
        <is>
          <t>High</t>
        </is>
      </c>
      <c r="K42" s="79" t="n">
        <v>99</v>
      </c>
      <c r="L42" s="80" t="inlineStr">
        <is>
          <t>Succulent</t>
        </is>
      </c>
      <c r="M42" s="80" t="n">
        <v>0</v>
      </c>
      <c r="N42" s="80" t="n">
        <v>0</v>
      </c>
      <c r="O42" s="81" t="n">
        <v>0</v>
      </c>
      <c r="P42" s="80" t="n">
        <v>0</v>
      </c>
      <c r="Q42" s="81">
        <f>IF(Local!G41=TRUE,1,0)</f>
        <v/>
      </c>
      <c r="R42" s="81">
        <f>Local!F43</f>
        <v/>
      </c>
      <c r="S42" s="81" t="inlineStr">
        <is>
          <t>NA</t>
        </is>
      </c>
      <c r="T42" s="81" t="inlineStr">
        <is>
          <t>Low</t>
        </is>
      </c>
      <c r="U42" s="83" t="inlineStr">
        <is>
          <t>## About
The Rosary Plant is a beautiful succulent with thick, fleshy blue-green leaves arranged in a rosette pattern. This plant is known for its powdery coating on the leaves that gives it a frosted appearance. It is a slow-growing, compact succulent that is perfect for beginners and experienced plant lovers alike.
## Origin
Senecio cephalophorus is native to South Africa, where it grows in rocky, dry areas with minimal rainfall. It is adapted to survive in harsh, arid conditions with plenty of sunlight and well-draining soil.
## Temperature &amp; Humidity
- **Temperature Range:** 15Â°C to 35Â°C
- **Humidity:** Prefers low to moderate humidity levels (30% to 50%). This succulent does well in typical Indian indoor and outdoor conditions and can tolerate the dry air found in most homes.
## Growth
The Rosary Plant is a compact succulent that grows slowly and typically reaches a height of 10 to 15 cm and a spread of about 15 to 20 cm. It forms a tight rosette of thick leaves and maintains a neat, symmetrical shape. Over time, it may produce offsets (baby plants) at the base, which can be separated for propagation.
## Watering
- **Frequency:** Once every two weeks depending on weather conditions and season. In summer, you may need to water slightly more often, while in winter (dormant period), water once every three weeks.
- **Tips:** Always allow the soil to dry out completely between waterings. Water deeply but infrequently. Avoid getting water on the leaves as this can wash away the natural powdery coating. During monsoon season in India, reduce watering significantly as high humidity and rain can lead to root rot.
## Sunlight
- **Hours per day:** 4 to 6 hours
- **Type:** Direct bright sunlight is ideal. This plant thrives in full sun but can tolerate bright indirect light. In very hot Indian summers (above 40Â°C), provide some afternoon shade to prevent leaf burn.
## Care Tips
- Protect from heavy monsoon rains by moving potted plants under a shelter or indoors
- The powdery coating on the leaves is natural and helps protect the plant from intense sunâ€”avoid touching or wiping the leaves
- Use a well-draining pot with drainage holes to prevent water accumulation
- During Indian summers, ensure good air circulation around the plant to prevent heat stress
- In winter, this plant can tolerate cooler temperatures but protect from frost if temperatures drop below 10Â°C
- Clean accumulated dust gently with a soft brush rather than wiping with water
## Growth Tips
- Use a well-draining succulent or cactus potting mix, or create your own by mixing regular soil with sand and perlite in a 1:1:1 ratio
- Add a layer of gravel or small stones at the bottom of the pot for extra drainage
- Fertilize sparinglyâ€”once every 2-3 months during the growing season (spring and summer) with a diluted succulent fertilizer
- Repot every 2-3 years or when the plant outgrows its container, preferably in spring
- Use terracotta or clay pots which allow better air circulation and moisture evaporation
- Propagate through leaf cuttings or offsetsâ€”allow cuttings to dry for 2-3 days before planting
## Common Problems
- **Leaf rot or mushy leaves:** Caused by overwatering or water sitting on leaves. Always water at the soil level and reduce watering frequency
- **Elongated or stretched growth (etiolation):** Not enough sunlight. Move the plant to a brighter location with more direct sun
- **Brown or crispy leaf tips:** Underwatering or too much direct harsh sunlight. Adjust watering schedule and provide afternoon shade in peak summer
- **Mealybugs or aphids:** Small white cottony pests on leaves. Remove with a cotton swab dipped in rubbing alcohol or use neem oil spray
- **Loss of powdery coating:** Caused by touching leaves or water splashing. This coating is natural protection and will not regenerate on old leaves, but new growth will have it
- **Root rot:** Black, mushy roots caused by poor drainage or overwatering. Repot in fresh, dry soil and trim away affected roots</t>
        </is>
      </c>
      <c r="V42" s="98">
        <f>HYPERLINK("https://rosaryplanthouse.com/plant/"&amp;A42&amp;"-"&amp;SUBSTITUTE(LOWER(E42), " ", "-"))</f>
        <v/>
      </c>
      <c r="W42" t="inlineStr">
        <is>
          <t>🟢 Senecio cephalophorus (ID: 41)  
🌿 Meet the stunning Cabbage Succulent! This unique beauty is not just a feast for the eyes, but a low-maintenance gem for your home. 🌞  
The Rosary Plant boasts thick, fleshy blue-green leaves that form a perfect rosette, adorned with a natural powdery coating that adds a frosted touch. Native to the rocky landscapes of South Africa, it's perfectly adapted to thrive in bright sunlight and minimal care. Ideal for both novice and seasoned plant enthusiasts!  
✨ **Key Details:**  
- **Watering:** Low, only every two weeks  
- **Sunlight:** High, ideally 4-6 hours of direct sun  
- **Humidity:** Prefers low to moderate levels  
🌱 Ready to elevate your plant game? Don’t miss out on this beautiful succulent! **Link in bio**  
#CabbageSucculent #SenecioCephalophorus #RosaryPlantHouse #SucculentLove #PlantParent #HouseplantGoals #IndoorGarden #LowMaintenancePlants #PlantCare #GreenThumb #PlantAddict #SucculentCollection #HomeDecor #NatureLovers #PlantLife #SucculentStyle</t>
        </is>
      </c>
    </row>
    <row r="43" ht="99.5" customHeight="1">
      <c r="A43" s="73" t="n">
        <v>42</v>
      </c>
      <c r="B43" s="74" t="inlineStr">
        <is>
          <t>Zebra Grass</t>
        </is>
      </c>
      <c r="C43" s="74">
        <f>IF(Local!H43,"1","0")</f>
        <v/>
      </c>
      <c r="D43" s="85" t="n">
        <v>69</v>
      </c>
      <c r="E43" s="66" t="inlineStr">
        <is>
          <t>Chlorophytum laxum 'Zebra Grass'</t>
        </is>
      </c>
      <c r="F43" s="76">
        <f>"public/sale_plants/"&amp;A43&amp;".jpg"</f>
        <v/>
      </c>
      <c r="G43" s="77" t="inlineStr">
        <is>
          <t>(2"-3")</t>
        </is>
      </c>
      <c r="H43" s="78" t="inlineStr">
        <is>
          <t>Moderate</t>
        </is>
      </c>
      <c r="I43" s="66" t="inlineStr">
        <is>
          <t>Medium</t>
        </is>
      </c>
      <c r="J43" s="66" t="inlineStr">
        <is>
          <t>Medium</t>
        </is>
      </c>
      <c r="K43" s="79" t="n">
        <v>69</v>
      </c>
      <c r="L43" s="80" t="inlineStr">
        <is>
          <t>Others</t>
        </is>
      </c>
      <c r="M43" s="80" t="n">
        <v>0</v>
      </c>
      <c r="N43" s="80" t="n">
        <v>0</v>
      </c>
      <c r="O43" s="81" t="n">
        <v>0</v>
      </c>
      <c r="P43" s="81" t="n">
        <v>0</v>
      </c>
      <c r="Q43" s="81">
        <f>IF(Local!I43=TRUE,1,0)</f>
        <v/>
      </c>
      <c r="R43" s="81">
        <f>Local!F44</f>
        <v/>
      </c>
      <c r="S43" s="81" t="inlineStr">
        <is>
          <t>NA</t>
        </is>
      </c>
      <c r="T43" s="81" t="inlineStr">
        <is>
          <t>Low</t>
        </is>
      </c>
      <c r="U43" s="83" t="inlineStr">
        <is>
          <t>## About
Zebra Grass is a beautiful ornamental plant with striking green and white striped leaves that grow in a fountain-like pattern. This variety of spider plant is known for its attractive foliage and easy-going nature, making it perfect for both beginners and experienced plant lovers in India.
## Origin
Chlorophytum laxum originates from tropical regions of Africa and Asia. It naturally grows in forests and woodland areas where it receives filtered light through tree canopies. The plant has adapted well to Indian climatic conditions and is now widely grown as a popular houseplant across the country.
## Temperature &amp; Humidity
- **Temperature Range:** 15Â°C to 35Â°C
- **Humidity:** This plant prefers moderate to high humidity levels between 40% to 70%. It adapts well to Indian humidity levels, especially during monsoon season. In drier months, occasional misting helps keep the leaves fresh and vibrant.
## Growth
Zebra Grass grows in a clumping pattern, forming dense rosettes of long, narrow leaves. The plant typically reaches 20 to 40 cm in height and can spread about 25 to 35 cm wide. It is a moderate grower and fills out nicely within a few months. The arching leaves create an elegant cascading effect, making it ideal for tabletops, shelves, or hanging baskets. Mature plants may produce long stems with small white flowers and baby plantlets.
## Watering
- **Frequency:** Water once or twice a week depending on season, temperature, and humidity levels.
- **Tips:** Keep the soil evenly moist but never waterlogged. During Indian summers, you may need to water more frequently, while in winter and monsoon, reduce watering. Always check the top 2-3 cm of soil - if it feels dry, it's time to water. Use room temperature water and ensure good drainage to prevent root rot. The leaves may develop brown tips if the water quality is poor or contains too much fluoride or chlorine, so filtered or rainwater works best.
## Sunlight
- **Hours per day:** 3 to 5 hours
- **Type:** Bright indirect light or filtered sunlight. Avoid harsh direct afternoon sun which can scorch the delicate striped leaves. Morning sun for 1-2 hours is beneficial. The plant tolerates low light but may lose some of its variegation and grow more slowly.
## Care Tips
- Place near east or north-facing windows for best light in Indian homes
- Protect from hot afternoon sun during peak summer months (March to June)
- Increase watering during hot, dry periods typical of Indian summers
- Mist the leaves occasionally during winter when indoor air becomes dry
- Wipe leaves gently with a damp cloth to remove dust and keep them shiny
- Reduce watering during monsoon season when humidity is naturally high
- Trim brown leaf tips with clean scissors to maintain appearance
- Remove dead or yellowing leaves regularly to encourage new growth
## Growth Tips
- Use well-draining potting mix with equal parts garden soil, cocopeat, and perlite or sand
- Add a handful of vermicompost or organic compost for nutrients
- Feed with balanced liquid fertilizer (NPK 10:10:10) once a month during growing season (spring and summer)
- Reduce fertilizing during monsoon and winter months
- Repot every 12 to 18 months or when roots start coming out of drainage holes
- Choose a pot only one size larger when repotting - Zebra Grass prefers being slightly root-bound
- The plantlets (babies) that appear on runners can be propagated easily by planting them in fresh soil
- Spring (February to April) is the best time for repotting and propagation in India
## Common Problems
- **Brown leaf tips:** Caused by fluoride or chlorine in tap water, low humidity, or inconsistent watering. Use filtered water and mist regularly.
- **Yellow leaves:** Usually from overwatering or poor drainage. Let soil dry slightly between waterings and ensure pot has drainage holes.
- **Pale or loss of stripes:** Insufficient light. Move to a brighter location with indirect light.
- **Drooping leaves:** Either too much water causing root rot or too little water. Check soil moisture and adjust accordingly.
- **Spider mites:** Small pests that create fine webs. Wipe leaves regularly and spray with neem oil solution if infestation occurs.
- **Mealybugs:** White cottony pests on leaves. Remove with cotton swab dipped in rubbing alcohol or neem oil.
- **Root rot:** Caused by overwatering and poor drainage. Reduce watering frequency and ensure pot has adequate drainage holes.
- **Slow growth:** Usually due to lack of nutrients or insufficient light. Feed regularly during growing season and move to brighter spot.</t>
        </is>
      </c>
      <c r="V43" s="98">
        <f>HYPERLINK("https://rosaryplanthouse.com/plant/"&amp;A43&amp;"-"&amp;SUBSTITUTE(LOWER(E43), " ", "-"))</f>
        <v/>
      </c>
      <c r="W43" t="inlineStr">
        <is>
          <t>🟢 Chlorophytum Laxum 'Zebra Grass' (ID: 42)
🌿 Elevate your space with the stunning Zebra Grass! This ornamental delight features striking green and white striped leaves that cascade beautifully, creating an eye-catching focal point in any room. Perfect for both plant novices and seasoned enthusiasts, this beauty is a must-have for your collection!
✨ **About**: Originating from the tropical regions of Africa and Asia, Zebra Grass thrives in filtered light and adapts wonderfully to the Indian climate. Its fountain-like growth pattern and moderate care requirements make it an easy addition to your indoor jungle.
🌱 **Key Details**:
- 🏡 **Light**: Bright indirect light, 3-5 hours a day
- 💧 **Watering**: Moderate; once or twice a week
- 🌡️ **Temperature**: Thrives between 15°C to 35°C
- 🌫️ **Humidity**: Prefers moderate to high humidity (40%-70%)
💚 Ready to add a touch of elegance to your home? 🌍🌿 **Link in bio** for more details!
#ZebraGrass #PlantLovers #IndoorPlants #HomeDecor #PlantParent #GreenThumb #Houseplants #TropicalPlants #RosaryPlantHouse #PlantCare #NatureLovers #EcoFriendly #HouseplantClub #BotanicalBeauty #OrnamentalPlants</t>
        </is>
      </c>
    </row>
    <row r="44" ht="99.5" customHeight="1">
      <c r="A44" s="73" t="n">
        <v>43</v>
      </c>
      <c r="B44" s="74" t="inlineStr">
        <is>
          <t>Fairy Castle</t>
        </is>
      </c>
      <c r="C44" s="74">
        <f>IF(Local!H44,"1","0")</f>
        <v/>
      </c>
      <c r="D44" s="85" t="n">
        <v>69</v>
      </c>
      <c r="E44" s="66" t="inlineStr">
        <is>
          <t>Euphorbia enopla</t>
        </is>
      </c>
      <c r="F44" s="76">
        <f>"public/sale_plants/"&amp;A44&amp;".jpg"</f>
        <v/>
      </c>
      <c r="G44" s="77" t="inlineStr">
        <is>
          <t>(2"-3")</t>
        </is>
      </c>
      <c r="H44" s="78" t="inlineStr">
        <is>
          <t>Low</t>
        </is>
      </c>
      <c r="I44" s="66" t="inlineStr">
        <is>
          <t>Low</t>
        </is>
      </c>
      <c r="J44" s="66" t="inlineStr">
        <is>
          <t>High</t>
        </is>
      </c>
      <c r="K44" s="79" t="n">
        <v>59</v>
      </c>
      <c r="L44" s="80" t="inlineStr">
        <is>
          <t>Cactus</t>
        </is>
      </c>
      <c r="M44" s="80" t="n">
        <v>0</v>
      </c>
      <c r="N44" s="80" t="n">
        <v>0</v>
      </c>
      <c r="O44" s="81" t="n">
        <v>0</v>
      </c>
      <c r="P44" s="80" t="n">
        <v>0</v>
      </c>
      <c r="Q44" s="81">
        <f>IF(Local!I44=TRUE,1,0)</f>
        <v/>
      </c>
      <c r="R44" s="81">
        <f>Local!D44</f>
        <v/>
      </c>
      <c r="S44" s="81" t="inlineStr">
        <is>
          <t>NA</t>
        </is>
      </c>
      <c r="T44" s="81" t="inlineStr">
        <is>
          <t>Low</t>
        </is>
      </c>
      <c r="U44" s="83" t="inlineStr">
        <is>
          <t>## About
The Pincushion Euphorbia is a striking succulent plant that looks very similar to a cactus with its spiny stems, though it actually belongs to the Euphorbia family. This drought-tolerant plant is popular among gardeners in India for its unique appearance and low maintenance needs.
## Origin
Native to South Africa, particularly the Cape Province region. It grows naturally in dry, rocky areas where it has adapted to survive with minimal water and intense sunlight.
## Temperature &amp; Humidity
- **Temperature Range:** 15Â°C to 40Â°C
- **Humidity:** Low to moderate humidity (30% to 50%). This plant tolerates dry conditions very well and can handle the hot, dry summers common in many parts of India.
## Growth
This plant grows as an upright succulent that can reach 30 to 90 cm in height. It produces multiple cylindrical stems that branch from the base, creating a bushy appearance over time. The stems are covered with prominent spines that can be reddish-brown or white. Growth is relatively slow to moderate, making it perfect for containers. The plant spreads gradually by producing new stems from the base.
## Watering
- **Frequency:** Once every 10-15 days during summer depending on other parameters, and once every 3-4 weeks during monsoon and winter depending on other parameters.
- **Tips:** Always allow the soil to dry out completely between waterings. Water less during the rainy season and winter months. Overwatering is the biggest threat to this plant. During Indian monsoons, protect from excessive rain if kept outdoors. Water at the base and avoid getting water on the stems.
## Sunlight
- **Hours per day:** 4 to 6 hours
- **Type:** Direct sunlight is ideal. Can tolerate bright indirect light but grows best with direct morning or evening sun. Afternoon sun during peak summer (April-June) may be too intense and can cause sunburn.
## Care Tips
- Wear gloves when handling as the plant produces a milky white sap (latex) that is toxic and can irritate skin and eyes
- Keep away from children and pets as the sap is poisonous if ingested
- Wipe spines gently with a soft brush to remove dust
- During extreme Indian summer heat (above 42Â°C), provide some afternoon shade
- This plant is perfect for xeriscaping and water-wise gardens in India
- Can be grown outdoors year-round in most Indian climates except in areas with heavy frost
## Growth Tips
- Use well-draining cactus or succulent potting mix, or make your own by mixing regular soil with 50% coarse sand and perlite
- Add a layer of gravel or small stones at the bottom of the pot for extra drainage
- Feed with a diluted liquid fertilizer (half strength) once during spring and once during early summer
- Repot every 2-3 years in spring when the plant outgrows its container
- Use terracotta or clay pots which allow better air circulation and drainage
- Propagate easily from stem cuttings - let the cut end dry for several days before planting
## Common Problems
- **Stem rot:** Caused by overwatering or poorly draining soil. Stems turn soft and mushy
- **Yellow stems:** Result of too much water or not enough sunlight
- **Mealybugs:** White cottony pests that hide between spines. Remove with cotton swabs dipped in rubbing alcohol
- **Scale insects:** Small brown bumps on stems that suck plant sap
- **Stretched growth (etiolation):** Happens when the plant doesn't get enough sunlight, stems become thin and pale
- **Sunburn:** Brown or white patches on stems from sudden exposure to intense afternoon sun
- **Slow growth:** Usually due to lack of nutrients or need for repotting</t>
        </is>
      </c>
      <c r="V44" s="98">
        <f>HYPERLINK("https://rosaryplanthouse.com/plant/"&amp;A44&amp;"-"&amp;SUBSTITUTE(LOWER(E44), " ", "-"))</f>
        <v/>
      </c>
      <c r="W44" t="inlineStr">
        <is>
          <t>🟢 Euphorbia enopla (ID: 43)  
🌵 Dive into the enchanting world of the **Fairy Castle**! This captivating succulent is not just a feast for the eyes, but also a low-maintenance green buddy that thrives in sunny spots!  
✨ **About**: The Pincushion Euphorbia boasts spiny stems reminiscent of a cactus but belongs to the Euphorbia family. Native to South Africa, it adapts wonderfully to dry, rocky terrains and is a favorite among gardeners for its unique look and minimal care requirements.  
🌞 **Key Details**:  
- **Sunlight**: Loves 4-6 hours of direct sunlight!  
- **Watering**: Just once every 10-15 days in summer!  
- **Care Tips**: Handle with gloves; the milky sap is toxic.  
🌱 Ready to add this stunning plant to your collection? Don’t miss out! 👉 Link in bio  
#FairyCastle #EuphorbiaEnopla #SucculentLove #PlantParent #CactusClub #IndoorPlants #LowMaintenance #GardeningJoy #RosaryPlantHouse #GreenThumb #PlantLovers #SucculentGarden #HomeDecor</t>
        </is>
      </c>
    </row>
    <row r="45" ht="99.5" customHeight="1">
      <c r="A45" s="73" t="n">
        <v>44</v>
      </c>
      <c r="B45" s="74" t="inlineStr">
        <is>
          <t>Curve Echeveria</t>
        </is>
      </c>
      <c r="C45" s="74">
        <f>IF(Local!H45,"1","0")</f>
        <v/>
      </c>
      <c r="D45" s="75" t="n">
        <v>59</v>
      </c>
      <c r="E45" s="66" t="inlineStr">
        <is>
          <t>Echeveria runyonii</t>
        </is>
      </c>
      <c r="F45" s="76">
        <f>"public/sale_plants/"&amp;A45&amp;".jpg"</f>
        <v/>
      </c>
      <c r="G45" s="77" t="inlineStr">
        <is>
          <t>(2"-3")</t>
        </is>
      </c>
      <c r="H45" s="78" t="inlineStr">
        <is>
          <t>Low</t>
        </is>
      </c>
      <c r="I45" s="66" t="inlineStr">
        <is>
          <t>Low</t>
        </is>
      </c>
      <c r="J45" s="66" t="inlineStr">
        <is>
          <t>High</t>
        </is>
      </c>
      <c r="K45" s="79" t="n">
        <v>69</v>
      </c>
      <c r="L45" s="80" t="inlineStr">
        <is>
          <t>Echeveria</t>
        </is>
      </c>
      <c r="M45" s="80" t="n">
        <v>0</v>
      </c>
      <c r="N45" s="80" t="n">
        <v>0</v>
      </c>
      <c r="O45" s="81" t="n">
        <v>0</v>
      </c>
      <c r="P45" s="80" t="n">
        <v>0</v>
      </c>
      <c r="Q45" s="81">
        <f>IF(Local!I45=TRUE,1,0)</f>
        <v/>
      </c>
      <c r="R45" s="81">
        <f>Local!D45</f>
        <v/>
      </c>
      <c r="S45" s="81">
        <f>Local!F45</f>
        <v/>
      </c>
      <c r="T45" s="81">
        <f>Local!G45</f>
        <v/>
      </c>
      <c r="U45" s="83" t="inlineStr">
        <is>
          <t>## About
Echeveria runyonii, commonly called Topsy Turvy, is a beautiful succulent with unique spoon-shaped leaves that curve upwards and inwards. This eye-catching plant forms a lovely rosette pattern and is perfect for beginners who want to grow succulents in India. The silvery-blue to pale green leaves have a powdery coating that gives them a frosted appearance.
## Origin
This stunning succulent originates from Mexico, where it grows naturally in rocky, dry areas with plenty of sunlight. It belongs to the Crassulaceae family and has adapted well to hot, dry conditions, making it suitable for Indian climates.
## Temperature &amp; Humidity
- **Temperature Range:** 15Â°C to 35Â°C
- **Humidity:** Low to moderate humidity (30% to 50%). This plant does well in dry conditions and does not need high humidity. It can tolerate the hot, dry summers common in most parts of India.
## Growth
Echeveria runyonii grows slowly and stays compact, typically reaching 10 to 15 cm in height and width. The rosette form remains tight and neat. It may produce offsets (baby plants) around the base, which can be separated and grown into new plants. Growth is most active during cooler months (winter and spring in India).
## Watering
- **Frequency:** Once every 10-14 days depending on season and weather conditions. In monsoon or winter, water less often; in hot summer months, you may need to water slightly more frequently.
- **Tips:** Always allow the soil to dry out completely between waterings. Water directly at the soil level, avoiding the leaves and center of the rosette to prevent rot. Reduce watering during the monsoon season. Overwatering is the biggest enemy of this plant.
## Sunlight
- **Hours per day:** 4 to 6 hours
- **Type:** Bright direct sunlight is ideal. Morning sunlight is best in very hot regions. In cooler parts of India, it can tolerate full sun throughout the day. If kept indoors, place near a south or east-facing window where it gets maximum light.
## Care Tips
- Protect from heavy monsoon rainsâ€”move potted plants under a roof or shelter to avoid waterlogging.
- The powdery coating on the leaves (farina) can be wiped off by touch, so handle gently.
- If leaves start stretching or the rosette opens up, it means the plant needs more light.
- Use a well-draining pot with drainage holes to prevent water from sitting at the roots.
- In extremely hot summer months (above 40Â°C), provide some afternoon shade to prevent leaf burn.
## Growth Tips
- **Soil:** Use a cactus or succulent potting mix. You can also make your own by mixing regular potting soil with coarse sand and perlite in a 1:1:1 ratio for excellent drainage.
- **Fertilizer:** Feed once a month during the growing season (October to March) with a diluted liquid succulent fertilizer. Do not fertilize in summer or monsoon.
- **Repotting:** Repot every 2 to 3 years or when the plant outgrows its pot. Spring (February-March) is the best time for repotting.
## Common Problems
- **Soft, mushy leaves:** Caused by overwatering or poor drainage. Let the soil dry out and reduce watering frequency.
- **Leaf drop:** Usually due to overwatering, especially in humid or rainy weather.
- **Stretching (etiolation):** Happens when the plant doesn't get enough sunlight. Move to a brighter location.
- **Brown, crispy leaf tips:** Caused by too much direct harsh sunlight or underwatering. Provide some shade during peak afternoon hours.
- **Mealybugs and aphids:** Check regularly for white cottony bugs on leaves or in the rosette center. Remove with a cotton swab dipped in rubbing alcohol.
- **Root rot:** Caused by waterlogged soil or lack of drainage. Always use pots with holes and avoid overwatering.</t>
        </is>
      </c>
      <c r="V45" s="98">
        <f>HYPERLINK("https://rosaryplanthouse.com/plant/"&amp;A45&amp;"-"&amp;SUBSTITUTE(LOWER(E45), " ", "-"))</f>
        <v/>
      </c>
      <c r="W45" t="inlineStr">
        <is>
          <t>🟢 Echeveria runyonii (ID: 44)  
🌿 Meet the stunning Curve Echeveria! 🌿
Transform your space with this captivating succulent, known for its unique spoon-shaped leaves that curve elegantly upwards. Perfect for both beginners and seasoned plant lovers, the Echeveria runyonii showcases a beautiful rosette pattern that will leave everyone in awe! ✨
**Key Details:**  
- 🌞 **Sunlight:** Thrives in bright direct sunlight for 4-6 hours daily.  
- 💧 **Watering:** Low maintenance; water every 10-14 days, allowing soil to dry out completely.  
- 🌍 **Origin:** Native to the sun-soaked landscapes of Mexico, this beauty is well-suited for Indian climates!  
Ready to elevate your plant game? Check out more about the Curve Echeveria at the 'Link in bio'!  
#Echeveria #SucculentLove #PlantParent #IndoorPlants #SucculentCare #GreenThumb #RosaryPlantHouse #PlantGoals #HomeDecor #PlantAddict #NatureLovers #PlantLife #SucculentCollection 🌱💚</t>
        </is>
      </c>
    </row>
    <row r="46" ht="99.5" customHeight="1">
      <c r="A46" s="73" t="n">
        <v>45</v>
      </c>
      <c r="B46" s="74" t="inlineStr">
        <is>
          <t>Kalanchoe</t>
        </is>
      </c>
      <c r="C46" s="74">
        <f>IF(Local!H46,"1","0")</f>
        <v/>
      </c>
      <c r="D46" s="75" t="n">
        <v>59</v>
      </c>
      <c r="E46" s="66" t="inlineStr">
        <is>
          <t>Kalanchoe blossfeldiana</t>
        </is>
      </c>
      <c r="F46" s="76">
        <f>"public/sale_plants/"&amp;A46&amp;".jpg"</f>
        <v/>
      </c>
      <c r="G46" s="77" t="inlineStr">
        <is>
          <t>(2"-3")</t>
        </is>
      </c>
      <c r="H46" s="78" t="inlineStr">
        <is>
          <t>Moderate</t>
        </is>
      </c>
      <c r="I46" s="66" t="inlineStr">
        <is>
          <t>Low</t>
        </is>
      </c>
      <c r="J46" s="66" t="inlineStr">
        <is>
          <t>Medium</t>
        </is>
      </c>
      <c r="K46" s="79" t="n">
        <v>79</v>
      </c>
      <c r="L46" s="80" t="inlineStr">
        <is>
          <t>Succulent</t>
        </is>
      </c>
      <c r="M46" s="80" t="n">
        <v>0</v>
      </c>
      <c r="N46" s="80" t="n">
        <v>0</v>
      </c>
      <c r="O46" s="81" t="n">
        <v>0</v>
      </c>
      <c r="P46" s="81" t="n">
        <v>0</v>
      </c>
      <c r="Q46" s="81">
        <f>IF(Local!I46=TRUE,1,0)</f>
        <v/>
      </c>
      <c r="R46" s="81">
        <f>Local!D46</f>
        <v/>
      </c>
      <c r="S46" s="81">
        <f>Local!F46</f>
        <v/>
      </c>
      <c r="T46" s="81">
        <f>Local!G46</f>
        <v/>
      </c>
      <c r="U46" s="83" t="inlineStr">
        <is>
          <t>## About
Kalanchoe is a popular flowering succulent that produces beautiful clusters of small, colorful flowers on top of thick, glossy green leaves. This plant is loved by gardeners across India for its vibrant blooms that can last for weeks and its easy-going nature that makes it perfect for beginners.
## Origin
Kalanchoe blossfeldiana is native to Madagascar, a tropical island off the coast of Africa. In its natural habitat, it grows in warm, dry conditions with well-draining soil. The plant has been cultivated worldwide and has become a favorite houseplant and garden plant in India.
## Temperature &amp; Humidity
- **Temperature Range:** 15Â°C to 35Â°C
- **Humidity:** Kalanchoe prefers low to moderate humidity levels, around 30% to 50%. It adapts very well to Indian climate conditions, including dry summers and mild winters. The plant can tolerate the heat of Indian summers but should be protected from extreme cold in northern regions during winter months.
## Growth
Kalanchoe is a compact, bushy succulent that typically grows 15 to 30 centimeters tall and spreads about 15 to 20 centimeters wide. It has a slow to moderate growth rate, making it ideal for small pots and containers. The plant produces thick, fleshy leaves with scalloped edges that store water, and beautiful flower clusters that bloom in shades of red, pink, orange, yellow, and white. The flowers appear on tall stems above the foliage and can bloom for several weeks at a time.
## Watering
- **Frequency:** Once every week or ten days depending on season and weather conditions. In monsoon season, reduce watering frequency.
- **Tips:** Allow the soil to dry out completely between waterings. Kalanchoe is a succulent and stores water in its leaves, so it is better to underwater than overwater. Water at the base of the plant and avoid getting water on the leaves and flowers. During winter, water even less frequently, maybe once every two weeks. In hot summer months, you may need to water twice a week depending on how quickly the soil dries out.
## Sunlight
- **Hours per day:** 4 to 6 hours
- **Type:** Bright indirect light or morning direct sunlight. Kalanchoe can tolerate some direct sun, especially gentle morning sun, but should be protected from harsh afternoon sun during peak summer in India. Bright indirect light near a window works perfectly for indoor plants.
## Care Tips
- Kalanchoe thrives in Indian climate and is very low-maintenance
- Keep the plant in a spot with good air circulation to prevent fungal issues during monsoon
- Remove spent flowers regularly to encourage more blooms and keep the plant looking tidy
- Protect from heavy rain during monsoon as the plant does not like sitting in waterlogged soil
- In hot Indian summers, move the plant to a spot with filtered afternoon light to prevent leaf burn
- The plant can be kept outdoors year-round in most parts of India, except in areas with frost
- Wipe the leaves gently with a soft cloth occasionally to remove dust
## Growth Tips
- Use well-draining cactus or succulent potting mix, or make your own by mixing regular soil with sand and perlite in equal parts
- Add compost or cocopeat to improve drainage
- Feed with a balanced liquid fertilizer diluted to half strength once a month during the growing season (spring and summer)
- Stop fertilizing during winter months when the plant rests
- Repot every 2 to 3 years in spring, or when the plant becomes root-bound
- Use a pot with drainage holes to prevent root rot
- Propagate easily from leaf or stem cuttings - just let the cutting dry for a day, then plant in well-draining soil
## Common Problems
- **Yellowing leaves:** Usually caused by overwatering. Let soil dry out completely between waterings
- **Drooping or soft leaves:** Sign of root rot from too much water. Reduce watering immediately
- **No flowers:** Not enough sunlight. Move to a brighter location with at least 4 hours of light
- **Leggy growth:** Insufficient light causes stems to stretch. Increase light exposure
- **Mealybugs or aphids:** Small white cottony bugs or green insects on leaves. Spray with neem oil solution or wipe with cotton dipped in rubbing alcohol
- **Brown leaf edges:** Too much direct harsh sun or fertilizer burn. Adjust light exposure or reduce fertilizer
- **Powdery mildew:** White powdery coating on leaves during humid monsoon weather. Improve air circulation and avoid overhead watering</t>
        </is>
      </c>
      <c r="V46" s="98">
        <f>HYPERLINK("https://rosaryplanthouse.com/plant/"&amp;A46&amp;"-"&amp;SUBSTITUTE(LOWER(E46), " ", "-"))</f>
        <v/>
      </c>
      <c r="W46" t="inlineStr">
        <is>
          <t>🟢 Kalanchoe blossfeldiana (ID: 45)  
🌺 Brighten your space with the stunning Kalanchoe! This flowering succulent is a favorite among plant lovers for its vibrant clusters of colorful blooms that bring joy for weeks on end. Perfect for both seasoned gardeners and beginners, it thrives in Indian climates with minimal care!  
✨ **About Kalanchoe:**  
Native to Madagascar, this resilient plant flourishes in medium sunlight and requires low watering. Its bushy, compact form is adorned with glossy green leaves that beautifully showcase its bright flowers in shades of red, pink, orange, yellow, and white.  
🌞 **Key Details:**  
- **Watering:** Low; allow soil to dry out between waterings.  
- **Sunlight:** Prefers bright indirect light or gentle morning sun.  
- **Growth:** Compact and bushy, perfect for small spaces!  
🌼 Ready to add this beauty to your collection? Tap the link in bio!  
#Kalanchoe #Succulent #PlantLovers #IndoorPlants #HomeDecor #GreenThumb #FloweringSucculent #RosaryPlantHouse #PlantCare #Gardening #Houseplants #PlantAddict #PlantParent #Madagascar #VibrantBlooms #EasyCarePlants</t>
        </is>
      </c>
    </row>
    <row r="47" ht="99.5" customHeight="1">
      <c r="A47" s="73" t="n">
        <v>46</v>
      </c>
      <c r="B47" s="74" t="inlineStr">
        <is>
          <t>Tree Succulent</t>
        </is>
      </c>
      <c r="C47" s="74">
        <f>IF(Local!H47,"1","0")</f>
        <v/>
      </c>
      <c r="D47" s="75" t="n">
        <v>49</v>
      </c>
      <c r="E47" s="66" t="inlineStr">
        <is>
          <t>Pereskiopsis spathulata</t>
        </is>
      </c>
      <c r="F47" s="76">
        <f>"public/sale_plants/"&amp;A47&amp;".jpg"</f>
        <v/>
      </c>
      <c r="G47" s="77" t="inlineStr">
        <is>
          <t>(2"-3")</t>
        </is>
      </c>
      <c r="H47" s="78" t="inlineStr">
        <is>
          <t>Low</t>
        </is>
      </c>
      <c r="I47" s="66" t="inlineStr">
        <is>
          <t>Low</t>
        </is>
      </c>
      <c r="J47" s="66" t="inlineStr">
        <is>
          <t>High</t>
        </is>
      </c>
      <c r="K47" s="79" t="n">
        <v>59</v>
      </c>
      <c r="L47" s="80" t="inlineStr">
        <is>
          <t>Succulent</t>
        </is>
      </c>
      <c r="M47" s="80" t="n">
        <v>0</v>
      </c>
      <c r="N47" s="80" t="n">
        <v>0</v>
      </c>
      <c r="O47" s="81" t="n">
        <v>0</v>
      </c>
      <c r="P47" s="80" t="n">
        <v>0</v>
      </c>
      <c r="Q47" s="81">
        <f>IF(Local!I47=TRUE,1,0)</f>
        <v/>
      </c>
      <c r="R47" s="81">
        <f>Local!D47</f>
        <v/>
      </c>
      <c r="S47" s="81">
        <f>Local!F47</f>
        <v/>
      </c>
      <c r="T47" s="81">
        <f>Local!G47</f>
        <v/>
      </c>
      <c r="U47" s="83" t="inlineStr">
        <is>
          <t>## About
Pereskiopsis is a unique cactus that doesn't look like a typical cactus at first glance. It has proper green leaves and grows quickly, making it popular among cactus collectors. Originally from Mexico and Central America, this plant is often used as rootstock for grafting other cacti.
## Origin
Pereskiopsis is native to Mexico and Central American regions. It grows naturally in tropical and subtropical areas where it receives plenty of sunlight and warm temperatures throughout the year. The plant belongs to the Cactaceae family but retains primitive features like true leaves, which most cacti have lost through evolution.
## Temperature &amp; Humidity
- **Temperature Range:** 15Â°C to 35Â°C (can tolerate up to 40Â°C in Indian summers)
- **Humidity:** Adaptable to various humidity levels, but prefers 40% to 60%. Grows well in both dry and moderately humid conditions typical of most Indian regions.
## Growth
Pereskiopsis is a fast-growing cactus that can reach heights of 1 to 2 feet in ideal conditions. It grows as an upright stem with fleshy green leaves arranged spirally. The plant develops a woody base over time and may branch out from the main stem. Growth is especially rapid during warm months, making it one of the quickest-growing cacti available. The leaves can drop during stress or dormancy periods, which is normal behavior.
## Watering
- **Frequency:** Once a week depending on season and weather conditions. During hot Indian summers (April-June), you may need to water twice a week. Reduce to once every 10-14 days during monsoon and winter.
- **Tips:** Always check if the top 2-3 cm of soil is dry before watering. Water thoroughly until it drains from the bottom. Avoid keeping the soil constantly wet as this can cause root rot. Use room temperature water and avoid watering during the hottest part of the day.
## Sunlight
- **Hours per day:** 4 to 6 hours
- **Type:** Direct sunlight is best, but can tolerate bright indirect light. Morning sun is ideal for Indian climate. Protect from intense afternoon sun during peak summer (12 PM to 3 PM) to prevent leaf burn.
## Care Tips
- Place in a location with good air circulation to prevent fungal issues during monsoon season
- Can be grown outdoors year-round in most Indian cities except in areas with frost
- Protect from heavy monsoon rains by providing shelter or moving indoors temporarily
- Watch for pests like mealybugs and scale insects, especially during warm humid months
- The plant may drop leaves during winter dormancy - this is normal and new leaves will grow in spring
- Clean leaves occasionally with a soft cloth to remove dust and improve photosynthesis
- Suitable for balconies, terraces, and sunny windowsills
## Growth Tips
- Use well-draining cactus or succulent potting mix, or make your own with equal parts regular soil, cocopeat, and perlite/sand
- Add a handful of organic compost or vermicompost to the mix for better growth
- Fertilize once a month during growing season (March to October) with diluted liquid fertilizer or cactus fertilizer
- Repot every 1-2 years in spring when the plant outgrows its container
- Choose a pot with drainage holes that's slightly larger than the root ball
- Can be easily propagated from stem cuttings - just let the cut end dry for 2-3 days before planting
- Prune to maintain desired shape and encourage branching
## Common Problems
- **Yellow or dropping leaves:** Usually caused by overwatering or poor drainage. Check soil moisture and reduce watering frequency.
- **Brown leaf tips:** Result of underwatering, low humidity, or excessive direct sunlight during peak summer hours.
- **Mealybugs (white cottony spots):** Common pest that sucks plant sap. Remove with cotton swabs dipped in rubbing alcohol or neem oil solution.
- **Root rot:** Black, mushy roots caused by waterlogged soil. Reduce watering and improve drainage immediately.
- **Slow or no growth:** Usually due to insufficient light or nutrients. Move to brighter location and start fertilizing.
- **Stem becoming thin and stretched:** Sign of insufficient light. Move plant to a sunnier spot.
- **Scale insects:** Brown bumps on stems that can be scraped off manually or treated with neem oil spray.</t>
        </is>
      </c>
      <c r="V47" s="98">
        <f>HYPERLINK("https://rosaryplanthouse.com/plant/"&amp;A47&amp;"-"&amp;SUBSTITUTE(LOWER(E47), " ", "-"))</f>
        <v/>
      </c>
      <c r="W47" t="inlineStr">
        <is>
          <t>🟢 Pereskiopsis spathulata (ID: 46)
🌵 Get ready to bring some unique charm to your plant collection with the stunning Tree Succulent! 
This fast-growing cactus is not your average prickly plant. With lush green leaves and a strong woody base, the Pereskiopsis spathulata is perfect for those who appreciate a bit of character in their greenery. Native to the sun-kissed regions of Mexico and Central America, it thrives in bright sunlight and is a delight for both novice and experienced plant enthusiasts alike!
✨ **Key Details:**
- **Watering:** Low, check soil moisture before watering
- **Sunlight:** Loves direct sunlight (4-6 hours daily)
- **Growth:** Rapid growth, can reach impressive heights!
💚 Ready to add this unique beauty to your home? Discover more about the Tree Succulent and how to care for it! Link in bio.
#Pereskiopsis #TreeSucculent #CactusLove #PlantParent #IndoorGardening #SucculentCollection #Houseplants #PlantCare #GreenThumb #RosaryPlantHouse #CactusLife</t>
        </is>
      </c>
    </row>
    <row r="48" ht="99.5" customHeight="1">
      <c r="A48" s="73" t="n">
        <v>47</v>
      </c>
      <c r="B48" s="74" t="inlineStr">
        <is>
          <t>Dianthus</t>
        </is>
      </c>
      <c r="C48" s="74">
        <f>IF(Local!H48,"1","0")</f>
        <v/>
      </c>
      <c r="D48" s="75" t="n">
        <v>59</v>
      </c>
      <c r="E48" s="66" t="inlineStr">
        <is>
          <t>Dianthus chinensis</t>
        </is>
      </c>
      <c r="F48" s="76">
        <f>"public/sale_plants/"&amp;A48&amp;".jpg"</f>
        <v/>
      </c>
      <c r="G48" s="77" t="inlineStr">
        <is>
          <t>(2"-3")</t>
        </is>
      </c>
      <c r="H48" s="78" t="inlineStr">
        <is>
          <t>High</t>
        </is>
      </c>
      <c r="I48" s="66" t="inlineStr">
        <is>
          <t>Medium</t>
        </is>
      </c>
      <c r="J48" s="66" t="inlineStr">
        <is>
          <t>High</t>
        </is>
      </c>
      <c r="K48" s="79" t="n">
        <v>59</v>
      </c>
      <c r="L48" s="80" t="inlineStr">
        <is>
          <t>Others</t>
        </is>
      </c>
      <c r="M48" s="80" t="n">
        <v>0</v>
      </c>
      <c r="N48" s="80" t="n">
        <v>0</v>
      </c>
      <c r="O48" s="81" t="n">
        <v>0</v>
      </c>
      <c r="P48" s="80" t="n">
        <v>0</v>
      </c>
      <c r="Q48" s="81">
        <f>IF(Local!I48=TRUE,1,0)</f>
        <v/>
      </c>
      <c r="R48" s="81">
        <f>Local!D48</f>
        <v/>
      </c>
      <c r="S48" s="81">
        <f>Local!F48</f>
        <v/>
      </c>
      <c r="T48" s="81">
        <f>Local!G48</f>
        <v/>
      </c>
      <c r="U48" s="83" t="inlineStr">
        <is>
          <t>## About
Dianthus, commonly known as China Pink or Indian Pink, is a beautiful flowering plant loved for its colorful, fragrant blooms and grass-like foliage. This cheerful plant produces stunning flowers in shades of pink, red, white, and purple, making it a favorite for gardens and containers across India.
## Origin
Dianthus is native to Europe and Asia, particularly China and Korea. It has been cultivated for centuries and has adapted well to various climates around the world, including the Indian subcontinent where it thrives in cooler months.
## Temperature &amp; Humidity
- **Temperature Range:** 10Â°C to 25Â°C
- **Humidity:** Dianthus prefers moderate humidity levels between 40% to 60%. It grows best in cooler weather and may struggle during extreme heat and high humidity typical of Indian summers. The plant performs excellently during winter months in most parts of India.
## Growth
Dianthus is a compact plant that typically grows 15 to 30 centimeters tall with a similar spread. It has narrow, blue-green to gray-green leaves that form dense clumps. The growth speed is moderate to fast, especially during the cooler months from October to March. The plant produces multiple flower stems from a single clump, creating a beautiful display when in full bloom.
## Watering
- **Frequency:** Once or twice a week depending on season, weather conditions, and soil moisture. Water more frequently during hot, dry periods and less during cooler months.
- **Tips:** Water at the base of the plant to avoid wetting the foliage, which can lead to fungal diseases. Allow the top layer of soil to dry out between waterings. Dianthus does not like waterlogged soil, so ensure good drainage. During monsoon season, reduce watering and protect from excessive rain if possible.
## Sunlight
- **Hours per day:** 5 to 8 hours
- **Type:** Direct sunlight is essential for healthy growth and abundant flowering. Morning sunlight is ideal in hot Indian climates. In areas with intense afternoon sun, some filtered light during the hottest part of the day can prevent leaf burn.
## Care Tips
- **Best growing season in India:** October to March (winter and early spring)
- **Deadhead spent flowers** regularly to encourage continuous blooming and keep the plant looking tidy
- **Pinch back young plants** to promote bushier growth
- **Provide good air circulation** to prevent fungal issues, especially during humid weather
- **Protect from heavy monsoon rains** as excessive moisture can cause root rot
- **Mulch around plants** to keep roots cool and retain moisture during dry spells
- **In hot regions**, provide afternoon shade during peak summer months
## Growth Tips
- **Soil:** Well-draining, slightly alkaline to neutral soil (pH 6.5-7.5) enriched with compost or well-rotted manure works best
- **Fertilizer:** Feed with a balanced liquid fertilizer diluted to half strength every 2-3 weeks during the growing season. Use a bloom-boosting fertilizer (higher phosphorus) to encourage more flowers
- **Repotting:** Repot container-grown plants annually in fresh potting mix at the beginning of the growing season (October-November)
- **Propagation:** Easy to grow from seeds sown in October-November or from stem cuttings taken in cooler months
## Common Problems
- **Yellowing leaves:** Usually caused by overwatering or poor drainage leading to root rot
- **Fungal diseases:** Powdery mildew and rust can occur in high humidity conditions with poor air circulation
- **Aphids and thrips:** Small insects that suck plant sap, causing distorted growth and reduced flowering
- **Leaf spots:** Brown or black spots on leaves indicate fungal infection from overhead watering or excessive moisture
- **Poor flowering:** Usually due to insufficient sunlight or excessive nitrogen fertilizer
- **Wilting despite moist soil:** Sign of root rot from waterlogged conditions
- **Leggy growth:** Indicates insufficient light; move to a sunnier location</t>
        </is>
      </c>
      <c r="V48" s="98">
        <f>HYPERLINK("https://rosaryplanthouse.com/plant/"&amp;A48&amp;"-"&amp;SUBSTITUTE(LOWER(E48), " ", "-"))</f>
        <v/>
      </c>
      <c r="W48" t="inlineStr">
        <is>
          <t>🟢 Dianthus chinensis (ID: 47)
🌸 Brighten your garden with the stunning Dianthus, also known as China Pink! This delightful plant is a true showstopper, flaunting vibrant blooms in shades of pink, red, white, and purple that will make your outdoor space come alive. 
💚 About: The Dianthus thrives in cooler months and is perfect for adding a splash of color to your garden or containers. With its fragrant flowers and lush, grass-like foliage, it's no wonder this beauty has captured the hearts of plant lovers everywhere!
✨ Key Details:
- **Sunlight:** Loves 5-8 hours of direct sunlight daily ☀️
- **Watering:** Moderate; once or twice a week depending on the season 💧
- **Temperature:** Prefers a range of 10°C to 25°C 🌡️
- **Humidity:** Enjoys moderate levels between 40% to 60% 🌿
Ready to bring home this floral gem? 🌼 Link in bio! 
#Dianthus #ChinaPink #FlowerPower #GardenGoals #PlantLove #RosaryPlantHouse #IndoorPlants #OutdoorPlants #PlantParenthood #BloomingBeauty #GreenThumb #PlantCare #NatureLovers #GardenInspiration #HomeDecor #FloralDesign #PlantAddict</t>
        </is>
      </c>
    </row>
    <row r="49" ht="99.5" customHeight="1">
      <c r="A49" s="73" t="n">
        <v>48</v>
      </c>
      <c r="B49" s="74" t="inlineStr">
        <is>
          <t>Pepromia Long leaf</t>
        </is>
      </c>
      <c r="C49" s="74">
        <f>IF(Local!H49,"1","0")</f>
        <v/>
      </c>
      <c r="D49" s="75" t="n">
        <v>69</v>
      </c>
      <c r="E49" s="66" t="inlineStr">
        <is>
          <t>Peperomia caperata</t>
        </is>
      </c>
      <c r="F49" s="76">
        <f>"public/sale_plants/"&amp;A49&amp;".jpg"</f>
        <v/>
      </c>
      <c r="G49" s="77" t="inlineStr">
        <is>
          <t>(2"-3")</t>
        </is>
      </c>
      <c r="H49" s="78" t="inlineStr">
        <is>
          <t>High</t>
        </is>
      </c>
      <c r="I49" s="66" t="inlineStr">
        <is>
          <t>Medium</t>
        </is>
      </c>
      <c r="J49" s="66" t="inlineStr">
        <is>
          <t>Low</t>
        </is>
      </c>
      <c r="K49" s="79" t="n">
        <v>120</v>
      </c>
      <c r="L49" s="80" t="inlineStr">
        <is>
          <t>Peperomia</t>
        </is>
      </c>
      <c r="M49" s="80" t="n">
        <v>0</v>
      </c>
      <c r="N49" s="80" t="n">
        <v>0</v>
      </c>
      <c r="O49" s="81" t="n">
        <v>0</v>
      </c>
      <c r="P49" s="81" t="n">
        <v>1</v>
      </c>
      <c r="Q49" s="81">
        <f>IF(Local!I49=TRUE,1,0)</f>
        <v/>
      </c>
      <c r="R49" s="81">
        <f>Local!D49</f>
        <v/>
      </c>
      <c r="S49" s="81">
        <f>Local!F49</f>
        <v/>
      </c>
      <c r="T49" s="81">
        <f>Local!G49</f>
        <v/>
      </c>
      <c r="U49" s="83" t="inlineStr">
        <is>
          <t>## About
Peperomia caperata, commonly known as Ripple Peperomia or Emerald Ripple, is a beautiful ornamental houseplant loved for its deeply textured, heart-shaped leaves with attractive rippled patterns. This compact plant produces unique rat-tail-like white or cream flower spikes that rise above the foliage, making it a favorite among indoor plant enthusiasts.
## Origin
Peperomia caperata is native to the tropical rainforests of Brazil in South America. It grows naturally on the forest floor where it receives filtered light through the canopy and enjoys warm, humid conditions.
## Temperature &amp; Humidity
- **Temperature Range:** 18Â°C to 26Â°C
- **Humidity:** Prefers moderate to high humidity levels between 50% to 70%. Indian climates during monsoon season are ideal, but during dry summer months, occasional misting or placing the pot on a pebble tray with water can help maintain humidity.
## Growth
Peperomia caperata is a slow-growing, compact plant that typically reaches 15 to 20 cm in height and spreads about 20 to 25 cm wide. It forms a neat, mounding rosette of leaves that grow from the center. The plant stays small and bushy, making it perfect for tabletops, small pots, and terrariums. It does not climb or trail, maintaining a tidy appearance throughout its life.
## Watering
- **Frequency:** Water once a week depending on season and weather conditions. In summer, you may need to water more frequently, while in winter reduce watering.
- **Tips:** Allow the top 2-3 cm of soil to dry out between waterings. Peperomia has thick, succulent-like leaves that store water, so they are quite tolerant of underwatering but very sensitive to overwatering. Water from below or carefully at the base to avoid getting water on the leaves, which can cause rot. In Indian monsoon season, reduce watering frequency as humidity is already high.
## Sunlight
- **Hours per day:** 4 to 6 hours
- **Type:** Bright indirect or filtered light. This plant thrives in shade or low-light conditions and should never be placed in direct sunlight, which can scorch and damage the delicate leaves. North or east-facing windowsills work perfectly in Indian homes.
## Care Tips
- Keep the plant away from direct afternoon sun, especially during harsh Indian summers
- Wipe dust off leaves gently with a damp cloth to keep them clean and help the plant breathe
- Avoid placing near air conditioners or fans that can dry out the air too much
- During hot, dry months (March to May), mist the plant lightly once or twice a week
- Remove dead or yellowing leaves promptly to prevent pest problems
- This plant is pet-friendly and non-toxic, making it safe for homes with cats and dogs
## Growth Tips
- **Soil:** Use well-draining potting mix. A combination of cocopeat, perlite, and regular potting soil in equal parts works well
- **Fertilizer:** Feed with a diluted liquid fertilizer once a month during the growing season (spring and summer). Use half the recommended strength. Avoid fertilizing in winter
- **Repotting:** Repot every 2 to 3 years or when the plant becomes root-bound. Choose a pot only slightly larger than the current one, as Peperomias prefer being slightly pot-bound
- **Propagation:** Easily propagated through leaf cuttings or division during repotting
## Common Problems
- **Yellowing leaves:** Usually caused by overwatering or poor drainage. Check soil moisture and reduce watering frequency
- **Brown leaf tips:** Low humidity or use of hard tap water. Use filtered water and increase humidity
- **Drooping leaves:** Either underwatering or root rot from overwatering. Check the soil and adjust watering accordingly
- **Leaf drop:** Sudden temperature changes or cold drafts. Keep the plant in a stable environment
- **Pests:** Occasionally affected by mealybugs or spider mites, especially in dry conditions. Wipe leaves with neem oil solution as prevention
- **Leggy growth:** Insufficient light. Move to a brighter location with indirect light
- **Root rot:** The most common problem caused by overwatering or poorly draining soil. Always ensure pots have drainage holes</t>
        </is>
      </c>
      <c r="V49" s="98">
        <f>HYPERLINK("https://rosaryplanthouse.com/plant/"&amp;A49&amp;"-"&amp;SUBSTITUTE(LOWER(E49), " ", "-"))</f>
        <v/>
      </c>
      <c r="W49" t="inlineStr">
        <is>
          <t>🟢 Peperomia Caperata (ID: 48)
🌿 Meet the stunning Ripple Peperomia, your new indoor plant obsession! With its deeply textured, heart-shaped leaves and unique cream flower spikes, this beauty is a must-have for any plant lover. 
✨ Native to the tropical rainforests of Brazil, Peperomia Caperata thrives in moderate humidity and low light, making it perfect for those cozy corners of your home. Its compact growth habit means it won't outgrow its space, adding a lush touch to tabletops and terrariums.
🔑 Key Details:
- **Watering:** Medium; let the top soil dry between waterings.
- **Light:** Prefers bright indirect or filtered light.
- **Humidity:** Enjoys moderate to high humidity.
🌱 Ready to elevate your indoor jungle? Discover the Ripple Peperomia and more at Rosary Plant House! Link in bio.
#PeperomiaCaperata #IndoorPlants #PlantLover #Houseplants #HomeDecor #PlantCare #UrbanJungle #GreenThumb #PlantParent #PeperomiaPlants #PlantGoals #IndoorJungle #LowLightPlants</t>
        </is>
      </c>
    </row>
    <row r="50" ht="99.5" customHeight="1">
      <c r="A50" s="73" t="n">
        <v>49</v>
      </c>
      <c r="B50" s="74" t="inlineStr">
        <is>
          <t>Hydrangea</t>
        </is>
      </c>
      <c r="C50" s="74">
        <f>IF(Local!H50,"1","0")</f>
        <v/>
      </c>
      <c r="D50" s="75" t="n">
        <v>39</v>
      </c>
      <c r="E50" s="66" t="inlineStr">
        <is>
          <t>Hydrangea macrophylla</t>
        </is>
      </c>
      <c r="F50" s="76">
        <f>"public/sale_plants/"&amp;A50&amp;".jpg"</f>
        <v/>
      </c>
      <c r="G50" s="77" t="inlineStr">
        <is>
          <t>(3"-4")</t>
        </is>
      </c>
      <c r="H50" s="78" t="inlineStr">
        <is>
          <t>Moderate</t>
        </is>
      </c>
      <c r="I50" s="66" t="inlineStr">
        <is>
          <t>High</t>
        </is>
      </c>
      <c r="J50" s="66" t="inlineStr">
        <is>
          <t>Medium</t>
        </is>
      </c>
      <c r="K50" s="79" t="n">
        <v>49</v>
      </c>
      <c r="L50" s="80" t="inlineStr">
        <is>
          <t>Others</t>
        </is>
      </c>
      <c r="M50" s="80" t="n">
        <v>0</v>
      </c>
      <c r="N50" s="80" t="n">
        <v>0</v>
      </c>
      <c r="O50" s="81" t="n">
        <v>0</v>
      </c>
      <c r="P50" s="80" t="n">
        <v>0</v>
      </c>
      <c r="Q50" s="81">
        <f>IF(Local!I50=TRUE,1,0)</f>
        <v/>
      </c>
      <c r="R50" s="81">
        <f>Local!D50</f>
        <v/>
      </c>
      <c r="S50" s="81">
        <f>Local!F50</f>
        <v/>
      </c>
      <c r="T50" s="81">
        <f>Local!G50</f>
        <v/>
      </c>
      <c r="U50" s="83" t="inlineStr">
        <is>
          <t>## About
Hydrangea is a beautiful flowering shrub known for its large, showy flower clusters that come in shades of pink, blue, purple, and white. This plant is loved by gardeners worldwide for its stunning blooms and ability to brighten up any garden or indoor space.
## Origin
Hydrangeas originally come from Japan and other parts of East Asia. They also grow naturally in parts of North and South America. These plants prefer cool, temperate climates but can adapt to various conditions with proper care.
## Temperature &amp; Humidity
- **Temperature Range:** 15Â°C to 25Â°C
- **Humidity:** Hydrangeas love high humidity, ideally between 50% to 70%. In dry Indian climates, misting the leaves regularly helps keep the plant healthy and happy.
## Growth
Hydrangeas are medium to large shrubs that can grow 1 to 3 meters tall and wide depending on the variety. They grow at a moderate pace, producing new stems and leaves during spring and summer. The plant forms round, bushy shapes with large green leaves and produces big flower clusters at the tips of branches. In Indian conditions, they may stay smaller if kept in pots.
## Watering
- **Frequency:** Water regularly, about 2-3 times a week depending on season and weather. During hot summer months, daily watering may be needed.
- **Tips:** Hydrangeas need consistently moist soil but not waterlogged conditions. Water deeply so the roots stay hydrated. In summer heat, water early morning or evening. Use a saucer under pots to retain moisture. Wilting leaves are a sign the plant needs water immediately.
## Sunlight
- **Hours per day:** 4 to 6 hours
- **Type:** Bright indirect light or morning direct sun with afternoon shade. In hot Indian summers, protect from harsh afternoon sun which can scorch leaves and fade flowers.
## Care Tips
- Keep the plant in a location with morning sun and afternoon shade, especially during peak summer
- Mist the leaves daily during dry seasons to maintain humidity
- Deadhead faded flowers to encourage more blooms
- Protect from strong winds which can damage the large leaves
- In very hot regions of India, growing hydrangeas in pots indoors or in shaded balconies works best
- During winter, reduce watering slightly but don't let soil dry out completely
- Mulch around the base to keep roots cool and retain moisture
## Growth Tips
- Use well-draining, rich potting soil mixed with compost and cocopeat
- Hydrangeas prefer slightly acidic soil (pH 5.5 to 6.5) for best flowering
- Feed with balanced liquid fertilizer every 2-3 weeks during growing season (spring and summer)
- For blue flowers, add aluminum sulfate to soil; for pink flowers, add lime to make soil more alkaline
- Repot every 2 years in spring using a pot one size larger
- Prune lightly after flowering to maintain shape and remove dead wood
- Add organic matter like vermicompost regularly to enrich soil
## Common Problems
- **Yellow leaves:** Usually caused by overwatering or poor drainage. Check if soil is too wet.
- **Wilting despite moist soil:** Could be root rot from waterlogging. Improve drainage immediately.
- **Brown leaf edges:** Sign of low humidity or underwatering, common in dry Indian climate.
- **Few or no flowers:** Not enough sunlight or over-fertilizing with high nitrogen.
- **Aphids and spider mites:** Common pests that suck sap from leaves. Spray with neem oil solution.
- **Powdery mildew:** White powder on leaves due to poor air circulation or high humidity without proper ventilation.
- **Leaf scorch:** Brown, crispy leaves from too much direct hot sun, especially afternoon sun in summer.</t>
        </is>
      </c>
      <c r="V50" s="98">
        <f>HYPERLINK("https://rosaryplanthouse.com/plant/"&amp;A50&amp;"-"&amp;SUBSTITUTE(LOWER(E50), " ", "-"))</f>
        <v/>
      </c>
      <c r="W50" t="inlineStr">
        <is>
          <t>🟢 Hydrangea macrophylla (ID: 49)
🌸 Bloom into beauty with the Hydrangea! 🌸 This stunning flowering shrub is perfect for adding a splash of color to your garden or indoor space, boasting large, showy flower clusters in shades of pink, blue, purple, and white. 
✨ **About Hydrangeas:** Originally hailing from Japan and parts of East Asia, these adaptable plants thrive in cool, temperate climates but can flourish with the right care. They grow at a moderate pace, forming bushy shapes with lush green leaves, making them a favorite among gardeners worldwide.
🌿 **Key Details:**
- 🌞 **Sunlight:** Prefers 4-6 hours of bright indirect light or morning sun.
- 💧 **Watering:** Keep the soil consistently moist; water 2-3 times a week, more in summer.
- 🌬️ **Humidity:** Loves high humidity (50%-70%); misting helps in dry conditions.
- 🌼 **Care Tips:** Deadhead faded flowers, protect from strong winds, and ensure well-draining soil.
💚 Bring home this beauty and watch your space come alive! For more details, check out the 'Link in bio'! 
#Hydrangea #FlowerPower #GardenGoals #PlantLovers #HomeDecor #IndoorPlants #GreenThumb #PlantCare #FloralBeauty #RosaryPlantHouse #PlantAddict #NatureLovers #GardeningJoy</t>
        </is>
      </c>
    </row>
    <row r="51" ht="99.5" customHeight="1">
      <c r="A51" s="73" t="n">
        <v>50</v>
      </c>
      <c r="B51" s="74" t="inlineStr">
        <is>
          <t>Wax Ivy</t>
        </is>
      </c>
      <c r="C51" s="74">
        <f>IF(Local!H51,"1","0")</f>
        <v/>
      </c>
      <c r="D51" s="75" t="n">
        <v>39</v>
      </c>
      <c r="E51" s="66" t="inlineStr">
        <is>
          <t>Senecio macroglossus</t>
        </is>
      </c>
      <c r="F51" s="76">
        <f>"public/sale_plants/"&amp;A51&amp;".jpg"</f>
        <v/>
      </c>
      <c r="G51" s="77" t="inlineStr">
        <is>
          <t>(5"-6")</t>
        </is>
      </c>
      <c r="H51" s="78" t="inlineStr">
        <is>
          <t>High</t>
        </is>
      </c>
      <c r="I51" s="66" t="inlineStr">
        <is>
          <t>Low</t>
        </is>
      </c>
      <c r="J51" s="66" t="inlineStr">
        <is>
          <t>Medium</t>
        </is>
      </c>
      <c r="K51" s="79" t="n">
        <v>49</v>
      </c>
      <c r="L51" s="80" t="inlineStr">
        <is>
          <t>Creeper</t>
        </is>
      </c>
      <c r="M51" s="80" t="n">
        <v>0</v>
      </c>
      <c r="N51" s="80" t="n">
        <v>1</v>
      </c>
      <c r="O51" s="81" t="n">
        <v>0</v>
      </c>
      <c r="P51" s="80" t="n">
        <v>1</v>
      </c>
      <c r="Q51" s="81">
        <f>IF(Local!I51=TRUE,1,0)</f>
        <v/>
      </c>
      <c r="R51" s="81">
        <f>Local!D51</f>
        <v/>
      </c>
      <c r="S51" s="81">
        <f>Local!F51</f>
        <v/>
      </c>
      <c r="T51" s="81">
        <f>Local!G51</f>
        <v/>
      </c>
      <c r="U51" s="83" t="inlineStr">
        <is>
          <t>## About
Wax Ivy is a beautiful trailing succulent plant with waxy, ivy-shaped leaves that have white or cream edges. Despite its name, it's not a true ivy but belongs to the Senecio family. This plant is popular for its easy care and attractive variegated foliage that looks great in hanging baskets or climbing on supports.
## Origin
Wax Ivy is native to South Africa and Zimbabwe. It grows naturally in dry, rocky areas where it climbs on rocks and shrubs. The plant has adapted to survive in warm climates with little water, making it perfect for Indian growing conditions.
## Temperature &amp; Humidity
- **Temperature Range:** 15Â°C to 35Â°C
- **Humidity:** Wax Ivy prefers low to moderate humidity levels (30% to 50%). It tolerates dry air very well, which makes it ideal for most Indian homes. During hot Indian summers, it can handle high temperatures without problems. In winter, protect it from temperatures below 10Â°C.
## Growth
Wax Ivy is a fast-growing trailing or climbing plant. The stems can grow up to 2 to 3 meters long if given support or allowed to trail down. The leaves are thick, waxy, and shaped like ivy leaves, usually 3 to 5 cm wide. The variegated form has beautiful green leaves with creamy white or yellow edges. The plant grows quickly during warm months and slows down in winter. It can spread nicely and create a full, lush appearance within one growing season.
## Watering
- **Frequency:** Once every 7 to 10 days depending on season and weather conditions. In hot Indian summers, you may need to water twice a week, while in monsoon and winter, once every 10 to 14 days is enough.
- **Tips:** Always check if the top 2 to 3 cm of soil is dry before watering. Wax Ivy is a succulent, so it stores water in its thick leaves and stems. It's better to underwater than overwater. Water less during monsoon season and winter. Make sure the pot has good drainage holes to prevent water from sitting at the bottom. During summer, water early morning or late evening.
## Sunlight
- **Hours per day:** 4 to 6 hours
- **Type:** Bright indirect light or filtered sunlight is best. It can tolerate 2 to 3 hours of direct morning sun, but protect it from harsh afternoon sun, especially in Indian summers. Can also grow in partial shade but may lose some of its bright variegation with too little light.
## Care Tips
- Place the plant near an east or north-facing window for best light in Indian homes
- Wipe the waxy leaves with a damp cloth every few weeks to remove dust and keep them shiny
- Prune leggy or overgrown stems to encourage bushier growth
- During hot summer months (April to June), provide some shade during peak afternoon hours
- The plant goes semi-dormant in winter, so reduce watering and avoid fertilizing
- Rotate the plant every few weeks for even growth on all sides
- Perfect for balconies, terraces, and indoor spaces with good light
- Can be grown in hanging baskets, trained on a trellis, or allowed to trail from shelves
## Growth Tips
- Use well-draining soil mix: combine regular potting soil with sand and perlite (ratio 2:1:1)
- Add some cocopeat for better moisture retention without making soil soggy
- Fertilize once a month during growing season (March to October) with diluted liquid fertilizer
- Use balanced NPK fertilizer (10:10:10) or succulent-specific fertilizer at half strength
- Repot every 2 years or when roots start coming out of drainage holes
- Best time to repot is early spring (February-March) before active growth begins
- Propagate easily from stem cuttings in water or soil during warm months
- Pinch off growing tips regularly to promote branching and fuller growth
## Common Problems
- **Yellow leaves:** Usually caused by overwatering or poor drainage. Let soil dry out more between waterings.
- **Brown leaf tips:** Can happen due to very low humidity or underwatering during hot summer. Increase watering slightly.
- **Leaf drop:** Often due to sudden temperature changes or cold drafts. Keep away from air conditioners.
- **Leggy growth with small leaves:** Not enough light. Move to a brighter location.
- **Loss of variegation:** Insufficient light. The plant needs good bright light to maintain its beautiful cream edges.
- **Aphids and mealybugs:** Small white cottony bugs may appear on stems. Wipe with neem oil solution.
- **Root rot:** Caused by overwatering or poor drainage. The stems become soft and mushy. Reduce watering and ensure good drainage.
- **Spider mites:** Tiny pests that cause fine webbing and yellowing. Increase humidity and spray with water or neem oil.</t>
        </is>
      </c>
      <c r="V51" s="98">
        <f>HYPERLINK("https://rosaryplanthouse.com/plant/"&amp;A51&amp;"-"&amp;SUBSTITUTE(LOWER(E51), " ", "-"))</f>
        <v/>
      </c>
      <c r="W51" t="inlineStr">
        <is>
          <t>🟢 Wax Ivy (ID: 50)
🌿 Meet the stunning Wax Ivy, your new favorite trailing companion! With its captivating waxy leaves and creamy edges, this beauty is here to elevate your indoor jungle! 🪴✨
🌱 **About:** The Wax Ivy (Senecio macroglossus) isn’t just a pretty face; it’s a resilient plant native to the warm climates of South Africa and Zimbabwe. Perfect for those who want low-maintenance greenery that thrives in bright, indirect light! 
💡 **Key Details:**
- **Watering:** Low—water every 7 to 10 days 
- **Sunlight:** Medium—4 to 6 hours of bright, indirect light
- **Growth:** Fast-growing and perfect for hanging or climbing
👉 Ready to add this green gem to your collection? Check out the link in bio! 
#WaxIvy #SenecioMacroglossus #IndoorPlants #PlantLovers #HangingPlants #GreenThumb #HomeDecor #PlantParent #PlantCare #Succulent #RosaryPlantHouse 🌱💚✨</t>
        </is>
      </c>
    </row>
    <row r="52" ht="99.5" customHeight="1">
      <c r="A52" s="73" t="n">
        <v>51</v>
      </c>
      <c r="B52" s="74" t="inlineStr">
        <is>
          <t>Camelia</t>
        </is>
      </c>
      <c r="C52" s="74">
        <f>IF(Local!H52,"1","0")</f>
        <v/>
      </c>
      <c r="D52" s="75" t="n">
        <v>89</v>
      </c>
      <c r="E52" s="66" t="inlineStr">
        <is>
          <t>Camellia japonica</t>
        </is>
      </c>
      <c r="F52" s="76">
        <f>"public/sale_plants/"&amp;A52&amp;".jpg"</f>
        <v/>
      </c>
      <c r="G52" s="77" t="inlineStr">
        <is>
          <t>(4"-5")</t>
        </is>
      </c>
      <c r="H52" s="78" t="inlineStr">
        <is>
          <t>Moderate</t>
        </is>
      </c>
      <c r="I52" s="66" t="inlineStr">
        <is>
          <t>Medium</t>
        </is>
      </c>
      <c r="J52" s="66" t="inlineStr">
        <is>
          <t>Medium</t>
        </is>
      </c>
      <c r="K52" s="79" t="n">
        <v>149</v>
      </c>
      <c r="L52" s="80" t="inlineStr">
        <is>
          <t>Others</t>
        </is>
      </c>
      <c r="M52" s="80" t="n">
        <v>0</v>
      </c>
      <c r="N52" s="80" t="n">
        <v>0</v>
      </c>
      <c r="O52" s="81" t="n">
        <v>0</v>
      </c>
      <c r="P52" s="81" t="n">
        <v>0</v>
      </c>
      <c r="Q52" s="81">
        <f>IF(Local!I52=TRUE,1,0)</f>
        <v/>
      </c>
      <c r="R52" s="81">
        <f>Local!D52</f>
        <v/>
      </c>
      <c r="S52" s="81">
        <f>Local!F52</f>
        <v/>
      </c>
      <c r="T52" s="81">
        <f>Local!G52</f>
        <v/>
      </c>
      <c r="U52" s="83" t="inlineStr">
        <is>
          <t>## About
Camellia is a beautiful evergreen flowering plant known for its glossy, dark green leaves and stunning rose-like flowers. Native to East Asia, this plant is loved by gardeners worldwide for its elegant appearance and ability to bloom during cooler months when most other plants are dormant.
## Origin
Camellia originally comes from China, Japan, and other parts of East Asia. It grows naturally in forest areas with cool, humid conditions. The plant has been cultivated for centuries in Asian countries and is now popular in gardens and homes around the world, including India.
## Temperature &amp; Humidity
- **Temperature Range:** 10Â°C to 25Â°C
- **Humidity:** Camellias prefer moderate to high humidity, ideally between 50% to 70%. In drier climates, misting the leaves regularly helps keep the plant healthy.
## Growth
Camellia is a slow to moderate growing plant that can reach 1 to 4 meters in height depending on the variety and growing conditions. It grows as a bushy shrub with dense, glossy foliage. The plant produces beautiful flowers in shades of white, pink, red, or variegated colors. Camellias grow best in cooler hill stations and areas with mild winters in India, such as Darjeeling, Ooty, and Shillong.
## Watering
- **Frequency:** Once a week depending on season and weather conditions. During hot summers, you may need to water twice a week depending on other parameters.
- **Tips:** Keep the soil consistently moist but not waterlogged. Camellias do not like to dry out completely, but overwatering can cause root rot. Use room temperature water and avoid hard water if possible. Water more during flowering and active growth periods.
## Sunlight
- **Hours per day:** 4 to 6 hours
- **Type:** Bright indirect light or filtered sunlight. Morning sun with afternoon shade is ideal. Avoid harsh direct afternoon sun as it can burn the leaves.
## Care Tips
- Grow Camellias in cooler regions of India or in controlled indoor environments with good air circulation
- Protect from strong winds and harsh afternoon sun, especially during summer months
- Remove dead flowers and leaves regularly to encourage new blooms and maintain plant health
- Mulch around the base to retain moisture and keep roots cool
- Avoid planting near trees with aggressive root systems that compete for nutrients
- In hot Indian climates, grow in pots so you can move them to cooler spots during extreme heat
## Growth Tips
- Use well-draining, acidic soil with pH between 5.5 and 6.5. Mix peat moss, pine bark, or compost with regular potting soil
- Feed with acid-loving plant fertilizer once a month during the growing season (spring and summer)
- Apply a balanced liquid fertilizer diluted to half strength, or use organic compost
- Repot young plants every 2 years and mature plants every 3-4 years in spring after flowering
- Prune lightly after flowering to maintain shape and remove dead or weak branches
- Propagate through stem cuttings taken in late summer or early autumn
## Common Problems
- **Yellow leaves:** Usually caused by alkaline soil or chlorosis due to lack of iron. Use acidic soil and iron supplements
- **Bud drop:** Happens when plants experience sudden temperature changes, underwatering, or overwatering. Keep conditions stable
- **Brown leaf edges:** Sign of low humidity, too much direct sun, or salt buildup from hard water
- **Pests:** Watch for aphids, scale insects, and spider mites. Treat with neem oil spray or insecticidal soap
- **Root rot:** Caused by overwatering or poor drainage. Ensure pots have drainage holes and soil drains well
- **No flowers:** May result from insufficient light, wrong pruning time, or extreme heat. Ensure proper growing conditions</t>
        </is>
      </c>
      <c r="V52" s="98">
        <f>HYPERLINK("https://rosaryplanthouse.com/plant/"&amp;A52&amp;"-"&amp;SUBSTITUTE(LOWER(E52), " ", "-"))</f>
        <v/>
      </c>
      <c r="W52" t="inlineStr">
        <is>
          <t>🟢 Camellia japonica (ID: 51)  
🌸 Blooming Beauty Alert! 🌸 Meet the Camellia, your new evergreen companion that brings elegance and charm to any space! This stunning plant is not just a feast for the eyes with its glossy, dark green leaves and rose-like flowers, but it's also a symbol of resilience, blooming during the cooler months when most plants are resting.  
✨ **About the Camellia:**  
Originating from the lush forests of East Asia, this gorgeous plant thrives in cool, humid conditions and can grow into a bushy shrub adorned with beautiful flowers in shades of white, pink, red, or variegated colors. Ideal for gardeners seeking a touch of sophistication!  
🌿 **Key Details:**  
- **Watering:** Keep the soil consistently moist but not waterlogged.  
- **Sunlight:** Prefers bright indirect light—perfect for morning sunshine!  
- **Humidity:** Loves moderate to high humidity, so mist those leaves!  
👉 Ready to add this breathtaking beauty to your collection? **Link in bio!**  
#Camellia #PlantLover #IndoorPlants #Gardening #PlantCare #FloweringPlants #GreenThumb #PlantGoals #Ecommerce #RosaryPlantHouse #Houseplants #HomeDecor #NatureLovers #PlantParent #BotanicalBeauty</t>
        </is>
      </c>
    </row>
    <row r="53" ht="99.5" customHeight="1">
      <c r="A53" s="73" t="n">
        <v>52</v>
      </c>
      <c r="B53" s="74" t="inlineStr">
        <is>
          <t>Jade</t>
        </is>
      </c>
      <c r="C53" s="74">
        <f>IF(Local!H53,"1","0")</f>
        <v/>
      </c>
      <c r="D53" s="75" t="n">
        <v>59</v>
      </c>
      <c r="E53" s="66" t="inlineStr">
        <is>
          <t>Crassula ovata</t>
        </is>
      </c>
      <c r="F53" s="76">
        <f>"public/sale_plants/"&amp;A53&amp;".jpg"</f>
        <v/>
      </c>
      <c r="G53" s="77" t="inlineStr">
        <is>
          <t>(2"-3")</t>
        </is>
      </c>
      <c r="H53" s="78" t="inlineStr">
        <is>
          <t>Low</t>
        </is>
      </c>
      <c r="I53" s="66" t="inlineStr">
        <is>
          <t>Low</t>
        </is>
      </c>
      <c r="J53" s="66" t="inlineStr">
        <is>
          <t>Medium</t>
        </is>
      </c>
      <c r="K53" s="79" t="n">
        <v>59</v>
      </c>
      <c r="L53" s="80" t="inlineStr">
        <is>
          <t>Jade</t>
        </is>
      </c>
      <c r="M53" s="80" t="n">
        <v>0</v>
      </c>
      <c r="N53" s="80" t="n">
        <v>0</v>
      </c>
      <c r="O53" s="81" t="n">
        <v>0</v>
      </c>
      <c r="P53" s="80" t="n">
        <v>1</v>
      </c>
      <c r="Q53" s="81">
        <f>IF(Local!I53=TRUE,1,0)</f>
        <v/>
      </c>
      <c r="R53" s="81">
        <f>Local!D53</f>
        <v/>
      </c>
      <c r="S53" s="81">
        <f>Local!F53</f>
        <v/>
      </c>
      <c r="T53" s="81">
        <f>Local!G53</f>
        <v/>
      </c>
      <c r="U53" s="83" t="inlineStr">
        <is>
          <t>## About
The Jade Plant, also known as the Money Plant or Lucky Plant, is a popular succulent loved for its thick, rounded, glossy green leaves and tree-like appearance. Originally from South Africa, this hardy plant is considered auspicious in many cultures and is believed to bring good luck, prosperity, and positive energy to homes.
## Origin
The Jade Plant is native to South Africa and Mozambique. It grows naturally in rocky, dry areas with well-draining soil. Over time, it has become one of the most popular houseplants worldwide due to its easy care requirements and attractive appearance.
## Temperature &amp; Humidity
- **Temperature Range:** 15Â°C to 30Â°C (can tolerate slightly higher temperatures in Indian summers)
- **Humidity:** Low to moderate humidity (30% to 50%). The Jade Plant is not fussy about humidity and adapts well to dry indoor conditions, making it perfect for Indian homes.
## Growth
The Jade Plant is a slow-growing succulent that can eventually reach 60 to 90 cm in height when grown indoors, and even taller outdoors. It develops a thick, woody stem over time, resembling a miniature tree. The plant grows upright with a bushy appearance. Leaves are thick, oval-shaped, and store water. With proper care and patience, it can live for many decades and become a beautiful bonsai-like specimen.
## Watering
- **Frequency:** Once every 10 to 14 days depending on season and weather conditions. Water less frequently in monsoon and winter, and slightly more often during hot, dry summer months.
- **Tips:** Allow the soil to dry out completely between waterings. Overwatering is the most common mistake with Jade Plants. Water thoroughly until it drains from the bottom, then let the soil dry. Reduce watering significantly during the winter months. Use the finger testâ€”stick your finger 2-3 cm into the soil; if it feels dry, it's time to water.
## Sunlight
- **Hours per day:** 4 to 6 hours
- **Type:** Bright indirect light or direct morning sunlight. The Jade Plant loves light and needs good exposure to maintain its compact shape and vibrant green color. In Indian climate, avoid harsh afternoon sun during peak summer as it may scorch the leaves. A bright windowsill or a spot with filtered sunlight works perfectly indoors.
## Care Tips
- Place your Jade Plant near an east or west-facing window for best results in Indian homes
- Rotate the pot every few weeks to ensure even growth on all sides
- Wipe the leaves gently with a damp cloth to remove dust and allow better light absorption
- Avoid placing the plant in areas with cold drafts from air conditioners
- During Indian summers (April-June), provide some shade during the hottest part of the day if kept outdoors
- In monsoon season, protect the plant from continuous rain and reduce watering frequency
- Jade Plants are pet-friendly concerns, but mildly toxic if ingested in large quantities, so keep away from curious pets
## Growth Tips
- Use well-draining soilâ€”a cactus or succulent mix works best. You can also make your own by mixing regular potting soil with sand and perlite in equal parts
- Fertilize sparinglyâ€”once every 2 to 3 months during the growing season (spring and summer) with a diluted liquid succulent fertilizer
- Repot only when the plant becomes root-bound, typically every 2 to 3 years. Choose a pot only slightly larger than the current one
- Pruning is optional but can help maintain shape and encourage bushier growth. Prune during the growing season
- Propagation is very easyâ€”simply take a leaf or stem cutting, let it dry for a day or two, then plant in soil. It will root within a few weeks
## Common Problems
- **Yellowing or mushy leaves:** Usually caused by overwatering or poor drainage. Let the soil dry out completely and reduce watering frequency
- **Wrinkled or shriveled leaves:** Sign of underwatering. The plant needs a thorough drink
- **Leaf drop:** Can happen due to sudden temperature changes, overwatering, or lack of light
- **Leggy or stretched growth:** Caused by insufficient light. Move the plant to a brighter location
- **White powdery spots on leaves:** Powdery mildew or mealybugs. Wipe leaves with a cotton swab dipped in rubbing alcohol or neem oil solution
- **Brown or black spots:** Could be fungal infection from excess moisture or sunburn from harsh direct sunlight
- **Root rot:** Caused by overwatering and poor drainage. If caught early, trim affected roots and repot in fresh, dry soil</t>
        </is>
      </c>
      <c r="V53" s="98">
        <f>HYPERLINK("https://rosaryplanthouse.com/plant/"&amp;A53&amp;"-"&amp;SUBSTITUTE(LOWER(E53), " ", "-"))</f>
        <v/>
      </c>
      <c r="W53" t="inlineStr">
        <is>
          <t>🟢 Crassula ovata (ID: 52)
✨ Meet the enchanting Jade Plant, also known as the Money Plant or Lucky Plant! 🌱 This succulent is not just a beautiful addition to your home but is also believed to bring good luck and prosperity. 
🌍 Originating from the rocky landscapes of South Africa, the Jade Plant thrives in low to moderate humidity, making it the perfect companion for indoor spaces. Its thick, glossy leaves and tree-like structure can bring a touch of nature right into your living room! 
🔑 **Key Details:**
- 🌞 **Sunlight:** Bright indirect light or direct morning sun 
- 💧 **Watering:** Every 10-14 days, let the soil dry out completely 
- 🌡️ **Temperature:** Thrives between 15°C to 30°C 
📲 Ready to welcome this lucky charm into your home? Check out the link in bio! 
#JadePlant #CrassulaOvata #Houseplants #IndoorPlants #PlantLovers #SucculentLove #GreenThumb #HomeDecor #PlantParent #GoodLuckPlant #RosaryPlantHouse #PlantCare #EcoFriendlyLiving</t>
        </is>
      </c>
    </row>
    <row r="54" ht="99.5" customHeight="1">
      <c r="A54" s="73" t="n">
        <v>53</v>
      </c>
      <c r="B54" s="74" t="inlineStr">
        <is>
          <t>Haworthia Zebra</t>
        </is>
      </c>
      <c r="C54" s="74">
        <f>IF(Local!H54,"1","0")</f>
        <v/>
      </c>
      <c r="D54" s="75" t="n">
        <v>59</v>
      </c>
      <c r="E54" s="66" t="inlineStr">
        <is>
          <t>Haworthiopsis fasciata</t>
        </is>
      </c>
      <c r="F54" s="76">
        <f>"public/sale_plants/"&amp;A54&amp;".jpg"</f>
        <v/>
      </c>
      <c r="G54" s="77" t="inlineStr">
        <is>
          <t>(2"-3")</t>
        </is>
      </c>
      <c r="H54" s="78" t="inlineStr">
        <is>
          <t>Low</t>
        </is>
      </c>
      <c r="I54" s="66" t="inlineStr">
        <is>
          <t>Low</t>
        </is>
      </c>
      <c r="J54" s="66" t="inlineStr">
        <is>
          <t>Medium</t>
        </is>
      </c>
      <c r="K54" s="79" t="n">
        <v>120</v>
      </c>
      <c r="L54" s="80" t="inlineStr">
        <is>
          <t>Haworthia</t>
        </is>
      </c>
      <c r="M54" s="80" t="n">
        <v>0</v>
      </c>
      <c r="N54" s="80" t="n">
        <v>0</v>
      </c>
      <c r="O54" s="81" t="n">
        <v>0</v>
      </c>
      <c r="P54" s="80" t="n">
        <v>1</v>
      </c>
      <c r="Q54" s="81">
        <f>IF(Local!I54=TRUE,1,0)</f>
        <v/>
      </c>
      <c r="R54" s="81">
        <f>Local!D54</f>
        <v/>
      </c>
      <c r="S54" s="81">
        <f>Local!F54</f>
        <v/>
      </c>
      <c r="T54" s="81">
        <f>Local!G54</f>
        <v/>
      </c>
      <c r="U54" s="83" t="inlineStr">
        <is>
          <t>## About
The Zebra Plant is a small, attractive succulent with striking white horizontal stripes on dark green leaves. It is a popular houseplant that is easy to care for and perfect for beginners. Native to South Africa, this plant grows in a rosette pattern and stays compact, making it ideal for small spaces.
## Origin
The Zebra Plant originates from the Eastern Cape Province of South Africa. In its natural habitat, it grows on rocky hillsides and in grasslands where it receives filtered sunlight and has excellent drainage. The plant has adapted to survive in semi-arid conditions with irregular rainfall.
## Temperature &amp; Humidity
- **Temperature Range:** 15Â°C to 30Â°C (ideal range is 18Â°C to 25Â°C)
- **Humidity:** Low to moderate humidity (30% to 50%). The plant tolerates dry air very well and does not require high humidity. Indian climate conditions are generally suitable, though extra care is needed during very hot summers above 35Â°C.
## Growth
The Zebra Plant is a slow-growing succulent that typically reaches 10 to 15 cm in height and spreads about 10 cm wide. It grows in a compact rosette form with thick, triangular leaves arranged in a spiral pattern. The distinctive white horizontal bands on the outer surface of the leaves give it the zebra-like appearance. The plant produces offsets (baby plants) at the base, which can be separated for propagation. Growth is slowest during winter months and picks up during spring and summer.
## Watering
- **Frequency:** Once every two weeks depending on season and weather conditions. In hot Indian summers, you may need to water once a week, while in monsoon and winter, once every three weeks is sufficient.
- **Tips:** Always check if the soil is completely dry before watering. Water thoroughly until water drains out from the bottom, then discard excess water from the saucer. Avoid getting water on the leaves or in the center of the rosette as this can cause rot. Reduce watering significantly during monsoon season and winter months. The plant is drought-tolerant and can survive missed waterings better than overwatering.
## Sunlight
- **Hours per day:** 3 to 4 hours of bright indirect light
- **Type:** Bright indirect or filtered light is best. The plant can tolerate a few hours of gentle morning sun but avoid harsh afternoon sunlight which can scorch the leaves and turn them brown or reddish. East-facing windows work perfectly in Indian homes.
## Care Tips
- Keep the plant in a well-ventilated area, especially during humid monsoon months to prevent fungal issues
- Protect from direct afternoon sun during peak Indian summer (April to June) as leaves can get sunburned
- In winter, reduce watering and keep the plant in a warmer spot if temperatures drop below 10Â°C
- Clean the leaves gently with a soft brush to remove dust and maintain the plant's appearance
- Ensure the pot has drainage holes to prevent waterlogging
- During monsoon, move the plant to a covered area or reduce watering frequency significantly
- The plant can be kept on tabletops, shelves, or windowsills with good light
## Growth Tips
- Use a well-draining cactus or succulent potting mix, or create your own by mixing regular potting soil with cocopeat and perlite or sand in a 1:1:1 ratio
- Add a layer of small stones or gravel at the bottom of the pot for extra drainage
- Feed with a diluted succulent fertilizer once every 2 to 3 months during the growing season (spring and summer)
- Repot every 2 to 3 years or when the plant becomes root-bound or produces many offsets
- Choose a shallow pot as the root system is not very deep
- When repotting, separate offsets carefully and plant them in individual pots to grow new plants
- Allow the plant to rest during winter by reducing water and skipping fertilizer
## Common Problems
- **Brown or reddish leaves:** Too much direct sunlight causing sunburn; move to a shadier location with filtered light
- **Soft, mushy leaves or rotting base:** Overwatering or poor drainage; reduce watering frequency and ensure proper drainage
- **Leaves turning pale or losing stripes:** Insufficient light; move to a brighter spot with more indirect sunlight
- **Stretching or elongated growth:** Not enough light causing the plant to stretch toward light sources; relocate to a brighter area
- **Brown leaf tips:** Underwatering or low humidity; slightly increase watering frequency during very hot months
- **Mealybugs (white cottony pests):** Common in humid conditions; remove with cotton swabs dipped in rubbing alcohol
- **Slow or no growth:** Normal during winter; also check if the plant is root-bound and needs repotting
- **Yellowing leaves:** Natural aging of lower leaves, or could indicate overwatering if multiple leaves are affected</t>
        </is>
      </c>
      <c r="V54" s="98">
        <f>HYPERLINK("https://rosaryplanthouse.com/plant/"&amp;A54&amp;"-"&amp;SUBSTITUTE(LOWER(E54), " ", "-"))</f>
        <v/>
      </c>
      <c r="W54" t="inlineStr">
        <is>
          <t>🟢 Haworthiopsis fasciata (ID: 53)
✨ Meet the stunning Haworthia Zebra! 🌿 This striking succulent is not just a feast for the eyes but also a low-maintenance companion perfect for plant enthusiasts of all levels! 
🌍 Originating from the rocky hills of South Africa, this compact beauty boasts thick, triangular leaves adorned with mesmerizing white stripes. Its unique rosette form makes it an ideal addition to any indoor space, especially if you're looking to enhance your home decor with a touch of nature. 
🌱 **Key Details:**
- **Watering:** Low, only every 2 weeks (or weekly in hot months)
- **Sunlight:** Enjoys 3-4 hours of bright indirect light
- **Care Tips:** Perfect for beginners, easy to propagate!
Don’t miss out on adding this gorgeous plant to your collection! 🌟 Check the link in bio to grab yours today! 
#HaworthiaZebra #IndoorPlants #SucculentLove #PlantCare #HousePlantClub #PlantParent #GreenThumb #RosaryPlantHouse #PlantGoals #HomeDecor #PlantLovers #SucculentCollection #SouthAfricanPlants</t>
        </is>
      </c>
    </row>
    <row r="55" ht="99.5" customHeight="1">
      <c r="A55" s="73" t="n">
        <v>54</v>
      </c>
      <c r="B55" s="74" t="inlineStr">
        <is>
          <t>Cob Web</t>
        </is>
      </c>
      <c r="C55" s="74">
        <f>IF(Local!H55,"1","0")</f>
        <v/>
      </c>
      <c r="D55" s="75" t="n">
        <v>59</v>
      </c>
      <c r="E55" s="66" t="inlineStr">
        <is>
          <t>Sempervivum arachnoideum</t>
        </is>
      </c>
      <c r="F55" s="76">
        <f>"public/sale_plants/"&amp;A55&amp;".jpg"</f>
        <v/>
      </c>
      <c r="G55" s="77" t="inlineStr">
        <is>
          <t>(1.5"-2")</t>
        </is>
      </c>
      <c r="H55" s="78" t="inlineStr">
        <is>
          <t>High</t>
        </is>
      </c>
      <c r="I55" s="66" t="inlineStr">
        <is>
          <t>Low</t>
        </is>
      </c>
      <c r="J55" s="66" t="inlineStr">
        <is>
          <t>High</t>
        </is>
      </c>
      <c r="K55" s="79" t="n">
        <v>79</v>
      </c>
      <c r="L55" s="80" t="inlineStr">
        <is>
          <t>Succulent</t>
        </is>
      </c>
      <c r="M55" s="80" t="n">
        <v>0</v>
      </c>
      <c r="N55" s="80" t="n">
        <v>0</v>
      </c>
      <c r="O55" s="81" t="n">
        <v>0</v>
      </c>
      <c r="P55" s="81" t="n">
        <v>0</v>
      </c>
      <c r="Q55" s="81">
        <f>IF(Local!I55=TRUE,1,0)</f>
        <v/>
      </c>
      <c r="R55" s="81">
        <f>Local!D55</f>
        <v/>
      </c>
      <c r="S55" s="81">
        <f>Local!F55</f>
        <v/>
      </c>
      <c r="T55" s="81">
        <f>Local!G55</f>
        <v/>
      </c>
      <c r="U55" s="83" t="inlineStr">
        <is>
          <t>## About
The Cobweb Houseleek is a beautiful succulent that looks like a small rosette covered with delicate white cobweb-like threads. This plant is native to mountainous regions and is loved by gardeners for its unique appearance and easy care requirements.
## Origin
This succulent comes from the mountains of Europe, particularly the Alps and Pyrenees. It grows naturally in rocky areas, on stone walls, and in mountain slopes where it can handle cold temperatures and dry conditions.
## Temperature &amp; Humidity
- **Temperature Range:** 10Â°C to 35Â°C (can tolerate brief periods down to -20Â°C in winter)
- **Humidity:** Low to moderate humidity (30% to 50%). This plant prefers drier conditions and does not need high humidity. In fact, too much moisture in the air combined with poor air circulation can cause problems.
## Growth
This is a small, compact succulent that forms tight rosettes measuring 2 to 5 cm across. The plant spreads slowly by producing small baby plants (offsets) around the mother rosette. Over time, it creates a beautiful mat or cluster of rosettes. Growth is relatively slow but steady. The plant stays low to the ground, making it perfect for small pots, rock gardens, or dish gardens.
## Watering
- **Frequency:** Once every two weeks depending on season and weather conditions. Water less in monsoon and winter, slightly more in hot summer months.
- **Tips:** Always check if the soil is completely dry before watering. Water at the base of the plant, avoiding the rosette center to prevent rot. The cobweb threads should remain dry. In the rainy season, protect from continuous rain as too much water will cause the plant to rot. Good drainage is absolutely essential.
## Sunlight
- **Hours per day:** 4 to 6 hours
- **Type:** Bright direct sunlight is best. This plant loves morning sun. In extremely hot Indian summers (above 40Â°C), provide some afternoon shade to prevent leaf burn. Can tolerate partial shade but colors and growth will be best in full sun.
## Care Tips
- Provide excellent drainage using porous soil and pots with drainage holes
- In Indian monsoons, move the plant to a covered area or reduce watering completely
- This plant can handle cold winters well, even light frost, so no special protection needed in most Indian regions
- Avoid overhead watering to keep the cobweb threads intact
- Remove dead leaves from the base to prevent pest problems
- The white cobweb appearance becomes more prominent in cooler weather and with good light
## Growth Tips
- Use a well-draining cactus or succulent soil mix with added perlite, coarse sand, or pumice
- Fertilizer is rarely needed, but you can apply a diluted (quarter strength) succulent fertilizer once in spring
- Repot only when the cluster has outgrown its container, usually every 2-3 years
- Terracotta pots are ideal as they allow soil to dry quickly
- Propagate easily by separating the baby offsets and planting them in fresh soil
## Common Problems
- **Root rot:** Caused by overwatering or poor drainage. The rosette becomes mushy and dark.
- **Stretched growth (etiolation):** Happens when the plant does not get enough sunlight. Rosettes become loose and elongated.
- **Loss of cobweb threads:** Usually due to overhead watering, high humidity, or insufficient light.
- **Mealybugs:** White cottony pests that hide between leaves. Remove with cotton swabs dipped in rubbing alcohol.
- **Leaf discoloration:** Can turn brown if sunburned during extreme summer heat above 42Â°C. Provide afternoon shade in peak summer.
- **Rotting during monsoon:** Very common in coastal and high rainfall areas. Always provide shelter from rain.</t>
        </is>
      </c>
      <c r="V55" s="98">
        <f>HYPERLINK("https://rosaryplanthouse.com/plant/"&amp;A55&amp;"-"&amp;SUBSTITUTE(LOWER(E55), " ", "-"))</f>
        <v/>
      </c>
      <c r="W55" t="inlineStr">
        <is>
          <t>🟢 Sempervivum arachnoideum (ID: 54)  
🌿 Meet the stunning Cob Web Houseleek! 🌿 This unique succulent boasts delicate white cobweb-like threads that give it a captivating appearance, making it a must-have for any plant lover! 
🪴 About: Native to the rocky mountains of Europe, the Cob Web thrives in arid conditions and is loved for its low maintenance needs. Perfect for rock gardens or small pots, this compact beauty will create a mesmerizing cluster of rosettes over time!
✨ Key Details:  
- **Sunlight:** Prefers 4-6 hours of bright direct sunlight.  
- **Watering:** Water every two weeks, ensuring the soil is completely dry before the next drink!  
- **Temperature:** Handles a range from 10°C to 35°C and can tolerate brief frost!  
- **Care Tips:** Excellent drainage is key! Avoid overhead watering to keep those beautiful cobweb threads intact.
👉 Want to add this unique succulent to your collection? Check out the link in bio! 
#CobWebHouseleek #Sempervivum #SucculentLove #PlantGoals #IndoorPlants #SucculentCare #GreenThumb #RosaryPlantHouse #PlantParent #GardenInspiration #PlantLovers #HomeDecor #SucculentCollection #NatureLovers #PlantAesthetic</t>
        </is>
      </c>
    </row>
    <row r="56" ht="99.5" customHeight="1">
      <c r="A56" s="73" t="n">
        <v>55</v>
      </c>
      <c r="B56" s="74" t="inlineStr">
        <is>
          <t>camp fire</t>
        </is>
      </c>
      <c r="C56" s="74">
        <f>IF(Local!H56,"1","0")</f>
        <v/>
      </c>
      <c r="D56" s="75" t="n">
        <v>69</v>
      </c>
      <c r="E56" s="66" t="inlineStr">
        <is>
          <t>Crassula capitella 'Campfire'</t>
        </is>
      </c>
      <c r="F56" s="76">
        <f>"public/sale_plants/"&amp;A56&amp;".jpg"</f>
        <v/>
      </c>
      <c r="G56" s="77" t="inlineStr">
        <is>
          <t>(2"-3")</t>
        </is>
      </c>
      <c r="H56" s="78" t="inlineStr">
        <is>
          <t>Low</t>
        </is>
      </c>
      <c r="I56" s="66" t="inlineStr">
        <is>
          <t>Low</t>
        </is>
      </c>
      <c r="J56" s="66" t="inlineStr">
        <is>
          <t>High</t>
        </is>
      </c>
      <c r="K56" s="79" t="n">
        <v>79</v>
      </c>
      <c r="L56" s="80" t="inlineStr">
        <is>
          <t>Crassula</t>
        </is>
      </c>
      <c r="M56" s="80" t="n">
        <v>0</v>
      </c>
      <c r="N56" s="80" t="n">
        <v>0</v>
      </c>
      <c r="O56" s="81" t="n">
        <v>0</v>
      </c>
      <c r="P56" s="80" t="n">
        <v>0</v>
      </c>
      <c r="Q56" s="81">
        <f>IF(Local!I56=TRUE,1,0)</f>
        <v/>
      </c>
      <c r="R56" s="81">
        <f>Local!D56</f>
        <v/>
      </c>
      <c r="S56" s="81">
        <f>Local!F56</f>
        <v/>
      </c>
      <c r="T56" s="81">
        <f>Local!G56</f>
        <v/>
      </c>
      <c r="U56" s="83" t="inlineStr">
        <is>
          <t>## About
The Campfire Crassula is a stunning succulent that gets its name from the bright red and orange colors that appear on its leaf tips, especially when exposed to bright sunlight and cooler temperatures. This eye-catching plant forms beautiful rosettes of fleshy, pointed leaves that change from bright green to vibrant red, creating a dramatic color display that resembles a campfire.
## Origin
This plant is native to South Africa, where it grows in rocky, well-drained areas. It belongs to the Crassula family, which includes many popular succulent varieties. In its natural habitat, it thrives in sunny, dry conditions with minimal rainfall.
## Temperature &amp; Humidity
- **Temperature Range:** 15Â°C to 35Â°C
- **Humidity:** Low to moderate humidity (30% to 50%). This plant does very well in dry conditions and is well-suited to most Indian climates, especially during the dry season. It can tolerate the heat of Indian summers but should be protected from frost in colder regions.
## Growth
Campfire Crassula is a compact, slow-growing succulent that typically reaches 15 to 20 cm in height and spreads about 20 to 30 cm wide. It forms tight rosettes that can multiply and create clusters over time. The plant grows in an upright to slightly sprawling manner. During active growth periods (spring and autumn), it grows faster, while growth slows down during extreme summer heat and winter cold.
## Watering
- **Frequency:** Water once every 10-15 days depending on season and weather conditions. In monsoon season, reduce watering significantly or stop completely if the plant is kept outdoors.
- **Tips:** Always allow the soil to dry out completely between watering sessions. Water thoroughly until water drains from the bottom, but never let the plant sit in standing water. Reduce watering in winter months. Overwatering is the biggest enemy of this plant. In Indian summers, you may need to water slightly more often, but always check soil dryness first.
## Sunlight
- **Hours per day:** 4 to 6 hours
- **Type:** Direct sunlight is best for bringing out the vibrant red and orange colors. The plant can handle full sun, especially morning sun. However, in extremely hot Indian summers (above 40Â°C), provide some afternoon shade to prevent leaf burn. Indoor plants should be placed near a south or west-facing window.
## Care Tips
- Place in the brightest spot available to enhance the beautiful red coloring on leaf tips
- Protect from heavy monsoon rains as excess moisture can cause root rot
- In North India, bring indoors or protect from frost during winter months
- The plant is low-maintenance and perfect for beginners
- Clean leaves occasionally with a soft brush to remove dust
- Good air circulation is important to prevent fungal issues, especially during humid months
- During peak summer, if leaves start looking shriveled, provide a bit more water
## Growth Tips
- Use a well-draining succulent or cactus potting mix. You can make your own by mixing regular potting soil with cocopeat and perlite or sand in equal parts
- Add a layer of small pebbles or gravel at the bottom of the pot for extra drainage
- Fertilize sparingly â€“ once every 2-3 months during the growing season with a diluted succulent fertilizer
- Repot every 2-3 years in spring using fresh soil mix
- Propagation is very easy through leaf or stem cuttings. Let cuttings dry for 2-3 days before planting
- Terracotta pots work best as they allow soil to dry out faster
## Common Problems
- **Yellow, mushy leaves:** Sign of overwatering and root rot. Reduce watering immediately and check roots for rot
- **Brown, crispy leaf tips:** Too much direct sun during extreme heat or underwatering. Provide some afternoon shade in peak summer
- **Leaves staying green without red color:** Not enough sunlight. Move to a brighter location
- **Stretched, leggy growth:** Insufficient light causing the plant to stretch toward light source
- **Mealybugs:** White cottony bugs that appear in leaf joints. Remove with cotton swab dipped in rubbing alcohol
- **Leaf drop:** Normal during stress from temperature changes or when adjusting to new environment
- **Fungal spots during monsoon:** Due to high humidity and poor air circulation. Reduce watering and improve ventilation</t>
        </is>
      </c>
      <c r="V56" s="98">
        <f>HYPERLINK("https://rosaryplanthouse.com/plant/"&amp;A56&amp;"-"&amp;SUBSTITUTE(LOWER(E56), " ", "-"))</f>
        <v/>
      </c>
      <c r="W56" t="inlineStr">
        <is>
          <t>🟢 Crassula capitella 'Campfire' (ID: 55)
🔥 Ignite your indoor garden with the vibrant hues of the Campfire Crassula! This stunning succulent will transform your space into a colorful oasis, mimicking the glow of a cozy campfire. 🌵✨
🌟 **About**: The Campfire Crassula is known for its spectacular red and orange leaf tips that flourish under bright sunlight. Native to South Africa, this compact beauty thrives in dry conditions, making it the perfect low-maintenance addition to your plant collection.
🌞 **Key Details**:
- **Watering**: Low frequency—only every 10-15 days!
- **Sunlight**: Loves 4-6 hours of direct sun for the best color.
- **Care**: Ideal for beginners and requires minimal fuss.
Ready to bring some fiery flair to your home? 🌿 Click the Link in bio to shop!
#Crassula #CampfireCrassula #SucculentLove #IndoorPlants #PlantParent #HomeDecor #PlantLife #SucculentCare #Gardening #PlantAddict #RosaryPlantHouse #GreenThumb #NatureLovers #PlantGoals #HousePlants #PlantCommunity</t>
        </is>
      </c>
    </row>
    <row r="57" ht="99.5" customHeight="1">
      <c r="A57" s="73" t="n">
        <v>56</v>
      </c>
      <c r="B57" s="74" t="inlineStr">
        <is>
          <t>Opentia white</t>
        </is>
      </c>
      <c r="C57" s="74">
        <f>IF(Local!H57,"1","0")</f>
        <v/>
      </c>
      <c r="D57" s="75" t="n">
        <v>49</v>
      </c>
      <c r="E57" s="66" t="inlineStr">
        <is>
          <t>Opuntia microdasys 'Albata'</t>
        </is>
      </c>
      <c r="F57" s="76">
        <f>"public/sale_plants/"&amp;A57&amp;".jpg"</f>
        <v/>
      </c>
      <c r="G57" s="77" t="inlineStr">
        <is>
          <t>(2"-3")</t>
        </is>
      </c>
      <c r="H57" s="78" t="inlineStr">
        <is>
          <t>Low</t>
        </is>
      </c>
      <c r="I57" s="66" t="inlineStr">
        <is>
          <t>Low</t>
        </is>
      </c>
      <c r="J57" s="66" t="inlineStr">
        <is>
          <t>High</t>
        </is>
      </c>
      <c r="K57" s="79" t="n">
        <v>69</v>
      </c>
      <c r="L57" s="80" t="inlineStr">
        <is>
          <t>Cactus</t>
        </is>
      </c>
      <c r="M57" s="80" t="n">
        <v>0</v>
      </c>
      <c r="N57" s="80" t="n">
        <v>0</v>
      </c>
      <c r="O57" s="81" t="n">
        <v>0</v>
      </c>
      <c r="P57" s="80" t="n">
        <v>0</v>
      </c>
      <c r="Q57" s="81">
        <f>IF(Local!I57=TRUE,1,0)</f>
        <v/>
      </c>
      <c r="R57" s="81">
        <f>Local!D57</f>
        <v/>
      </c>
      <c r="S57" s="81">
        <f>Local!F57</f>
        <v/>
      </c>
      <c r="T57" s="81">
        <f>Local!G57</f>
        <v/>
      </c>
      <c r="U57" s="83" t="inlineStr">
        <is>
          <t>## About
The Bunny Ear Cactus White is a charming variety of cactus known for its distinctive pad-shaped segments covered with white fuzzy dots (glochids). This adorable cactus gets its name from the way its pads grow in pairs, resembling bunny ears. It's a popular choice among cactus collectors and beginners due to its cute appearance and easy care requirements.
## Origin
Native to central and northern Mexico, this cactus naturally grows in warm, arid desert regions. It belongs to the Opuntia family and thrives in dry, rocky terrains where water is scarce and sunlight is abundant.
## Temperature &amp; Humidity
- **Temperature Range:** 15Â°C to 40Â°C (can tolerate higher temperatures in summer)
- **Humidity:** Prefers low humidity levels, around 20% to 40%. This cactus is well-suited to dry Indian climates and does not require humid conditions.
## Growth
This is a slow-growing cactus that typically reaches 30-60 cm in height when fully mature. It grows upright with flat, oval-shaped pads stacking on top of each other. The white dots (glochids) covering the surface are actually tiny spines that can be irritating to skin, so handle with care. The plant spreads moderately and can produce new pads from the sides and top.
## Watering
- **Frequency:** Water once every 2-3 weeks depending on season and weather conditions. In summer, you may water once every 10-14 days, while in winter reduce to once a month or less.
- **Tips:** Allow the soil to dry out completely between waterings. Water less during monsoon season and winter months. Overwatering is the biggest threat to this cactus. Always water at the base and avoid getting water on the pads. Use the soak and dry method - water thoroughly and then wait until soil is bone dry.
## Sunlight
- **Hours per day:** 5 to 8 hours
- **Type:** Direct bright sunlight is ideal. This cactus loves full sun and will thrive on sunny balconies, terraces, or windowsills that receive strong direct light.
## Care Tips
- Can be kept indoors if placed near a bright sunny window (south or west-facing in India)
- During hot Indian summers (above 40Â°C), provide some afternoon shade to prevent sunburn on pads
- Protect from heavy monsoon rains by moving under cover or indoors
- In winter, reduce watering significantly as the plant goes dormant
- Handle carefully using folded newspaper or thick gloves as the white glochids can stick to skin and cause irritation
- Good air circulation is important to prevent fungal issues during humid months
## Growth Tips
- Use well-draining cactus or succulent soil mix with added sand or perlite (50% soil, 30% sand, 20% perlite works well)
- Terracotta or clay pots are ideal as they allow excess moisture to evaporate
- Feed with diluted cactus fertilizer once during spring and once in early summer (avoid fertilizing in winter)
- Repot every 2-3 years in spring using fresh cactus mix
- Propagation is easy - simply cut a pad, let it dry for 3-5 days until callused, then plant in dry cactus mix
## Common Problems
- **Soft, mushy pads:** Caused by overwatering or poor drainage; reduce watering immediately
- **Yellowing or browning pads:** Usually from too much water or root rot; check roots and repot if needed
- **Wrinkled, shriveled pads:** Sign of underwatering, especially in peak summer; increase watering slightly
- **White cottony spots:** Mealybugs infestation; remove with cotton swab dipped in rubbing alcohol
- **Black spots:** Fungal infection from excess moisture or humidity; improve air circulation and reduce watering
- **Slow or no growth:** Insufficient sunlight or nutrients; move to brighter location and fertilize during growing season
- **Pads falling off:** Natural in some cases, but can indicate root problems or extreme stress from temperature changes</t>
        </is>
      </c>
      <c r="V57" s="98">
        <f>HYPERLINK("https://rosaryplanthouse.com/plant/"&amp;A57&amp;"-"&amp;SUBSTITUTE(LOWER(E57), " ", "-"))</f>
        <v/>
      </c>
      <c r="W57" t="inlineStr">
        <is>
          <t>🟢 Opuntia microdasys 'Albata' (ID: 56)  
🌟 Meet the adorable Bunny Ear Cactus White! 🌵 This charming variety is not just a feast for the eyes, but also a breeze to care for! With its unique pad-shaped segments and fuzzy white dots, it’s perfect for both cactus collectors and beginners alike.  
✨ **About the Plant:**  
Originating from the warm deserts of central and northern Mexico, this slow-growing cactus loves basking in bright sunlight and requires minimal watering. Its cute appearance makes it a delightful addition to any plant collection!  
🔑 **Key Details:**  
- 🌞 **Sunlight:** Thrives in direct bright sunlight (5-8 hours daily)  
- 💧 **Watering:** Low; water every 2-3 weeks  
- 🌿 **Humidity:** Prefers low humidity (20%-40%)  
👉 Ready to add this cutie to your collection? Check out the details! Link in bio!  
#BunnyEarCactus #OpuntiaMicrodasys #CactusCare #HousePlants #PlantLovers #IndoorGarden #CactusCollection #PlantAddict #GreenThumb #RosaryPlantHouse #CactusOfTheDay #PlantParenting #SucculentLove</t>
        </is>
      </c>
    </row>
    <row r="58" ht="99.5" customHeight="1">
      <c r="A58" s="73" t="n">
        <v>57</v>
      </c>
      <c r="B58" s="74" t="inlineStr">
        <is>
          <t>arrowhead</t>
        </is>
      </c>
      <c r="C58" s="74">
        <f>IF(Local!H58,"1","0")</f>
        <v/>
      </c>
      <c r="D58" s="75" t="n">
        <v>59</v>
      </c>
      <c r="E58" s="66" t="inlineStr">
        <is>
          <t>Syngonium podophyllum</t>
        </is>
      </c>
      <c r="F58" s="76">
        <f>"public/sale_plants/"&amp;A58&amp;".jpg"</f>
        <v/>
      </c>
      <c r="G58" s="77" t="inlineStr">
        <is>
          <t>(4"-5")</t>
        </is>
      </c>
      <c r="H58" s="78" t="inlineStr">
        <is>
          <t>High</t>
        </is>
      </c>
      <c r="I58" s="66" t="inlineStr">
        <is>
          <t>Medium</t>
        </is>
      </c>
      <c r="J58" s="66" t="inlineStr">
        <is>
          <t>Medium</t>
        </is>
      </c>
      <c r="K58" s="79" t="n">
        <v>99</v>
      </c>
      <c r="L58" s="80" t="inlineStr">
        <is>
          <t>Others</t>
        </is>
      </c>
      <c r="M58" s="80" t="n">
        <v>0</v>
      </c>
      <c r="N58" s="80" t="n">
        <v>0</v>
      </c>
      <c r="O58" s="81" t="n">
        <v>0</v>
      </c>
      <c r="P58" s="81" t="n">
        <v>0</v>
      </c>
      <c r="Q58" s="81">
        <f>IF(Local!I58=TRUE,1,0)</f>
        <v/>
      </c>
      <c r="R58" s="81">
        <f>Local!D58</f>
        <v/>
      </c>
      <c r="S58" s="81">
        <f>Local!F58</f>
        <v/>
      </c>
      <c r="T58" s="81">
        <f>Local!G58</f>
        <v/>
      </c>
      <c r="U58" s="83" t="inlineStr">
        <is>
          <t>## About
The Arrowhead Plant, also known as Syngonium podophyllum, is a popular indoor plant loved for its beautiful arrow-shaped leaves that come in various colors including pink, white, green, and variegated patterns. This stunning variety features gorgeous pink leaves that add a pop of color to any space. It is an easy-to-care-for tropical plant that can be grown as a climbing vine or trailing plant.
## Origin
The Arrowhead Plant is native to the tropical rainforests of Central and South America, including countries like Mexico, Brazil, and Bolivia. In its natural habitat, it grows as a climbing plant on trees and thrives in warm, humid conditions under the forest canopy.
## Temperature &amp; Humidity
- **Temperature Range:** 18Â°C to 30Â°C
- **Humidity:** Prefers moderate to high humidity levels between 50% to 70%. The plant can adapt to Indian home conditions but grows best with regular misting or when placed near a humidifier, especially during dry seasons.
## Growth
The Arrowhead Plant is a fast-growing plant that can reach lengths of 3 to 6 feet when grown indoors. Young plants have compact, bushy growth with arrow-shaped leaves, but as they mature, they develop a climbing or trailing habit with leaves that become more deeply lobed. The plant can be trained to climb on a moss pole or allowed to trail from hanging baskets. The beautiful pink color is most vibrant in younger leaves and may fade slightly as leaves mature.
## Watering
- **Frequency:** Water once or twice a week depending on the season, weather conditions, and soil moisture.
- **Tips:** Keep the soil evenly moist but not waterlogged. Water when the top inch of soil feels dry to touch. During hot Indian summers, you may need to water more frequently, while in monsoon season, reduce watering. Always check soil moisture before watering. Use room temperature water and ensure good drainage to prevent root rot.
## Sunlight
- **Hours per day:** 4 to 6 hours
- **Type:** Bright indirect light or filtered light. The pink variety needs slightly more light than green varieties to maintain its vibrant color, but direct harsh sunlight should be avoided as it can scorch the delicate leaves.
## Care Tips
- Place the plant in a spot with bright, indirect light near an east or north-facing window
- Mist the leaves regularly during hot, dry months to maintain humidity
- Wipe leaves with a damp cloth monthly to remove dust and keep them shiny
- The pink color remains brightest with adequate light but avoid direct afternoon sun
- Rotate the plant every few weeks for even growth on all sides
- Prune regularly to maintain bushy growth and control the size
- Keep away from cold drafts and air conditioners as sudden temperature changes can stress the plant
## Growth Tips
- Use well-draining potting mix with equal parts peat moss, perlite, and regular potting soil
- Feed with a balanced liquid fertilizer diluted to half strength once a month during the growing season (spring and summer)
- Repot every 1 to 2 years in spring when roots become pot-bound
- Use a pot with drainage holes to prevent water accumulation
- Provide a moss pole or trellis if you want the plant to climb
- Propagate easily through stem cuttings in water or soil during warm months
- Pinch back growing tips to encourage bushier growth
## Common Problems
- **Yellowing leaves:** Usually caused by overwatering or poor drainage. Allow soil to dry slightly between waterings
- **Brown leaf tips:** Result of low humidity or underwatering. Increase misting and check watering schedule
- **Fading pink color:** Insufficient light. Move to a brighter location with indirect light
- **Leggy growth:** Not enough light causing the plant to stretch. Provide more bright indirect light
- **Spider mites:** Common in dry conditions. Increase humidity and spray with neem oil solution
- **Root rot:** Caused by overwatering and poor drainage. Reduce watering frequency and ensure pot has drainage holes
- **Drooping leaves:** Sign of underwatering or extreme temperature stress. Water thoroughly and maintain consistent temperature</t>
        </is>
      </c>
      <c r="V58" s="98">
        <f>HYPERLINK("https://rosaryplanthouse.com/plant/"&amp;A58&amp;"-"&amp;SUBSTITUTE(LOWER(E58), " ", "-"))</f>
        <v/>
      </c>
      <c r="W58" t="inlineStr">
        <is>
          <t>🟢 Syngonium podophyllum (ID: 57)
🌿✨ Elevate your indoor jungle with the stunning Arrowhead Plant! This beauty is not just a feast for the eyes but also a breeze to care for. Its gorgeous pink leaves will add a vibrant touch to any space, making it a must-have for plant lovers! 🌸🌱
💚 **About:** The Arrowhead Plant, native to the lush rainforests of Central and South America, thrives in warm, humid conditions. As it grows, it can be trained to climb or allowed to trail, showcasing its unique arrow-shaped leaves in various colors.
🌞 **Key Details:**
- **Watering:** Medium — water once or twice a week, ensuring the top inch of soil dries out.
- **Sunlight:** Medium — prefers bright, indirect light for optimal growth and color.
- **Humidity:** Moderate to high — mist regularly for that tropical feel!
🌿 Ready to bring home this vibrant beauty? Click the 'Link in bio' to grab your Arrowhead Plant today! 
#SyngoniumPodophyllum #ArrowheadPlant #IndoorPlants #PlantLovers #HomeDecor #Houseplants #PlantCare #TropicalPlants #PinkPlants #PlantParent #GreenThumb #RosaryPlantHouse</t>
        </is>
      </c>
    </row>
    <row r="59" ht="99.5" customHeight="1">
      <c r="A59" s="73" t="n">
        <v>58</v>
      </c>
      <c r="B59" s="74" t="inlineStr">
        <is>
          <t>Indoor Big Leaf</t>
        </is>
      </c>
      <c r="C59" s="74">
        <f>IF(Local!H59,"1","0")</f>
        <v/>
      </c>
      <c r="D59" s="75" t="n">
        <v>79</v>
      </c>
      <c r="E59" s="66" t="inlineStr">
        <is>
          <t>Scilla siberica (likely Scilla violacea or similar spotted Scilla species)</t>
        </is>
      </c>
      <c r="F59" s="76">
        <f>"public/sale_plants/"&amp;A59&amp;".jpg"</f>
        <v/>
      </c>
      <c r="G59" s="77" t="inlineStr">
        <is>
          <t>(2"-3")</t>
        </is>
      </c>
      <c r="H59" s="78" t="inlineStr">
        <is>
          <t>Moderate</t>
        </is>
      </c>
      <c r="I59" s="66" t="inlineStr">
        <is>
          <t>Low</t>
        </is>
      </c>
      <c r="J59" s="66" t="inlineStr">
        <is>
          <t>Medium</t>
        </is>
      </c>
      <c r="K59" s="79" t="n">
        <v>99</v>
      </c>
      <c r="L59" s="80" t="inlineStr">
        <is>
          <t>Others</t>
        </is>
      </c>
      <c r="M59" s="80" t="n">
        <v>0</v>
      </c>
      <c r="N59" s="80" t="n">
        <v>0</v>
      </c>
      <c r="O59" s="81" t="n">
        <v>0</v>
      </c>
      <c r="P59" s="80" t="n">
        <v>0</v>
      </c>
      <c r="Q59" s="81">
        <f>IF(Local!I59=TRUE,1,0)</f>
        <v/>
      </c>
      <c r="R59" s="81">
        <f>Local!D59</f>
        <v/>
      </c>
      <c r="S59" s="81">
        <f>Local!F59</f>
        <v/>
      </c>
      <c r="T59" s="81">
        <f>Local!G59</f>
        <v/>
      </c>
      <c r="U59" s="83" t="inlineStr">
        <is>
          <t>## About
Silver Squill is a beautiful succulent plant with stunning silvery-green leaves covered in dark green spots that create a unique leopard-print pattern. This charming plant grows in a rosette form and is perfect for both beginners and experienced plant lovers. It is valued for its decorative foliage and easy-going nature.
## Origin
This plant is native to South Africa, where it grows in rocky areas and dry regions. In its natural habitat, it thrives in well-draining soil and can tolerate periods of drought. The plant has adapted well to indoor conditions and is now popular worldwide as a houseplant.
## Temperature &amp; Humidity
- **Temperature Range:** 15Â°C to 30Â°C
- **Humidity:** Low to moderate humidity (30% to 50%). This plant does well in normal household humidity levels and does not require misting. It can tolerate the dry air found in most Indian homes, making it an excellent choice for indoor growing.
## Growth
Silver Squill is a slow to moderate growing plant that typically reaches 10 to 15 cm in height. The leaves grow in a rosette pattern from the center, with 3 to 6 fleshy, succulent leaves at a time. As the plant matures, it may produce offsets (baby plants) around the base, which can be separated and grown as new plants. The plant remains compact, making it ideal for small pots and windowsills.
## Watering
- **Frequency:** Once every 10-14 days depending on season and weather conditions. Water less frequently during monsoon and winter months.
- **Tips:** Allow the soil to dry out completely between waterings. Water thoroughly until it drains from the bottom, then discard excess water. During summer months in India, you may need to water slightly more often, while during cooler months, reduce watering significantly. Overwatering is the main cause of problems with this plant, so it's better to underwater than overwater.
## Sunlight
- **Hours per day:** 3 to 5 hours
- **Type:** Bright indirect light or filtered direct sunlight. A few hours of gentle morning sun is beneficial, but avoid harsh afternoon sun which can scorch the leaves. In Indian climate, an east-facing window is ideal. Can also tolerate some shade but colors may fade.
## Care Tips
- Place near a bright window but protect from intense afternoon sun, especially during Indian summers
- Rotate the pot occasionally to ensure even growth on all sides
- Wipe dust from leaves gently with a soft cloth to keep the spots visible and attractive
- During monsoon season, keep the plant in a covered area to prevent overwatering from rain
- Good air circulation is important to prevent fungal issues in humid Indian climates
- The plant can stay outdoors in shaded areas during cooler months but bring inside during extreme heat or cold
## Growth Tips
- Use a well-draining succulent or cactus soil mix; you can add extra perlite or coarse sand for better drainage
- Terracotta pots work best as they allow soil to dry faster and prevent root rot
- Fertilize once every 2-3 months during growing season (spring and summer) with diluted succulent fertilizer
- Repot every 2-3 years or when the plant outgrows its pot, preferably during spring
- When repotting, choose a pot only slightly larger than the current one
- Remove any dried or damaged leaves from the base to keep the plant healthy
## Common Problems
- **Yellow, mushy leaves:** Sign of overwatering and root rot. Reduce watering immediately and check roots for rot.
- **Wrinkled, thin leaves:** Indicates underwatering. The plant needs a thorough drink.
- **Fading spots or pale leaves:** Not enough light. Move to a brighter location.
- **Brown, crispy leaf tips:** Too much direct sun or fertilizer burn. Move away from harsh sunlight.
- **Mealybugs:** White cottony pests that appear on leaves. Wipe with rubbing alcohol or neem oil solution.
- **Slow or no growth:** Normal during winter months, but if persistent, may need more light or nutrients.
- **Base of plant rotting:** Caused by water sitting in the rosette center or overwatering. Water at soil level only.</t>
        </is>
      </c>
      <c r="V59" s="98">
        <f>HYPERLINK("https://rosaryplanthouse.com/plant/"&amp;A59&amp;"-"&amp;SUBSTITUTE(LOWER(E59), " ", "-"))</f>
        <v/>
      </c>
      <c r="W59" t="inlineStr">
        <is>
          <t>🟢 Scilla Siberica (ID: 58)
🌿 Get ready to fall in love with the stunning Silver Squill! This eye-catching succulent boasts silvery-green leaves adorned with unique dark green spots, creating a mesmerizing leopard-print effect that will elevate any indoor space. Perfect for both novice and seasoned plant enthusiasts!
✨ **About the Plant:**  
Originating from the rocky terrains of South Africa, this resilient beauty thrives in well-draining soil and is adaptable to indoor conditions. With its rosette growth pattern and occasional offsets, it’s a charming addition to your plant collection.
🌞 **Key Care Details:**  
- **Light:** Prefers bright indirect light (3-5 hours daily)  
- **Watering:** Low maintenance; water every 10-14 days, allowing the soil to dry out completely  
- **Humidity:** Thrives in normal household humidity levels  
🌱 Don’t miss out on adding this delightful plant to your home! Check out more details and make it yours—**Link in bio!**
#SilverSquill #ScillaSiberica #IndoorPlants #SucculentLove #PlantParenthood #HomeDecor #GreenThumb #PlantCollection #RosaryPlantHouse #PlantLovers #HouseplantClub #UrbanJungle #IndoorGarden #PlantCare #SucculentCare #BotanicalBeauty</t>
        </is>
      </c>
    </row>
    <row r="60" ht="99.5" customHeight="1">
      <c r="A60" s="73" t="n">
        <v>59</v>
      </c>
      <c r="B60" s="74" t="inlineStr">
        <is>
          <t>Oval Flower</t>
        </is>
      </c>
      <c r="C60" s="74">
        <f>IF(Local!H60,"1","0")</f>
        <v/>
      </c>
      <c r="D60" s="75" t="n">
        <v>59</v>
      </c>
      <c r="E60" s="66" t="inlineStr">
        <is>
          <t>Cheiridopsis denticulata</t>
        </is>
      </c>
      <c r="F60" s="76">
        <f>"public/sale_plants/"&amp;A60&amp;".jpg"</f>
        <v/>
      </c>
      <c r="G60" s="77" t="inlineStr">
        <is>
          <t>(2"-3")</t>
        </is>
      </c>
      <c r="H60" s="78" t="inlineStr">
        <is>
          <t>Low</t>
        </is>
      </c>
      <c r="I60" s="66" t="inlineStr">
        <is>
          <t>Low</t>
        </is>
      </c>
      <c r="J60" s="66" t="inlineStr">
        <is>
          <t>High</t>
        </is>
      </c>
      <c r="K60" s="79" t="n">
        <v>69</v>
      </c>
      <c r="L60" s="80" t="inlineStr">
        <is>
          <t>Succulent</t>
        </is>
      </c>
      <c r="M60" s="80" t="n">
        <v>0</v>
      </c>
      <c r="N60" s="80" t="n">
        <v>0</v>
      </c>
      <c r="O60" s="81" t="n">
        <v>0</v>
      </c>
      <c r="P60" s="80" t="n">
        <v>0</v>
      </c>
      <c r="Q60" s="81">
        <f>IF(Local!I60=TRUE,1,0)</f>
        <v/>
      </c>
      <c r="R60" s="81">
        <f>Local!D60</f>
        <v/>
      </c>
      <c r="S60" s="81">
        <f>Local!F60</f>
        <v/>
      </c>
      <c r="T60" s="81">
        <f>Local!G60</f>
        <v/>
      </c>
      <c r="U60" s="83" t="inlineStr">
        <is>
          <t>## About
Cheiridopsis denticulata, commonly known as the Toothed Ice Plant, is a small, clump-forming succulent that produces beautiful daisy-like flowers in cream or pale yellow colors. This charming plant belongs to the Aizoaceae family and is known for its compact growth and stunning blooms that open in bright sunlight.
## Origin
This plant is native to South Africa, particularly the Northern Cape region. It grows naturally in rocky, arid areas where it has adapted to survive in harsh desert conditions with minimal water and intense sunlight.
## Temperature &amp; Humidity
- **Temperature Range:** 10Â°C to 35Â°C
- **Humidity:** Low humidity preferred, around 30% to 40%. This plant thrives in dry conditions and does not tolerate high humidity well, making it suitable for most Indian climates except very humid coastal areas during monsoon.
## Growth
Cheiridopsis denticulata is a slow-growing, compact succulent that forms small clumps. It typically grows to about 5-8 cm in height and spreads up to 10-15 cm wide. The plant has thick, fleshy leaves that are triangular or tooth-like in shape, which is where it gets its common name. Growth is most active during cooler months, and the plant may go dormant during hot summer months.
## Watering
- **Frequency:** Once every two to three weeks depending on season and weather conditions. Water less frequently during summer dormancy and slightly more during the growing season (autumn to spring).
- **Tips:** Always allow the soil to dry out completely between waterings. Water early in the morning and avoid getting water on the leaves. During monsoon season in India, protect the plant from excessive rain. In winter, reduce watering even further. Overwatering is the biggest threat to this plant.
## Sunlight
- **Hours per day:** 6 to 8 hours
- **Type:** Direct sunlight is essential. This plant needs bright, intense light to thrive and produce flowers. Place it in the sunniest spot available, preferably facing south or west.
## Care Tips
- Keep the plant in well-ventilated areas to prevent fungal issues, especially during humid Indian monsoons
- Protect from heavy rain during monsoon season by moving under shelter or indoors
- The flowers open during bright sunny days and close at night or on cloudy days
- During extreme summer heat (above 40Â°C), provide some afternoon shade
- Can be grown in terracotta pots which help with drainage and moisture control
- Works well as a windowsill plant if given maximum light
## Growth Tips
- Use a very well-draining soil mix: combine cactus/succulent soil with extra perlite or coarse sand (ratio 1:1)
- Add some gravel or small stones to improve drainage further
- Fertilize sparingly - use diluted cactus fertilizer once during spring and once in autumn
- Repot every 2-3 years in spring using fresh soil mix
- Choose shallow pots with multiple drainage holes
- A top dressing of small pebbles helps prevent stem rot and looks attractive
## Common Problems
- **Root rot:** Caused by overwatering or poorly draining soil. Leaves become soft and mushy
- **Shriveled leaves:** Usually means underwatering, though this plant can tolerate drought better than excess water
- **No flowers:** Insufficient sunlight is the main reason. Needs full direct sun to bloom
- **Mealy bugs:** White cottony pests that hide between leaves. Treat with neem oil or isopropyl alcohol
- **Fungal issues:** High humidity and poor air circulation can cause fungal problems. Ensure good ventilation
- **Sunburn patches:** Though sun-loving, sudden exposure to intense afternoon summer sun can cause browning. Acclimatize gradually
- **Leaf drop during summer:** Natural dormancy behavior - reduce watering and don't worry</t>
        </is>
      </c>
      <c r="V60" s="98">
        <f>HYPERLINK("https://rosaryplanthouse.com/plant/"&amp;A60&amp;"-"&amp;SUBSTITUTE(LOWER(E60), " ", "-"))</f>
        <v/>
      </c>
      <c r="W60" t="inlineStr">
        <is>
          <t>🟢 Cheiridopsis Denticulata (ID: 59)
🌼 Meet the stunning Oval Flower, a succulent that adds a touch of charm to your collection! With its dainty, daisy-like blooms in soft cream and pale yellow, this little beauty is sure to brighten up any space. 
🌍 Native to the rocky landscapes of South Africa, the Cheiridopsis denticulata thrives in arid conditions, making it perfect for plant lovers who appreciate low-maintenance greenery. It’s compact, slow-growing, and loves basking in direct sunlight!
✨ **Key Details:**
- **Watering:** Low; every 2-3 weeks
- **Sunlight:** Bright, intense light (6-8 hours daily)
- **Humidity:** Prefers low humidity (30%-40%)
- **Special Care:** Protect from heavy rain and ensure well-ventilated surroundings
Ready to bring this gem home? 🌱✨ Check out the link in bio for more details!
#CheiridopsisDenticulata #OvalFlower #SucculentLove #PlantParent #IndoorPlants #GardenGoals #PlantCare #RosaryPlantHouse #SucculentCollection #FlowerPower #GreenThumb #Houseplants #PlantAddict</t>
        </is>
      </c>
    </row>
    <row r="61" ht="99.5" customHeight="1">
      <c r="A61" s="73" t="n">
        <v>60</v>
      </c>
      <c r="B61" s="74" t="inlineStr">
        <is>
          <t>Pepromia Purple</t>
        </is>
      </c>
      <c r="C61" s="74">
        <f>IF(Local!H61,"1","0")</f>
        <v/>
      </c>
      <c r="D61" s="75" t="n">
        <v>69</v>
      </c>
      <c r="E61" s="66" t="inlineStr">
        <is>
          <t>Peperomia caperata</t>
        </is>
      </c>
      <c r="F61" s="76">
        <f>"public/sale_plants/"&amp;A61&amp;".jpg"</f>
        <v/>
      </c>
      <c r="G61" s="77" t="inlineStr">
        <is>
          <t>(2"-3")</t>
        </is>
      </c>
      <c r="H61" s="78" t="inlineStr">
        <is>
          <t>High</t>
        </is>
      </c>
      <c r="I61" s="66" t="inlineStr">
        <is>
          <t>Low</t>
        </is>
      </c>
      <c r="J61" s="66" t="inlineStr">
        <is>
          <t>Low</t>
        </is>
      </c>
      <c r="K61" s="79" t="n">
        <v>69</v>
      </c>
      <c r="L61" s="86" t="inlineStr">
        <is>
          <t>Peperomia</t>
        </is>
      </c>
      <c r="M61" s="80" t="n">
        <v>0</v>
      </c>
      <c r="N61" s="80" t="n">
        <v>0</v>
      </c>
      <c r="O61" s="81" t="n">
        <v>0</v>
      </c>
      <c r="P61" s="81" t="n">
        <v>1</v>
      </c>
      <c r="Q61" s="81">
        <f>IF(Local!I61=TRUE,1,0)</f>
        <v/>
      </c>
      <c r="R61" s="81">
        <f>Local!D61</f>
        <v/>
      </c>
      <c r="S61" s="81">
        <f>Local!F61</f>
        <v/>
      </c>
      <c r="T61" s="81">
        <f>Local!G61</f>
        <v/>
      </c>
      <c r="U61" s="83" t="inlineStr">
        <is>
          <t>## About
Peperomia caperata, commonly known as Ripple Peperomia or Emerald Ripple Peperomia, is a beautiful ornamental houseplant loved for its deeply textured, heart-shaped leaves with striking patterns. The leaves display gorgeous ripples or corrugations that give this plant its unique character. This compact plant is perfect for small spaces and makes an excellent addition to any indoor garden collection.
## Origin
Peperomia caperata is native to the tropical rainforests of Brazil in South America. In its natural habitat, it grows as an understory plant on the forest floor, receiving filtered light through the tree canopy. This origin explains why it thrives in warm, humid conditions with indirect light, making it well-suited for Indian homes.
## Temperature &amp; Humidity
- **Temperature Range:** 18Â°C to 27Â°C
- **Humidity:** Prefers moderate to high humidity levels between 50% to 70%. In Indian climate, it adapts well during monsoon season but may need extra humidity during hot, dry summers. Keep away from air conditioner vents and cold drafts during winter months.
## Growth
Ripple Peperomia is a slow-growing, compact plant that typically reaches 15 to 20 cm in height and spreads about 20 to 25 cm wide. It forms a neat, bushy clump with leaves growing from the base on reddish stems. The growth is clumping rather than trailing, making it an ideal desk or tabletop plant. It maintains a small size throughout its life, making it perfect for small apartments and limited spaces.
## Watering
- **Frequency:** Once a week depending on season and weather conditions. During monsoon, water less frequently. In summer, check soil moisture before watering.
- **Tips:** Peperomia caperata has succulent-like leaves that store water, so it's better to underwater than overwater. Always check if the top 2-3 cm of soil is dry before watering. Water thoroughly but ensure excess water drains out completely. Reduce watering significantly during winter months. Use room temperature water and avoid wetting the leaves to prevent fungal problems.
## Sunlight
- **Hours per day:** 3 to 4 hours
- **Type:** Bright indirect or filtered light. Direct morning sunlight for 1-2 hours is acceptable, but avoid harsh afternoon sun which can scorch the leaves. Thrives well near east or north-facing windows. Can tolerate low light conditions but growth may slow down and leaf colors may fade.
## Care Tips
- Keep the plant in a warm spot away from cold drafts and sudden temperature changes
- Wipe the textured leaves gently with a soft, damp cloth occasionally to remove dust and keep them healthy
- Avoid misting the leaves directly as this can lead to fungal issues; instead increase humidity through a pebble tray
- During Indian summers, keep the plant in the coolest room of the house or provide shade cloth protection
- In winter, reduce watering and avoid cold window sills, especially in northern India
- This plant is pet-friendly and non-toxic, making it safe for homes with cats and dogs
## Growth Tips
- Use well-draining potting mix with perlite, cocopeat, and regular potting soil in equal proportions
- Ensure the pot has drainage holes to prevent water logging
- Feed with diluted liquid fertilizer once a month during the growing season (March to October)
- Avoid heavy feeding as this can damage the delicate root system
- Repot only when root-bound, typically every 2 to 3 years, preferably during spring
- Use a pot only slightly larger than the current one as Peperomias prefer being slightly pot-bound
- Propagate through leaf cuttings or division during the growing season
## Common Problems
- **Yellowing leaves:** Usually caused by overwatering or poor drainage; allow soil to dry between waterings
- **Brown, crispy leaf edges:** Sign of low humidity or underwatering; increase humidity around the plant
- **Leaf drop:** Can result from cold drafts, sudden temperature changes, or overwatering
- **Leggy growth:** Insufficient light; move the plant to a brighter location
- **Root rot:** Most common problem caused by overwatering and poorly draining soil; reduce watering frequency
- **Mealybugs and spider mites:** Occasionally affect the plant; wipe with neem oil solution for organic pest control
- **Fungal spots on leaves:** Caused by water sitting on leaves or high humidity with poor air circulation; ensure good ventilation</t>
        </is>
      </c>
      <c r="V61" s="98">
        <f>HYPERLINK("https://rosaryplanthouse.com/plant/"&amp;A61&amp;"-"&amp;SUBSTITUTE(LOWER(E61), " ", "-"))</f>
        <v/>
      </c>
      <c r="W61" t="inlineStr">
        <is>
          <t>🟢 Peperomia Caperata (ID: 60)
🌟 Meet the Ripple Peperomia, your new indoor companion! This stunning plant boasts unique, heart-shaped leaves with beautiful ripples that add texture and charm to any space. 
🏡 Native to the tropical rainforests of Brazil, Peperomia caperata thrives in warm, humid conditions with indirect light, making it perfect for Indian homes. Its compact nature makes it an excellent choice for small spaces and tabletops!
✨ **Key Details:**
- **Watering:** Low frequency, allow soil to dry between waterings.
- **Sunlight:** Prefers bright indirect light; tolerates low light.
- **Humidity:** Enjoys moderate to high humidity levels.
🌱 Bring home the Peperomia Caperata today and elevate your indoor garden game! 🌿 
👉 Link in bio! 
#PeperomiaCaperata #RipplePeperomia #IndoorPlants #HousePlants #PlantLovers #UrbanJungle #IndoorGardening #PlantCare #HomeDecor #GreenThumb #RosaryPlantHouse</t>
        </is>
      </c>
    </row>
    <row r="62" ht="99.5" customHeight="1">
      <c r="A62" s="73" t="n">
        <v>61</v>
      </c>
      <c r="B62" s="74" t="inlineStr">
        <is>
          <t>Ball Cactus long</t>
        </is>
      </c>
      <c r="C62" s="74">
        <f>IF(Local!H62,"1","0")</f>
        <v/>
      </c>
      <c r="D62" s="75" t="n">
        <v>99</v>
      </c>
      <c r="E62" s="66" t="inlineStr">
        <is>
          <t>Acanthocalycium</t>
        </is>
      </c>
      <c r="F62" s="76">
        <f>"public/sale_plants/"&amp;A62&amp;".jpg"</f>
        <v/>
      </c>
      <c r="G62" s="77" t="inlineStr">
        <is>
          <t>(2"-3")</t>
        </is>
      </c>
      <c r="H62" s="78" t="inlineStr">
        <is>
          <t>Low</t>
        </is>
      </c>
      <c r="I62" s="66" t="inlineStr">
        <is>
          <t>Low</t>
        </is>
      </c>
      <c r="J62" s="66" t="inlineStr">
        <is>
          <t>High</t>
        </is>
      </c>
      <c r="K62" s="79" t="n">
        <v>99</v>
      </c>
      <c r="L62" s="80" t="inlineStr">
        <is>
          <t>Cactus</t>
        </is>
      </c>
      <c r="M62" s="80" t="n">
        <v>0</v>
      </c>
      <c r="N62" s="80" t="n">
        <v>0</v>
      </c>
      <c r="O62" s="81" t="n">
        <v>0</v>
      </c>
      <c r="P62" s="80" t="n">
        <v>0</v>
      </c>
      <c r="Q62" s="81">
        <f>IF(Local!I62=TRUE,1,0)</f>
        <v/>
      </c>
      <c r="R62" s="81">
        <f>Local!D62</f>
        <v/>
      </c>
      <c r="S62" s="81">
        <f>Local!F62</f>
        <v/>
      </c>
      <c r="T62" s="81">
        <f>Local!G62</f>
        <v/>
      </c>
      <c r="U62" s="83" t="inlineStr">
        <is>
          <t>## About
Acanthocalycium is a beautiful spherical cactus that forms a perfectly round ball shape with golden-brown spines arranged in neat patterns. This charming cactus is perfect for beginners and collectors alike, producing lovely flowers when mature.
## Origin
Acanthocalycium cacti are native to the mountainous regions of Argentina, particularly in the provinces of Cordoba, Catamarca, and La Rioja. They grow naturally in rocky, well-drained areas at higher elevations where they experience bright sunlight and dry conditions.
## Temperature &amp; Humidity
- **Temperature Range:** 15Â°C to 35Â°C
- **Humidity:** Low humidity preferred, around 30% to 40%. This cactus thrives in dry conditions and does well in the typical Indian climate, especially during hot, dry summers. It can tolerate slightly cooler temperatures in winter but should be protected from frost.
## Growth
Acanthocalycium grows slowly and maintains a compact, spherical shape. Mature plants typically reach 10 to 15 cm in diameter and height. The growth is very slow, making it an excellent choice for small spaces and containers. The cactus forms a single stem initially but may produce offsets as it ages. The distinctive golden-brown to yellow spines are arranged in vertical ribs, creating an attractive geometric pattern.
## Watering
- **Frequency:** Once every two to three weeks depending on season and weather conditions. During monsoon, reduce watering significantly or stop completely.
- **Tips:** Water only when the soil is completely dry. Always water at the base, never on the body of the cactus. During Indian summers (April to June), water once every two weeks. In winter (December to February), reduce to once a month or less. The "soak and dry" method works best - water thoroughly and then let the soil dry out completely before the next watering. Overwatering is the most common cause of problems with this cactus.
## Sunlight
- **Hours per day:** 5 to 6 hours
- **Type:** Direct bright sunlight. This cactus loves full sun and will develop the best color and spine formation in bright direct light. Morning sunlight is ideal. Can tolerate afternoon sun once acclimatized, but in extremely hot Indian summers (above 40Â°C), provide some shade during peak afternoon hours to prevent sunburn.
## Care Tips
- Place in the brightest spot available - a south-facing window or outdoor location
- Use a very well-draining cactus mix with plenty of perlite or pumice
- Ensure the pot has drainage holes to prevent water accumulation
- During monsoon season, move indoors or provide rain protection to avoid rot
- In summer, morning sun is best; provide afternoon shade in extreme heat
- Keep dry during winter months to encourage flowering in spring
- Rotate the pot occasionally for even growth and spine development
- Clean dust off spines gently with a soft brush
## Growth Tips
- Use a specialized cactus and succulent soil mix with 60-70% inorganic material (sand, perlite, pumice)
- Add cocopeat or regular potting soil for the remaining 30-40%
- Fertilize sparingly - once during growing season (March to May) with diluted cactus fertilizer
- Use a balanced fertilizer diluted to quarter strength, or specialized cactus fertilizer
- Repot every 2 to 3 years in spring using a slightly larger pot
- When repotting, allow the plant to dry for a few days before watering
- A top dressing of small stones helps prevent moisture around the base
## Common Problems
- **Root rot:** Caused by overwatering or poor drainage. Symptoms include soft, mushy base and discolored stem
- **Etiolation (stretching):** Happens when the cactus doesn't get enough light. The plant becomes pale and elongated
- **Sunburn:** Brown or white patches appear if suddenly exposed to intense afternoon sun without acclimatization
- **Shriveling:** Usually indicates underwatering, though rare. The cactus appears wrinkled and deflated
- **Mealybugs:** White cottony pests that hide between ribs. Remove with cotton swab dipped in rubbing alcohol
- **Scale insects:** Brown bumps on the surface. Scrape off and treat with neem oil
- **Yellowing:** Can indicate too much water or poor soil drainage
- **No flowering:** Usually due to lack of winter rest period or insufficient light</t>
        </is>
      </c>
      <c r="V62" s="98">
        <f>HYPERLINK("https://rosaryplanthouse.com/plant/"&amp;A62&amp;"-"&amp;SUBSTITUTE(LOWER(E62), " ", "-"))</f>
        <v/>
      </c>
      <c r="W62" t="inlineStr">
        <is>
          <t>🟢 Acanthocalycium (ID: 61)
🌵 Ready to add a touch of charm to your collection? Meet the stunning Acanthocalycium, also known as the Ball Cactus! This delightful spherical cactus is not only a beginner's dream but also a collector's gem. With its perfectly round shape and golden-brown spines, it brings a unique geometric elegance to any space.
✨ **About this Beauty:**  
Hailing from the mountainous regions of Argentina, this cactus thrives in bright sunlight and dry conditions, making it a low-maintenance wonder! With the potential to bloom lovely flowers when mature, it’s sure to steal the spotlight in your home.
🌞 **Key Details:**  
- **Sunlight:** Loves direct bright sunlight (5-6 hours/day)  
- **Watering:** Low frequency – only once every 2-3 weeks!  
- **Care Tips:** Best suited for well-draining soil and a bright spot!  
👉 Don’t miss out on this unique beauty! Link in bio to explore more. 
#Acanthocalycium #BallCactus #CactusCare #SucculentLovers #PlantParenthood #IndoorPlants #CactusCollection #DesertPlants #GreenThumb #RosaryPlantHouse #PlantLove #HomeDecor #PlantAddict #CactusLover #Houseplants #EcommercePlants</t>
        </is>
      </c>
    </row>
    <row r="63" ht="99.5" customHeight="1">
      <c r="A63" s="73" t="n">
        <v>62</v>
      </c>
      <c r="B63" s="74" t="inlineStr">
        <is>
          <t>White Aloe(S-L)</t>
        </is>
      </c>
      <c r="C63" s="74">
        <f>IF(Local!H63,"1","0")</f>
        <v/>
      </c>
      <c r="D63" s="75" t="n">
        <v>49</v>
      </c>
      <c r="E63" s="66" t="inlineStr">
        <is>
          <t>Aloe brevifolia</t>
        </is>
      </c>
      <c r="F63" s="76">
        <f>"public/sale_plants/"&amp;A63&amp;".jpg"</f>
        <v/>
      </c>
      <c r="G63" s="77" t="inlineStr">
        <is>
          <t>(2"-3")</t>
        </is>
      </c>
      <c r="H63" s="78" t="inlineStr">
        <is>
          <t>Low</t>
        </is>
      </c>
      <c r="I63" s="66" t="inlineStr">
        <is>
          <t>Low</t>
        </is>
      </c>
      <c r="J63" s="66" t="inlineStr">
        <is>
          <t>High</t>
        </is>
      </c>
      <c r="K63" s="79" t="n">
        <v>79</v>
      </c>
      <c r="L63" s="80" t="inlineStr">
        <is>
          <t>Aloe</t>
        </is>
      </c>
      <c r="M63" s="80" t="n">
        <v>0</v>
      </c>
      <c r="N63" s="80" t="n">
        <v>0</v>
      </c>
      <c r="O63" s="81" t="n">
        <v>0</v>
      </c>
      <c r="P63" s="80" t="n">
        <v>1</v>
      </c>
      <c r="Q63" s="81" t="n">
        <v>1</v>
      </c>
      <c r="R63" s="81">
        <f>Local!D63</f>
        <v/>
      </c>
      <c r="S63" s="81">
        <f>Local!F63</f>
        <v/>
      </c>
      <c r="T63" s="81">
        <f>Local!G63</f>
        <v/>
      </c>
      <c r="U63" s="83" t="inlineStr">
        <is>
          <t>## About
Aloe brevifolia, commonly known as Short-leaved Aloe, is a beautiful compact succulent with thick, chunky leaves that form attractive rosettes. This small aloe species features grey-green to blue-green leaves with soft spines along the edges, giving it a unique texture and appearance. It is a popular choice for Indian gardens and indoor collections because of its manageable size and easy care requirements.
## Origin
This plant is native to South Africa, particularly the Western Cape region. It grows naturally in rocky areas and slopes where it receives plenty of sunlight and has excellent drainage. The natural habitat is similar to many dry regions in India, making it well-adapted to our climate.
## Temperature &amp; Humidity
- **Temperature Range:** 15Â°C to 35Â°C
- **Humidity:** This plant prefers low to moderate humidity levels, around 30% to 50%. It can handle the dry conditions often found in Indian homes and gardens, making it perfect for areas with low rainfall or during dry seasons.
## Growth
Short-leaved Aloe is a slow to moderate growing plant that stays compact. Each rosette typically grows 10-15 cm tall and 15-20 cm wide. It produces offsets (baby plants) around the base, creating attractive clusters over time. This clumping habit makes it perfect for small pots, rock gardens, or as a border plant. The plant remains evergreen throughout the year and maintains its attractive blue-green color.
## Watering
- **Frequency:** Water once every 10-14 days depending on season, weather conditions and pot size. During monsoon and winter, reduce watering to once every 2-3 weeks.
- **Tips:** Always check if the soil is completely dry before watering. Water deeply but infrequently. Make sure excess water drains out completely from the pot. Never let the plant sit in water as this causes root rot. During hot Indian summers (April-June), you may need to water slightly more often, but still let the soil dry out between waterings.
## Sunlight
- **Hours per day:** 4 to 6 hours
- **Type:** Direct sunlight is ideal. This plant loves bright, direct sun and develops its best color and compact shape when given plenty of light. In extremely hot regions where temperatures exceed 40Â°C, provide some afternoon shade to prevent leaf burn.
## Care Tips
- Keep the plant in a terracotta or clay pot as these materials allow the soil to dry faster and prevent waterlogging
- During the Indian monsoon season (June-September), move potted plants to a covered area or reduce watering significantly
- Clean dust off the leaves occasionally with a soft brush to keep the plant healthy
- If growing outdoors, ensure the location has good air circulation to prevent fungal problems during humid months
- The plant can tolerate light frost but should be protected if temperatures drop below 10Â°C in northern India during winter
- Fertilize sparingly - once every 2-3 months during the growing season is sufficient
## Growth Tips
- Use a well-draining succulent or cactus soil mix. A good mixture is 50% regular potting soil, 30% coarse sand, and 20% perlite or pumice
- Add small pieces of brick or gravel at the bottom of the pot for extra drainage
- Repot every 2-3 years or when the plant becomes too crowded. Spring is the best time for repotting
- Use a balanced liquid fertilizer (NPK 10:10:10) diluted to half strength, applied once every 2-3 months during spring and summer
- The plant propagates easily from offsets - simply remove the baby plants and pot them separately
- Choose a pot that is only slightly larger than the plant to prevent soil from staying wet too long
## Common Problems
- **Yellowing or mushy leaves:** This is the most common problem caused by overwatering. Reduce watering frequency immediately and check for root rot
- **Brown or black spots on leaves:** Usually caused by fungal infection due to excess moisture and poor air circulation, especially during monsoons
- **Leaves turning brown or red:** Too much direct sun in extreme heat (above 40Â°C). Provide some afternoon shade during peak summer
- **Pale or stretched growth:** Insufficient light. Move the plant to a brighter location with more direct sunlight
- **Mealybugs:** White cottony pests that hide between leaves. Remove with a cotton swab dipped in rubbing alcohol
- **Scale insects:** Brown bumps on leaves. Wipe off with neem oil solution
- **Slow or no growth:** Normal during winter. Also check if the plant needs repotting or feeding</t>
        </is>
      </c>
      <c r="V63" s="98">
        <f>HYPERLINK("https://rosaryplanthouse.com/plant/"&amp;A63&amp;"-"&amp;SUBSTITUTE(LOWER(E63), " ", "-"))</f>
        <v/>
      </c>
      <c r="W63" t="inlineStr">
        <is>
          <t>🟢 Aloe Brevifolia (ID: 62)
🌿 Meet the stunning White Aloe, your new indoor companion! This compact succulent is perfect for those who love low-maintenance greenery with a touch of elegance. 
✨ With its thick, rosette-forming leaves in shades of grey-green to blue-green, the Aloe Brevifolia is not just a plant; it's a statement piece for any space. Originating from the rocky slopes of South Africa, it's perfectly adapted to thrive in our Indian homes.
🌞 **Key Details:**
- **Watering:** Low—only every 10-14 days!
- **Sunlight:** Thrives in bright, direct light (4-6 hours a day).
- **Humidity:** Prefers low to moderate levels, ideal for dry conditions.
💚 Want to add this beauty to your collection? Click the link in bio to shop now!
#AloeBrevifolia #WhiteAloe #SucculentLove #IndoorPlants #PlantParent #HomeDecor #PlantCare #GreenLiving #RosaryPlantHouse #PlantLovers #SucculentGarden #LowMaintenancePlants</t>
        </is>
      </c>
    </row>
    <row r="64" ht="99.5" customHeight="1">
      <c r="A64" s="73" t="n">
        <v>63</v>
      </c>
      <c r="B64" s="74" t="inlineStr">
        <is>
          <t>Ball white flower</t>
        </is>
      </c>
      <c r="C64" s="74">
        <f>IF(Local!H64,"1","0")</f>
        <v/>
      </c>
      <c r="D64" s="75" t="n">
        <v>69</v>
      </c>
      <c r="E64" s="66" t="inlineStr">
        <is>
          <t>Echinopsis subdenudata</t>
        </is>
      </c>
      <c r="F64" s="76">
        <f>"public/sale_plants/"&amp;A64&amp;".jpg"</f>
        <v/>
      </c>
      <c r="G64" s="77" t="inlineStr">
        <is>
          <t>(2"-3")</t>
        </is>
      </c>
      <c r="H64" s="78" t="inlineStr">
        <is>
          <t>Low</t>
        </is>
      </c>
      <c r="I64" s="66" t="inlineStr">
        <is>
          <t>Low</t>
        </is>
      </c>
      <c r="J64" s="66" t="inlineStr">
        <is>
          <t>High</t>
        </is>
      </c>
      <c r="K64" s="79" t="n">
        <v>120</v>
      </c>
      <c r="L64" s="80" t="inlineStr">
        <is>
          <t>Cactus</t>
        </is>
      </c>
      <c r="M64" s="80" t="n">
        <v>0</v>
      </c>
      <c r="N64" s="80" t="n">
        <v>0</v>
      </c>
      <c r="O64" s="81" t="n">
        <v>0</v>
      </c>
      <c r="P64" s="81" t="n">
        <v>0</v>
      </c>
      <c r="Q64" s="81">
        <f>IF(Local!I64=TRUE,1,0)</f>
        <v/>
      </c>
      <c r="R64" s="81">
        <f>Local!D64</f>
        <v/>
      </c>
      <c r="S64" s="81">
        <f>Local!F64</f>
        <v/>
      </c>
      <c r="T64" s="81">
        <f>Local!G64</f>
        <v/>
      </c>
      <c r="U64" s="83" t="inlineStr">
        <is>
          <t>## About
The Easter Lily Cactus is a beautiful, round cactus that is loved by plant collectors for its perfect globe shape and stunning white flowers. It is native to South America and is one of the easiest cacti to grow, making it perfect for beginners and experienced gardeners alike.
## Origin
This cactus originally comes from the mountainous regions of Bolivia and northern Argentina in South America. It grows naturally in rocky areas with good drainage and plenty of sunlight.
## Temperature &amp; Humidity
- **Temperature Range:** 15Â°C to 35Â°C
- **Humidity:** Low to moderate humidity (30% to 50%). This cactus can tolerate the dry conditions common in most Indian homes and does not need high humidity to thrive.
## Growth
The Easter Lily Cactus grows as a round, globe-shaped plant that can reach about 10 to 15 cm in height and width. It is a slow-growing cactus that maintains its compact, ball-like shape. Over time, it may produce small offsets (baby plants) around the base, which can be separated and grown as new plants. The ribs on the cactus are well-defined, and it has small spines arranged in neat patterns across the surface.
## Watering
- **Frequency:** Once every 2 weeks depending on season and weather conditions. Water less in monsoon and winter, and slightly more during hot summer months.
- **Tips:** Allow the soil to dry out completely between waterings. Water thoroughly until water drains from the bottom, then wait until the soil is bone dry before watering again. Reduce watering significantly during winter months (once a month is enough). Overwatering is the biggest enemy of this cactusâ€”when in doubt, wait another few days before watering.
## Sunlight
- **Hours per day:** 5 to 6 hours
- **Type:** Direct bright sunlight is best. Place it in a south-facing window or balcony where it gets maximum sunlight. It can tolerate bright indirect light but grows best and flowers more abundantly with direct sun.
## Care Tips
- Place your cactus in the brightest spot availableâ€”windowsills facing south or west work perfectly in Indian homes
- Protect from heavy monsoon rains if kept outdoors; too much water can cause rotting
- During peak summer (April-June), you may need to provide some afternoon shade if temperatures exceed 40Â°C
- This cactus can handle Indian winters well, but keep it dry and avoid frost exposure in North India
- Clean dust from the surface occasionally with a soft brush to help it absorb sunlight better
- Flowers bloom in spring and summer, usually at night or early morning, and last only 1-2 days
## Growth Tips
- Use a well-draining cactus or succulent potting mix; you can make your own by mixing regular soil with cocopeat and sand in equal parts
- Add perlite or small stones to improve drainage further
- Use terracotta or clay pots with drainage holesâ€”these help excess water evaporate quickly
- Fertilize once a month during the growing season (March to October) with a diluted liquid cactus fertilizer or balanced NPK fertilizer
- Repot every 2 to 3 years in spring, using a slightly larger pot
- When repotting, handle carefully to avoid damaging the roots
## Common Problems
- **Soft, mushy base:** This is root rot caused by overwatering or poor drainage. Reduce watering immediately and check if the pot has proper drainage.
- **Yellow or brown patches:** Sunburn from sudden exposure to very intense sunlight. Gradually introduce the plant to direct sun if moving it from indoors to outdoors.
- **Shriveling or wrinkling:** The cactus is thirsty and needs water. Give it a good soak.
- **No flowers:** Not enough sunlight or the plant is too young. Ensure it gets at least 5-6 hours of direct sun daily.
- **White cottony spots:** Mealybugsâ€”remove them with a cotton swab dipped in rubbing alcohol or neem oil spray.
- **Elongated or stretched growth:** Not getting enough light. Move to a brighter location.
- **Black spots:** Fungal infection due to high humidity and poor air circulation. Improve ventilation and reduce watering.</t>
        </is>
      </c>
      <c r="V64" s="98">
        <f>HYPERLINK("https://rosaryplanthouse.com/plant/"&amp;A64&amp;"-"&amp;SUBSTITUTE(LOWER(E64), " ", "-"))</f>
        <v/>
      </c>
      <c r="W64" t="inlineStr">
        <is>
          <t>🟢 Echinopsis subdenudata (ID: 63)  
🌵✨ Meet the stunning Ball White Flower, the Easter Lily Cactus that will elevate your plant collection! With its perfect globe shape and dazzling white flowers, it's a must-have for both beginners and seasoned plant lovers.  
💚 **About:** This charming cactus hails from the mountainous regions of Bolivia and Argentina, thriving in rocky terrains with plenty of sunlight. It's not just easy to care for; it also rewards you with beautiful blooms in spring and summer!  
🌞 **Sunlight:** Loves direct bright sunlight for 5-6 hours a day.  
💧 **Watering:** Low water needs—water every 2 weeks and let the soil dry out completely in between.  
🌡️ **Temperature:** Thrives in temperatures from 15°C to 35°C, making it perfect for many homes!  
👉 Get yours today and bring a touch of nature into your space! Link in bio.  
#EasterLilyCactus #Echinopsis #CactusLovers #PlantGoals #HomeDecor #HousePlants #PlantParent #IndoorGarden #SucculentLove #RosaryPlantHouse #GreenThumb #PlantAddict #CactusCare #DesertPlants #PlantCollection</t>
        </is>
      </c>
    </row>
    <row r="65" ht="99.5" customHeight="1">
      <c r="A65" s="73" t="n">
        <v>64</v>
      </c>
      <c r="B65" s="74" t="inlineStr">
        <is>
          <t>Echeveria fur</t>
        </is>
      </c>
      <c r="C65" s="74">
        <f>IF(Local!H65,"1","0")</f>
        <v/>
      </c>
      <c r="D65" s="75" t="n">
        <v>100</v>
      </c>
      <c r="E65" s="66" t="inlineStr">
        <is>
          <t>Echeveria setosa</t>
        </is>
      </c>
      <c r="F65" s="76">
        <f>"public/sale_plants/"&amp;A65&amp;".jpg"</f>
        <v/>
      </c>
      <c r="G65" s="77" t="inlineStr">
        <is>
          <t>(2"-3")</t>
        </is>
      </c>
      <c r="H65" s="78" t="inlineStr">
        <is>
          <t>High</t>
        </is>
      </c>
      <c r="I65" s="66" t="inlineStr">
        <is>
          <t>Low</t>
        </is>
      </c>
      <c r="J65" s="66" t="inlineStr">
        <is>
          <t>High</t>
        </is>
      </c>
      <c r="K65" s="79" t="n">
        <v>199</v>
      </c>
      <c r="L65" s="81" t="inlineStr">
        <is>
          <t>Echeveria</t>
        </is>
      </c>
      <c r="M65" s="80" t="n">
        <v>0</v>
      </c>
      <c r="N65" s="80" t="n">
        <v>0</v>
      </c>
      <c r="O65" s="81" t="n">
        <v>0</v>
      </c>
      <c r="P65" s="80" t="n">
        <v>0</v>
      </c>
      <c r="Q65" s="81">
        <f>IF(Local!I65=TRUE,1,0)</f>
        <v/>
      </c>
      <c r="R65" s="81">
        <f>Local!D65</f>
        <v/>
      </c>
      <c r="S65" s="81">
        <f>Local!F65</f>
        <v/>
      </c>
      <c r="T65" s="81">
        <f>Local!G65</f>
        <v/>
      </c>
      <c r="U65" s="83" t="inlineStr">
        <is>
          <t>## About
Echeveria setosa, commonly known as Mexican Firecracker, is a beautiful succulent plant covered with soft white hairs that give it a fuzzy appearance. This rosette-forming succulent is native to Mexico and is loved by plant collectors for its unique texture and beautiful red-tipped flowers.
## Origin
This plant comes from the mountainous regions of central Mexico, particularly from the states of Puebla and Oaxaca. In its natural habitat, it grows on rocky slopes and cliffs where the soil drains quickly and sunlight is abundant.
## Temperature &amp; Humidity
- **Temperature Range:** 15Â°C to 35Â°C
- **Humidity:** Low to moderate humidity (30% to 50%). This plant does well in dry conditions and can handle the varying humidity levels found across different regions of India, from the dry climate of Rajasthan to the more humid conditions of coastal areas.
## Growth
Echeveria setosa forms compact rosettes that grow about 8 to 15 centimeters in diameter. The plant stays relatively small and grows slowly, making it perfect for small pots and dish gardens. It produces offsets (baby plants) around the base of the mother plant, which gradually form attractive clusters. The thick, spoon-shaped leaves are covered with soft, silvery-white hairs that protect the plant from intense sunlight and help it retain moisture.
## Watering
- **Frequency:** Once every 10-14 days depending on weather conditions. In summer months, you may need to water once a week, while in winter and monsoon seasons, water less frequently.
- **Tips:** Always water the soil directly and avoid getting water on the fuzzy leaves, as moisture trapped in the hairs can cause rotting. Allow the soil to dry out completely between waterings. Use the "soak and dry" method - water thoroughly until it drains from the bottom, then wait until the soil is bone dry before watering again. Reduce watering during monsoon season when humidity is naturally high.
## Sunlight
- **Hours per day:** 4 to 6 hours
- **Type:** Bright direct sunlight, preferably morning sun. If keeping indoors, place near a south or east-facing window where it gets maximum light. In hot Indian summers (above 40Â°C), provide some afternoon shade to prevent leaf burn.
## Care Tips
- Protect from heavy monsoon rains as too much water can damage the fuzzy leaves and cause root rot
- If growing outdoors during Indian summer, provide 30% shade cloth during peak afternoon hours (12 PM to 4 PM) when temperatures exceed 38Â°C
- Keep away from areas with high foot traffic as the delicate fuzzy leaves can be easily damaged
- Clean dust gently with a soft, dry brush rather than wiping with water
- The plant can handle brief temperature drops to 10Â°C but should be protected from frost in northern India during winter
## Growth Tips
- Use a well-draining cactus or succulent soil mix. You can make your own by mixing regular potting soil with coarse sand and perlite in equal parts
- Add small pieces of charcoal to the soil mix to prevent fungal growth during humid monsoon months
- Fertilize sparingly - once every 2-3 months during the growing season (spring and autumn) with a diluted liquid succulent fertilizer
- Repot every 2-3 years in spring using a slightly larger pot with drainage holes
- Propagate easily from offsets or leaf cuttings during spring or early summer
## Common Problems
- **Rotting leaves or base:** Usually caused by overwatering or water trapped in the fuzzy leaves. Always water the soil, not the plant.
- **Stretching and pale color:** Not getting enough sunlight. Move to a brighter location.
- **Shriveled leaves:** Sign of underwatering, though less common. Give the plant a good soak.
- **Mealybugs:** White cottony pests that hide between leaves. Remove with a cotton swab dipped in rubbing alcohol.
- **Leaf drop:** Can happen due to sudden temperature changes or overwatering. Maintain consistent care conditions.
- **Brown, crispy leaf tips:** Too much direct harsh sunlight during peak summer. Provide afternoon shade during extreme heat.</t>
        </is>
      </c>
      <c r="V65" s="98">
        <f>HYPERLINK("https://rosaryplanthouse.com/plant/"&amp;A65&amp;"-"&amp;SUBSTITUTE(LOWER(E65), " ", "-"))</f>
        <v/>
      </c>
      <c r="W65" t="inlineStr">
        <is>
          <t>🟢 Echeveria setosa (ID: 64)
🔥 Meet the Mexican Firecracker! 🔥 This stunning succulent is not just a pretty face; it's a unique gem that will light up your plant collection with its soft, fuzzy texture and vibrant red-tipped blooms! 🌸✨
🌿 **About:** Echeveria setosa is a rosette-forming succulent native to the rocky slopes of central Mexico. Its silvery-white hairs not only create a captivating look but also help retain moisture and protect it from the sun! 
🌞 **Key Details:**
- **Watering:** Low maintenance, water every 10-14 days. 
- **Sunlight:** Thrives in bright direct sunlight for 4-6 hours. 🌞 
- **Humidity:** Prefers low to moderate humidity. 
👉 Elevate your indoor or outdoor space with this delightful plant! 🌱 Discover the magic of Echeveria setosa. Link in bio!
#EcheveriaSetosa #SucculentLove #MexicanFirecracker #PlantParent #IndoorPlants #SucculentCare #PlantAddict #GreenThumb #RosaryPlantHouse #PlantGoals #HomeDecor #SucculentCollection #FuzzySucculent #PlantLovers #GardeningJoy #PlantsMakePeopleHappy</t>
        </is>
      </c>
    </row>
    <row r="66" ht="99.5" customHeight="1">
      <c r="A66" s="73" t="n">
        <v>65</v>
      </c>
      <c r="B66" s="74" t="inlineStr">
        <is>
          <t>Boat</t>
        </is>
      </c>
      <c r="C66" s="74">
        <f>IF(Local!H66,"1","0")</f>
        <v/>
      </c>
      <c r="D66" s="79" t="n">
        <v>99</v>
      </c>
      <c r="E66" s="66" t="inlineStr">
        <is>
          <t>Crassula falcata</t>
        </is>
      </c>
      <c r="F66" s="76">
        <f>"public/sale_plants/"&amp;A66&amp;".jpg"</f>
        <v/>
      </c>
      <c r="G66" s="77" t="inlineStr">
        <is>
          <t>(2"-3")</t>
        </is>
      </c>
      <c r="H66" s="78" t="inlineStr">
        <is>
          <t>Low</t>
        </is>
      </c>
      <c r="I66" s="66" t="inlineStr">
        <is>
          <t>Low</t>
        </is>
      </c>
      <c r="J66" s="66" t="inlineStr">
        <is>
          <t>High</t>
        </is>
      </c>
      <c r="K66" s="79" t="n">
        <v>120</v>
      </c>
      <c r="L66" s="80" t="inlineStr">
        <is>
          <t>Crassula</t>
        </is>
      </c>
      <c r="M66" s="80" t="n">
        <v>0</v>
      </c>
      <c r="N66" s="80" t="n">
        <v>0</v>
      </c>
      <c r="O66" s="81" t="n">
        <v>0</v>
      </c>
      <c r="P66" s="80" t="n">
        <v>0</v>
      </c>
      <c r="Q66" s="81">
        <f>IF(Local!I66=TRUE,1,0)</f>
        <v/>
      </c>
      <c r="R66" s="81">
        <f>Local!D66</f>
        <v/>
      </c>
      <c r="S66" s="81">
        <f>Local!F66</f>
        <v/>
      </c>
      <c r="T66" s="81">
        <f>Local!G66</f>
        <v/>
      </c>
      <c r="U66" s="83" t="inlineStr">
        <is>
          <t>## About
The Propeller Plant is a beautiful succulent with unique, thick, grey-green leaves that are shaped like airplane propellers. This eye-catching plant is native to South Africa and is loved by plant collectors for its unusual appearance and stunning red-orange flowers that bloom in clusters during summer.
## Origin
Crassula falcata originates from the Eastern Cape region of South Africa. It grows naturally in rocky, dry areas where it has adapted to survive in poor soil with minimal water. This hardy plant has become popular worldwide as an ornamental succulent.
## Temperature &amp; Humidity
- **Temperature Range:** 15Â°C to 35Â°C (can tolerate up to 40Â°C in Indian summers)
- **Humidity:** Low to moderate humidity (30% to 50%). The plant does well in typical Indian climate conditions and can handle both dry and slightly humid environments. It is quite adaptable to most regions in India, from the dry north to more humid coastal areas.
## Growth
The Propeller Plant grows as an upright succulent, reaching about 30 to 60 cm in height. It has a moderate growth rate and spreads slowly through offsets. The thick, fleshy leaves grow in opposite pairs along the stem, stacked closely together. Each leaf is curved and twisted, resembling a propeller blade, which gives the plant its common name. The plant develops a woody base as it matures and can become quite sturdy.
## Watering
- **Frequency:** Once every 10-14 days depending on season and weather conditions. Water less frequently during monsoon and winter, and slightly more during hot summer months.
- **Tips:** Always check that the soil is completely dry before watering again. Water thoroughly until it drains out of the bottom holes, then allow the pot to drain completely. Reduce watering during winter months. Overwatering is the biggest enemy of this plant, so it's better to underwater than overwater. During Indian monsoons, protect from excessive rain and reduce watering significantly.
## Sunlight
- **Hours per day:** 4 to 6 hours of direct sunlight
- **Type:** Direct sunlight is best. The plant can tolerate bright indirect light but will grow more compact and produce better flowering with direct sun. Morning sun is ideal in very hot regions of India. In coastal or cooler areas, full sun throughout the day is fine.
## Care Tips
- Protect from heavy monsoon rains as excessive moisture can cause root rot
- In extreme Indian summer heat (above 40Â°C), provide some afternoon shade to prevent leaf burn
- Ensure excellent drainage in the pot - use pots with drainage holes
- Clean dust off the leaves occasionally with a soft brush
- The plant is quite hardy and can handle neglect better than too much attention
- Bring indoors or provide shelter during heavy rains
- Can be grown both indoors near a sunny window or outdoors in a sunny spot
## Growth Tips
- Use well-draining cactus or succulent soil mix. You can make your own by mixing regular potting soil with coarse sand and perlite in equal parts
- Add some neem cake or vermicompost to the soil for natural nutrients
- Fertilize sparingly - once every 2-3 months during growing season (spring and summer) with diluted liquid succulent fertilizer
- Repot every 2-3 years or when the plant outgrows its pot, preferably in spring
- Use terracotta or clay pots as they allow better air circulation and help soil dry faster
- Propagate easily through leaf cuttings or stem cuttings - let them dry for 2-3 days before planting
## Common Problems
- **Root rot:** Caused by overwatering or poor drainage. Leaves become soft and mushy. Solution: reduce watering and improve drainage
- **Leaf drop:** Can happen due to overwatering or sudden temperature changes
- **Mealybugs:** White cottony pests that appear on leaves. Wipe with alcohol-soaked cotton or spray neem oil solution
- **Stretching (etiolation):** Plant becomes leggy when not getting enough sunlight. Move to a brighter location
- **Leaf discoloration:** Leaves turning brown at tips can indicate sunburn in extreme heat or salt buildup from hard water
- **No flowering:** Usually caused by insufficient sunlight or lack of a winter rest period with cooler temperatures and less water</t>
        </is>
      </c>
      <c r="V66" s="98">
        <f>HYPERLINK("https://rosaryplanthouse.com/plant/"&amp;A66&amp;"-"&amp;SUBSTITUTE(LOWER(E66), " ", "-"))</f>
        <v/>
      </c>
      <c r="W66" t="inlineStr">
        <is>
          <t>🟢 Crassula Falcata (ID: 65)
🌱 Ready to take your plant game to new heights? Meet the stunning Propeller Plant! This unique succulent boasts thick, grey-green leaves shaped like airplane propellers and is sure to be the conversation starter in any space.
✨ Originating from the rocky terrains of South Africa, the Crassula falcata thrives in low humidity and requires minimal watering, making it perfect for both seasoned collectors and beginners alike. With its vibrant red-orange flowers blooming in summer, it’s a true showstopper!
🌞 **Key Details:**
- **Watering:** Low frequency, every 10-14 days.
- **Sunlight:** Thrives in 4-6 hours of direct sunlight.
- **Care:** Hardy and low-maintenance; perfect for Indian climates!
👉 Get your very own Propeller Plant today! Link in bio.
#RosaryPlantHouse #CrassulaFalcata #PropellerPlant #SucculentLove #PlantParent #GreenThumb #HomeDecor #IndoorPlants #PlantCollection #PlantGoals #SucculentCare #GardeningJoy #PlantAddict #NatureLovers #HousePlants #PlantLife</t>
        </is>
      </c>
    </row>
    <row r="67" ht="99.5" customHeight="1">
      <c r="A67" s="73" t="n">
        <v>66</v>
      </c>
      <c r="B67" s="74" t="inlineStr">
        <is>
          <t>brown stone</t>
        </is>
      </c>
      <c r="C67" s="74">
        <f>IF(Local!H67,"1","0")</f>
        <v/>
      </c>
      <c r="D67" s="75" t="n">
        <v>49</v>
      </c>
      <c r="E67" s="66" t="inlineStr">
        <is>
          <t>Haworthia bayeri</t>
        </is>
      </c>
      <c r="F67" s="76">
        <f>"public/sale_plants/"&amp;A67&amp;".jpg"</f>
        <v/>
      </c>
      <c r="G67" s="77" t="inlineStr">
        <is>
          <t>(1.5"-2")</t>
        </is>
      </c>
      <c r="H67" s="78" t="inlineStr">
        <is>
          <t>Low</t>
        </is>
      </c>
      <c r="I67" s="66" t="inlineStr">
        <is>
          <t>Low</t>
        </is>
      </c>
      <c r="J67" s="66" t="inlineStr">
        <is>
          <t>Medium</t>
        </is>
      </c>
      <c r="K67" s="79" t="n">
        <v>120</v>
      </c>
      <c r="L67" s="80" t="inlineStr">
        <is>
          <t>Haworthia</t>
        </is>
      </c>
      <c r="M67" s="80" t="n">
        <v>0</v>
      </c>
      <c r="N67" s="80" t="n">
        <v>0</v>
      </c>
      <c r="O67" s="81" t="n">
        <v>0</v>
      </c>
      <c r="P67" s="81" t="n">
        <v>1</v>
      </c>
      <c r="Q67" s="81">
        <f>IF(Local!I67=TRUE,1,0)</f>
        <v/>
      </c>
      <c r="R67" s="81">
        <f>Local!D67</f>
        <v/>
      </c>
      <c r="S67" s="81">
        <f>Local!F67</f>
        <v/>
      </c>
      <c r="T67" s="81">
        <f>Local!G67</f>
        <v/>
      </c>
      <c r="U67" s="83" t="inlineStr">
        <is>
          <t>## About
Haworthia bayeri is a beautiful small succulent with thick, triangular leaves that form a compact rosette. The leaves have distinctive white or pale green stripes and patterns that make each plant unique and attractive. This plant is perfect for beginners and experienced plant lovers alike.
## Origin
This succulent comes from South Africa, where it grows in rocky areas with minimal water. It is adapted to survive in harsh, dry conditions with limited rainfall and plenty of bright light.
## Temperature &amp; Humidity
- **Temperature Range:** 15Â°C to 30Â°C
- **Humidity:** Low to moderate humidity (30% to 50%). This plant does well in normal Indian household humidity levels. It can tolerate dry air but protect it from extreme heat above 35Â°C during summer months.
## Growth
Haworthia bayeri is a slow-growing plant that stays small and compact. It usually grows to about 7-10 cm in height and width. The rosette form stays tight and neat. Over time, it produces small offsets (baby plants) around the base that can be separated to create new plants. Growth is slowest in winter and picks up during spring and summer.
## Watering
- **Frequency:** Once every 10-14 days depending on season and weather conditions. Water less in monsoon and winter, slightly more in hot summer months.
- **Tips:** Always check if the soil is completely dry before watering. Water thoroughly until water drains from the bottom, then let it dry completely. Never let the plant sit in water. Reduce watering during the monsoon season when humidity is high. Overwatering is the biggest danger for this plant.
## Sunlight
- **Hours per day:** 3 to 5 hours
- **Type:** Bright indirect light or filtered sunlight. Morning sun is ideal. Avoid harsh afternoon sun in Indian summers as it can burn the leaves and turn them brown or red. A bright window with a sheer curtain works perfectly indoors.
## Care Tips
- Keep in a well-ventilated area to prevent fungal problems during monsoon
- Protect from direct midday sun during April-June when temperatures are highest
- Can be kept outdoors in semi-shade or indoors near a bright window
- Wipe dust off leaves gently with a soft brush occasionally
- During winter (December-February), reduce watering to once every 3 weeks
- Avoid getting water on the center of the rosette as it can cause rot
- This plant goes into semi-dormancy in extreme heat or cold, so reduce watering during those times
## Growth Tips
- Use a well-draining cactus or succulent soil mix
- Add extra perlite, cocopeat, or sand (40-50%) to regular potting soil for better drainage
- Use small pots as Haworthias like to be slightly root-bound
- Fertilize very lightly once every 2-3 months during growing season (spring and autumn) with diluted succulent fertilizer
- Repot only when the plant has outgrown its pot, usually every 2-3 years
- Use terracotta or clay pots which help excess moisture evaporate
- Remove offsets and plant them separately to propagate new plants
## Common Problems
- **Brown or red leaves:** Too much direct sunlight causing sunburn. Move to a shadier location.
- **Soft, mushy leaves:** Overwatering or root rot. Reduce watering immediately and check roots.
- **Leaves turning pale or stretched:** Not enough light. Move to a brighter location.
- **Shriveled, wrinkled leaves:** Underwatering. Increase watering slightly but gradually.
- **Mealybugs (white cottony spots):** Common pest that hides between leaves. Remove with cotton swab dipped in rubbing alcohol.
- **Fungal infection:** Usually happens during monsoon with high humidity. Ensure good air circulation and reduce watering.
- **Rotting from center:** Water trapped in rosette or overwatering. Always water the soil, not the plant itself.</t>
        </is>
      </c>
      <c r="V67" s="98">
        <f>HYPERLINK("https://rosaryplanthouse.com/plant/"&amp;A67&amp;"-"&amp;SUBSTITUTE(LOWER(E67), " ", "-"))</f>
        <v/>
      </c>
      <c r="W67" t="inlineStr">
        <is>
          <t>🟢 Haworthia Bayeri (ID: 66)  
🌿 Meet the enchanting **Haworthia bayeri**! This stunning succulent is your perfect companion for a touch of greenery in your home. 
With its thick, triangular leaves adorned with unique white and pale green stripes, this little beauty is not only eye-catching but also super low-maintenance, making it ideal for both novice and seasoned plant enthusiasts. 🌱✨ 
**Key Details:**  
- **Origin:** South Africa 🌍  
- **Watering:** Low (every 10-14 days) 💧  
- **Sunlight:** Medium (3-5 hours of bright indirect light) ☀️  
- **Humidity:** Low to moderate (ideal for Indian households) 🌬️  
Add some character to your indoor space with this charming succulent! Perfect for any setting—be it your desk, shelf, or windowsill. 🌟 Don't miss out on bringing home this delightful plant! 
👉 Link in bio for more details! 
#HaworthiaBayeri #SucculentLove #IndoorPlants #PlantParenthood #GreenThumb #PlantGoals #RosaryPlantHouse #PlantLovers #HomeDecor #SucculentCare #SouthAfricanPlants #UniquePlants #LowMaintenancePlants #PlantCommunity</t>
        </is>
      </c>
    </row>
    <row r="68" ht="99.5" customHeight="1">
      <c r="A68" s="73" t="n">
        <v>67</v>
      </c>
      <c r="B68" s="74" t="inlineStr">
        <is>
          <t>Haworthia Fat</t>
        </is>
      </c>
      <c r="C68" s="74">
        <f>IF(Local!H68,"1","0")</f>
        <v/>
      </c>
      <c r="D68" s="75" t="n">
        <v>59</v>
      </c>
      <c r="E68" s="66" t="inlineStr">
        <is>
          <t>Haworthiopsis attenuata</t>
        </is>
      </c>
      <c r="F68" s="76">
        <f>"public/sale_plants/"&amp;A68&amp;".jpg"</f>
        <v/>
      </c>
      <c r="G68" s="77" t="inlineStr">
        <is>
          <t>(2"-3")</t>
        </is>
      </c>
      <c r="H68" s="78" t="inlineStr">
        <is>
          <t>Low</t>
        </is>
      </c>
      <c r="I68" s="66" t="inlineStr">
        <is>
          <t>Low</t>
        </is>
      </c>
      <c r="J68" s="66" t="inlineStr">
        <is>
          <t>Medium</t>
        </is>
      </c>
      <c r="K68" s="79" t="n">
        <v>120</v>
      </c>
      <c r="L68" s="80" t="inlineStr">
        <is>
          <t>Haworthia</t>
        </is>
      </c>
      <c r="M68" s="80" t="n">
        <v>0</v>
      </c>
      <c r="N68" s="80" t="n">
        <v>0</v>
      </c>
      <c r="O68" s="81" t="n">
        <v>0</v>
      </c>
      <c r="P68" s="80" t="n">
        <v>1</v>
      </c>
      <c r="Q68" s="81">
        <f>IF(Local!I68=TRUE,1,0)</f>
        <v/>
      </c>
      <c r="R68" s="81">
        <f>Local!D68</f>
        <v/>
      </c>
      <c r="S68" s="81">
        <f>Local!F68</f>
        <v/>
      </c>
      <c r="T68" s="81">
        <f>Local!G68</f>
        <v/>
      </c>
      <c r="U68" s="83" t="inlineStr">
        <is>
          <t>## About
Zebra Plant is a charming small succulent with striking white horizontal stripes on its dark green leaves that form a beautiful rosette pattern. Originally from South Africa, this easy-to-care-for plant is perfect for beginners and can brighten up any indoor space with its unique appearance.
## Origin
Native to the Eastern Cape Province of South Africa, this plant grows naturally in rocky, semi-arid regions where it thrives in filtered sunlight under bushes and rocks. It has adapted well to indoor conditions worldwide and is especially suitable for Indian homes and offices.
## Temperature &amp; Humidity
- **Temperature Range:** 15Â°C to 35Â°C (ideal range is 18Â°C to 28Â°C)
- **Humidity:** Low to moderate humidity (30% to 50%). This plant tolerates dry air very well, making it perfect for air-conditioned rooms and most Indian climate zones. During monsoon season, ensure good air circulation to prevent excess moisture.
## Growth
Zebra Plant is a slow-growing succulent that typically reaches 10-15 cm in height and about 8-10 cm in width. It grows in a compact rosette form with thick, pointed leaves arranged in a spiral pattern. The plant produces offsets (baby plants or "pups") around the base, which can gradually form small clusters. Growth is steady throughout the year in India but may slow down slightly during extreme summer heat.
## Watering
- **Frequency:** Once every 10-14 days depending on season and weather conditions. During monsoon, reduce to once every 15-20 days. In hot summer months, water slightly more frequently if soil dries out completely.
- **Tips:** Always water thoroughly until water drains from the bottom, then let the soil dry completely before watering again. Water early morning or evening, never during peak afternoon heat. Use the "soak and dry" method. Reduce watering in winter and during rainy season. Never let the plant sit in standing water.
## Sunlight
- **Hours per day:** 3 to 4 hours
- **Type:** Bright indirect light or filtered morning sunlight. Avoid harsh afternoon sun which can burn the leaves. In India, an east-facing window is ideal. Can tolerate some shade but colors will be best with adequate bright light. Indoor fluorescent or LED lights also work well.
## Care Tips
- Perfect for small spaces like apartment balconies, study tables, and office desks
- Protect from direct afternoon sun during Indian summers (April-June) as it can scorch the leaves
- During monsoon, keep under shelter to avoid overwatering from rain
- Clean leaves gently with a soft brush to remove dust and maintain the decorative white stripes
- Can tolerate air conditioning and fan air very well
- Excellent air-purifying qualities for indoor spaces
- Rotate the pot monthly for even growth on all sides
## Growth Tips
- **Soil:** Use well-draining cactus or succulent mix. You can make your own by mixing regular potting soil with coarse sand and perlite in equal parts
- **Fertilizer:** Feed once in 2-3 months with diluted liquid succulent fertilizer during growing season (spring and autumn). Avoid fertilizing during extreme summer and winter
- **Repotting:** Repot every 2-3 years or when the plant becomes root-bound. Best time is early spring or after monsoon season
- **Propagation:** Easy to propagate from offsets. Gently separate pups when they're about one-third the size of the mother plant
- Use terracotta or clay pots for better drainage and breathability
## Common Problems
- **Brown/black leaves:** Usually caused by overwatering or poor drainage. Reduce watering frequency and check if pot has drainage holes
- **Pale or reddish leaves:** Too much direct sunlight. Move to a location with filtered light
- **Stretching or elongated growth:** Not enough light. Move to a brighter spot
- **Soft, mushy leaves:** Root rot from overwatering. Stop watering immediately and consider repotting in fresh, dry soil
- **White powdery spots:** Mealybugs. Remove with cotton swab dipped in rubbing alcohol
- **Slow or no growth:** Normal for this plant, but could also indicate need for repotting or fertilizer
- **Leaf tips turning brown:** Under-watering or too much fertilizer. Adjust care accordingly</t>
        </is>
      </c>
      <c r="V68" s="98">
        <f>HYPERLINK("https://rosaryplanthouse.com/plant/"&amp;A68&amp;"-"&amp;SUBSTITUTE(LOWER(E68), " ", "-"))</f>
        <v/>
      </c>
      <c r="W68" t="inlineStr">
        <is>
          <t>🟢 Haworthiopsis attenuata (ID: 67)
🌿 Say hello to the charming Haworthia Fat! This delightful succulent is not just a feast for the eyes but also a breeze to care for! 🌱
With its striking white stripes against dark green leaves, this beauty is a true showstopper for any indoor space! Perfect for beginners, it thrives in low humidity and requires minimal watering, making it an ideal companion for your home or office. 🏡✨
**Key Details:**
- 🌞 Sunlight: Prefers bright indirect light
- 💧 Watering: Low - every 10-14 days
- 🌍 Origin: Native to South Africa, adapts beautifully to indoor environments
- 🍃 Air-purifying: Great for improving indoor air quality
Ready to add some greenery to your life? 🌿💚 Check out the full details and bring home your very own Haworthia Fat! Link in bio. 
#Haworthia #ZebraPlant #SucculentLove #IndoorPlants #PlantParenthood #PlantAddict #GreenThumb #HomeDecor #UrbanJungle #RosaryPlantHouse #PlantLovers #SucculentsOfInstagram #EasyCarePlants #IndoorGardening #HouseplantClub #NatureInYourHome</t>
        </is>
      </c>
    </row>
    <row r="69" ht="99.5" customHeight="1">
      <c r="A69" s="73" t="n">
        <v>68</v>
      </c>
      <c r="B69" s="74" t="inlineStr">
        <is>
          <t>Haworthia Dot</t>
        </is>
      </c>
      <c r="C69" s="74">
        <f>IF(Local!H69,"1","0")</f>
        <v/>
      </c>
      <c r="D69" s="75" t="n">
        <v>59</v>
      </c>
      <c r="E69" s="66" t="inlineStr">
        <is>
          <t>Haworthiopsis coarctata</t>
        </is>
      </c>
      <c r="F69" s="76">
        <f>"public/sale_plants/"&amp;A69&amp;".jpg"</f>
        <v/>
      </c>
      <c r="G69" s="77" t="inlineStr">
        <is>
          <t>(2"-3")</t>
        </is>
      </c>
      <c r="H69" s="78" t="inlineStr">
        <is>
          <t>Moderate</t>
        </is>
      </c>
      <c r="I69" s="66" t="inlineStr">
        <is>
          <t>Low</t>
        </is>
      </c>
      <c r="J69" s="66" t="inlineStr">
        <is>
          <t>Medium</t>
        </is>
      </c>
      <c r="K69" s="79" t="n">
        <v>120</v>
      </c>
      <c r="L69" s="80" t="inlineStr">
        <is>
          <t>Haworthia</t>
        </is>
      </c>
      <c r="M69" s="80" t="n">
        <v>0</v>
      </c>
      <c r="N69" s="80" t="n">
        <v>0</v>
      </c>
      <c r="O69" s="81" t="n">
        <v>0</v>
      </c>
      <c r="P69" s="80" t="n">
        <v>1</v>
      </c>
      <c r="Q69" s="81">
        <f>IF(Local!I69=TRUE,1,0)</f>
        <v/>
      </c>
      <c r="R69" s="81">
        <f>Local!D69</f>
        <v/>
      </c>
      <c r="S69" s="81">
        <f>Local!F69</f>
        <v/>
      </c>
      <c r="T69" s="81">
        <f>Local!G69</f>
        <v/>
      </c>
      <c r="U69" s="83" t="inlineStr">
        <is>
          <t>## About
Haworthiopsis coarctata, commonly known as Clustered Haworthia, is a beautiful small succulent with distinctive bumpy, textured leaves that form tight rosettes. This easy-to-care-for plant is perfect for beginners and makes an excellent addition to any indoor succulent collection. It originates from South Africa and is known for its attractive appearance and low maintenance needs.
## Origin
This plant is native to the Eastern Cape province of South Africa, where it grows in rocky areas and dry grasslands. In its natural habitat, it often grows in clusters among rocks and receives protection from the harsh afternoon sun.
## Temperature &amp; Humidity
- **Temperature Range:** 10Â°C to 35Â°C
- **Humidity:** This plant prefers low to moderate humidity levels, around 30% to 50%. It adapts well to typical indoor humidity levels in Indian homes and does not require any special humidity adjustments.
## Growth
Haworthiopsis coarctata is a slow-growing succulent that typically reaches 10-15 cm in height. The plant produces offsets (baby plants) freely, forming attractive clusters over time. Each rosette grows in an upright column with leaves arranged in a spiral pattern. The leaves are dark green with raised white dots that create an interesting textured appearance. The plant spreads slowly to about 15-20 cm wide as it produces more offsets.
## Watering
- **Frequency:** Once every 2 weeks depending on season and weather conditions. Water less frequently during monsoon and winter months.
- **Tips:** Always check if the soil is completely dry before watering. Water thoroughly until water drains from the bottom holes, then discard excess water. Avoid getting water on the leaves or in the center of the rosette. During summer, you may need to water slightly more often, while in winter and rainy season, reduce watering to once every 3-4 weeks.
## Sunlight
- **Hours per day:** 3 to 4 hours
- **Type:** Bright indirect light or morning direct sunlight.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During monsoon season, move the plant to a covered area and reduce watering significantly
- The plant can tolerate Indian summer heat well if kept in bright shade
- Clean the leaves occasionally with a soft brush to remove dust
- This plant is perfect for air-conditioned rooms and office desks
- Avoid placing near ceiling fans or coolers as the plant prefers stable conditions
## Growth Tips
- Use a cactus or succulent potting mix, or create your own by mixing regular soil with 50% coarse sand and perlite
- Add small pieces of charcoal to the soil mix to prevent fungal growth
- Fertilize only during the growing season (spring and early summer) with a diluted balanced liquid fertilizer once a month
- Repot every 2-3 years or when the plant becomes too crowded in its pot
- Propagate by separating offsets during repotting - allow offsets to dry for a day before planting
- Use terracotta or clay pots which allow better air circulation and faster soil drying
## Common Problems
- **Leaf rot and mushy leaves:** Caused by overwatering or water sitting in the center of the rosette
- **Brown or red leaves:** Result of too much direct sunlight or sunburn, especially during harsh summer afternoons
- **Stretched or elongated growth:** Indicates insufficient light - move to a brighter location
- **Slow or no growth:** Normal for this species, but can also indicate lack of nutrients - fertilize lightly during growing season
- **Mealybugs in leaf crevices:** White cottony pests that hide between leaves - remove with cotton swabs dipped in rubbing alcohol
- **Root rot:** Caused by poor drainage or watering too frequently - ensure proper drainage and let soil dry completely between waterings
- **Shriveled leaves:** Sign of underwatering - increase watering frequency slightly</t>
        </is>
      </c>
      <c r="V69" s="98">
        <f>HYPERLINK("https://rosaryplanthouse.com/plant/"&amp;A69&amp;"-"&amp;SUBSTITUTE(LOWER(E69), " ", "-"))</f>
        <v/>
      </c>
      <c r="W69" t="inlineStr">
        <is>
          <t>🟢 Haworthiopsis coarctata (ID: 68)
🌿 Meet the charming **Haworthia Dot**! This delightful succulent is a must-have for your indoor garden. 
With its unique bumpy, textured leaves forming stunning rosettes, the **Haworthiopsis coarctata** is perfect for both seasoned plant parents and beginners alike. Originating from the sun-kissed Eastern Cape of South Africa, it thrives on low maintenance and adds a touch of elegance to any space. 
🪴 **Key Details:**
- **Watering:** Low, just once every 2 weeks!
- **Sunlight:** Loves bright indirect light or a splash of morning sun.
- **Humidity:** Adapts well to typical indoor levels.
- **Growth:** Forms beautiful clusters over time.
✨ Ready to bring home this gorgeous succulent? Check the **Link in bio** for more details!
#HaworthiaDot #SucculentLove #IndoorPlants #PlantParenthood #SucculentCare #GreenThumb #RosaryPlantHouse #PlantCollection #HomeDecor #SouthAfricanPlants #EasyCarePlants #PlantAddict #NatureLovers #PlantGoals #PlantInspiration</t>
        </is>
      </c>
    </row>
    <row r="70" ht="99.5" customHeight="1">
      <c r="A70" s="73" t="n">
        <v>69</v>
      </c>
      <c r="B70" s="74" t="inlineStr">
        <is>
          <t>tricolour aeonium</t>
        </is>
      </c>
      <c r="C70" s="74">
        <f>IF(Local!H70,"1","0")</f>
        <v/>
      </c>
      <c r="D70" s="75" t="n">
        <v>59</v>
      </c>
      <c r="E70" s="66" t="inlineStr">
        <is>
          <t>Aeonium haworthii</t>
        </is>
      </c>
      <c r="F70" s="76">
        <f>"public/sale_plants/"&amp;A70&amp;".jpg"</f>
        <v/>
      </c>
      <c r="G70" s="77" t="inlineStr">
        <is>
          <t>(2"-3")</t>
        </is>
      </c>
      <c r="H70" s="78" t="inlineStr">
        <is>
          <t>Moderate</t>
        </is>
      </c>
      <c r="I70" s="66" t="inlineStr">
        <is>
          <t>Low</t>
        </is>
      </c>
      <c r="J70" s="66" t="inlineStr">
        <is>
          <t>Medium</t>
        </is>
      </c>
      <c r="K70" s="79" t="n">
        <v>120</v>
      </c>
      <c r="L70" s="80" t="inlineStr">
        <is>
          <t>Succulent</t>
        </is>
      </c>
      <c r="M70" s="80" t="n">
        <v>0</v>
      </c>
      <c r="N70" s="80" t="n">
        <v>0</v>
      </c>
      <c r="O70" s="81" t="n">
        <v>0</v>
      </c>
      <c r="P70" s="81" t="n">
        <v>0</v>
      </c>
      <c r="Q70" s="81" t="n">
        <v>1</v>
      </c>
      <c r="R70" s="81">
        <f>Local!D70</f>
        <v/>
      </c>
      <c r="S70" s="81">
        <f>Local!F70</f>
        <v/>
      </c>
      <c r="T70" s="81">
        <f>Local!G70</f>
        <v/>
      </c>
      <c r="U70" s="83" t="inlineStr">
        <is>
          <t>## About
Haworth's Aeonium is a beautiful rosette-forming succulent that displays stunning green leaves with bright red or pink edges. This plant is known for its compact, symmetrical growth and fuzzy, hairy leaves that give it a soft appearance, making it a favorite among succulent collectors.
## Origin
This plant is native to the Canary Islands, where it grows in rocky, mountainous areas with mild temperatures and low rainfall. It belongs to the Crassulaceae family and thrives in Mediterranean-like climates.
## Temperature &amp; Humidity
- **Temperature Range:** 15Â°C to 30Â°C
- **Humidity:** Prefers low to moderate humidity levels, around 30% to 50%. It can tolerate dry conditions well but should be protected from excessive moisture.
## Growth
Haworth's Aeonium grows as a small, compact rosette that typically reaches 15 to 30 cm in height and spread. It grows at a moderate pace and may produce offsets (baby plants) around the base. The plant can develop multiple rosettes over time, creating a clustering effect. The leaves are covered with fine hairs and display beautiful color variations depending on sun exposure and season.
## Watering
- **Frequency:** Once every week or two depending on season, weather conditions, and soil dryness. Water less during monsoon and winter months.
- **Tips:** Allow the soil to dry out completely between waterings. Water deeply but infrequently. Reduce watering during the dormant summer season when the plant rests. Overwatering is the most common cause of problems with this plant. Always check if the soil is dry before watering again.
## Sunlight
- **Hours per day:** 4 to 6 hours
- **Type:** Bright indirect light to partial direct sunlight. Morning sun is ideal. Protect from harsh afternoon sun in summer, especially in hot Indian climates.
## Care Tips
- Provide good air circulation to prevent fungal issues during humid monsoon months
- Protect from heavy rain and excessive moisture during monsoons
- Move to a shadier spot during peak summer if leaves start to close up or look stressed
- The red edges become more vibrant with cooler temperatures and bright light
- Keep in well-draining pots with drainage holes
- During hot Indian summers, the plant may go dormant and require very little water
## Growth Tips
- Use a well-draining cactus or succulent soil mix with perlite or coarse sand
- Add a layer of small stones or gravel on top of the soil for better drainage
- Fertilize lightly once every 2-3 months during the growing season (autumn and spring) with a diluted succulent fertilizer
- Repot every 2-3 years or when the plant becomes root-bound
- Spring or early autumn is the best time for repotting
- Propagate easily from stem cuttings or offsets
## Common Problems
- **Leaf drop:** Caused by overwatering or poor drainage. Allow soil to dry completely between waterings
- **Brown, mushy leaves:** Sign of root rot from too much water. Reduce watering immediately
- **Leaves losing color or turning pale:** Not enough sunlight. Move to a brighter location
- **Rosette closing up tightly:** Natural response to heat stress or dormancy during summer
- **Mealybugs:** White cottony pests on leaves. Remove with cotton swab dipped in rubbing alcohol
- **Fungal issues:** Common during humid monsoon season. Ensure good air flow and avoid wetting leaves
- **Leggy growth:** Insufficient light causing the plant to stretch. Provide more bright light</t>
        </is>
      </c>
      <c r="V70" s="98">
        <f>HYPERLINK("https://rosaryplanthouse.com/plant/"&amp;A70&amp;"-"&amp;SUBSTITUTE(LOWER(E70), " ", "-"))</f>
        <v/>
      </c>
      <c r="W70" t="inlineStr">
        <is>
          <t>🌱 Aeonium Haworthii (ID: 69)
✨ Transform your space with the stunning Tricolour Aeonium! This rosette-forming succulent showcases beautiful green leaves adorned with vibrant red or pink edges, making it a must-have for any plant lover. 
🌿 **About:** Native to the Canary Islands, this beauty thrives in mild temperatures and low humidity, perfect for adding a touch of the Mediterranean to your home. Its compact, symmetrical growth and soft, fuzzy leaves create a delightful aesthetic that will capture attention.
💧 **Key Details:**
- **Watering:** Low maintenance; allow soil to dry out completely.
- **Sunlight:** Prefers bright indirect light to partial direct sunlight; 4-6 hours daily.
- **Care Tips:** Ensure good air circulation and protect from heavy rain. 
👉 Ready to welcome this charming succulent into your collection? Discover more about the Tricolour Aeonium! Link in bio.
#AeoniumHaworthii #TricolourAeonium #SucculentLove #PlantCollection #HomeDecor #IndoorPlants #PlantParent #SucculentCare #GreenThumb #RosaryPlantHouse #PlantAddict #CanaryIslands #PlantLovers #PlantJoy #NatureInYourHome 🌿✨</t>
        </is>
      </c>
    </row>
    <row r="71" ht="99.5" customHeight="1">
      <c r="A71" s="73" t="n">
        <v>70</v>
      </c>
      <c r="B71" s="74" t="inlineStr">
        <is>
          <t>Rangoli Echeviria</t>
        </is>
      </c>
      <c r="C71" s="74">
        <f>IF(Local!H71,"1","0")</f>
        <v/>
      </c>
      <c r="D71" s="75" t="n">
        <v>100</v>
      </c>
      <c r="E71" s="66" t="inlineStr">
        <is>
          <t>Echeveria agavoides</t>
        </is>
      </c>
      <c r="F71" s="76">
        <f>"public/sale_plants/"&amp;A71&amp;".jpg"</f>
        <v/>
      </c>
      <c r="G71" s="77" t="inlineStr">
        <is>
          <t>(2"-3")</t>
        </is>
      </c>
      <c r="H71" s="78" t="inlineStr">
        <is>
          <t>Moderate</t>
        </is>
      </c>
      <c r="I71" s="66" t="inlineStr">
        <is>
          <t>Low</t>
        </is>
      </c>
      <c r="J71" s="66" t="inlineStr">
        <is>
          <t>High</t>
        </is>
      </c>
      <c r="K71" s="79" t="n">
        <v>149</v>
      </c>
      <c r="L71" s="81" t="inlineStr">
        <is>
          <t>Echeveria</t>
        </is>
      </c>
      <c r="M71" s="80" t="n">
        <v>0</v>
      </c>
      <c r="N71" s="80" t="n">
        <v>0</v>
      </c>
      <c r="O71" s="81" t="n">
        <v>0</v>
      </c>
      <c r="P71" s="80" t="n">
        <v>0</v>
      </c>
      <c r="Q71" s="81">
        <f>IF(Local!I71=TRUE,1,0)</f>
        <v/>
      </c>
      <c r="R71" s="81">
        <f>Local!D71</f>
        <v/>
      </c>
      <c r="S71" s="81">
        <f>Local!F71</f>
        <v/>
      </c>
      <c r="T71" s="81">
        <f>Local!G71</f>
        <v/>
      </c>
      <c r="U71" s="83" t="inlineStr">
        <is>
          <t>## About
The Lipstick Echeveria is a beautiful succulent plant known for its thick, pointed leaves arranged in a perfect rosette shape. The pale green leaves have stunning red tips that look like someone painted them with lipstick, giving this plant its charming common name.
## Origin
This succulent comes from the rocky mountain regions of Mexico, where it grows naturally in dry, sunny areas. It is adapted to survive in harsh conditions with little water and plenty of sunlight.
## Temperature &amp; Humidity
- **Temperature Range:** 15Â°C to 35Â°C (can tolerate up to 40Â°C in Indian summers)
- **Humidity:** Low to moderate humidity (30% to 50%). This plant does well in dry conditions and does not need high humidity. It can adapt well to most Indian climate zones.
## Growth
Echeveria agavoides grows as a compact rosette that typically reaches 8 to 15 cm in diameter and about 10 cm in height. It grows slowly and steadily, making it perfect for small pots and tabletop displays. The plant stays compact and does not spread much. In good conditions, it may produce offsets (baby plants) around the base, which can be used for propagation.
## Watering
- **Frequency:** Once every 10-15 days depending on season and weather conditions. Water less in monsoon and winter, slightly more in hot summer months.
- **Tips:** Always water deeply but allow the soil to dry out completely between waterings. Water at the base of the plant, avoiding the leaves and center of the rosette to prevent rot. Use the "soak and dry" method - give it a good drink, then wait until soil is completely dry. Reduce watering during monsoon season when humidity is high.
## Sunlight
- **Hours per day:** 4 to 6 hours
- **Type:** Direct morning sunlight is ideal. Provide bright indirect light during harsh afternoon hours in peak summer (April-June). The red tips become more vibrant with adequate sunlight. Can tolerate some afternoon sun in winter months.
## Care Tips
- Keep the plant in a spot with good air circulation to prevent fungal issues during monsoon
- Avoid getting water on the leaves as the powdery coating (farina) can wash off and leave marks
- The red tips become brighter with more sunlight and slight stress (less water)
- Protect from heavy rain during monsoon - keep under a shed or bring indoors
- Can be kept indoors near a sunny window, but outdoor morning sun is best
- Remove any dead or dried leaves from the bottom to keep the plant healthy
## Growth Tips
- Use well-draining cactus or succulent soil mix. You can make your own by mixing regular potting soil with cocopeat and perlite or sand in equal parts
- Add a layer of small stones or gravel at the pot bottom for extra drainage
- Feed with diluted liquid succulent fertilizer once every 2-3 months during growing season (February to October)
- Repot every 2-3 years in spring using fresh soil and a slightly larger pot
- Choose terracotta or clay pots as they allow soil to dry faster
- Add a top dressing of small pebbles around the plant for a decorative look and to prevent soil splash
## Common Problems
- **Leaf rot or mushy leaves:** Caused by overwatering or water sitting in the rosette center. Always water at the base.
- **Stretching or elongated growth:** Not enough sunlight. Move to a brighter location.
- **Brown or black spots:** Fungal infection due to high humidity or poor air circulation during monsoon.
- **Mealybugs (white cottony pests):** Common in succulents. Remove with cotton swab dipped in rubbing alcohol.
- **Shriveled leaves:** Underwatering. Give the plant a good soak.
- **Pale or faded color:** Needs more sunlight to develop vibrant red tips.
- **Root rot:** Caused by poorly draining soil or keeping soil constantly wet. Use well-draining soil and proper watering schedule.</t>
        </is>
      </c>
      <c r="V71" s="98">
        <f>HYPERLINK("https://rosaryplanthouse.com/plant/"&amp;A71&amp;"-"&amp;SUBSTITUTE(LOWER(E71), " ", "-"))</f>
        <v/>
      </c>
      <c r="W71" t="inlineStr">
        <is>
          <t>🟢 Echeveria agavoides (ID: 70)  
🌿✨ Meet the stunning Rangoli Echeveria! ✨🌿
This gorgeous succulent is not just a treat for the eyes; it's also a low-maintenance companion! With its thick, pointed leaves forming a perfect rosette and that eye-catching red-tipped charm, it’s like a little piece of art for your home. 
🌍 **Origin:** Native to the rocky mountains of Mexico, this beauty thrives in sunny, dry conditions.  
💧 **Watering:** Low; just once every 10-15 days!  
☀️ **Sunlight:** Loves bright morning light and can tolerate some afternoon sun. 
Bring a touch of the outdoors inside with the Rangoli Echeveria! Perfect for both beginners and seasoned plant parents. 
👉 Link in bio to get yours today!  
#Echeveria #SucculentLove #PlantParenthood #HomeDecor #IndoorPlants #LowMaintenancePlants #GreenThumb #SucculentGarden #PlantStagram #HouseplantClub #RosaryPlantHouse #NatureLovers #PlantCollection #SucculentLife</t>
        </is>
      </c>
    </row>
    <row r="72" ht="99.5" customHeight="1">
      <c r="A72" s="73" t="n">
        <v>71</v>
      </c>
      <c r="B72" s="74" t="inlineStr">
        <is>
          <t>Grey Moonstone</t>
        </is>
      </c>
      <c r="C72" s="74">
        <f>IF(Local!H72,"1","0")</f>
        <v/>
      </c>
      <c r="D72" s="75" t="n">
        <v>69</v>
      </c>
      <c r="E72" s="66" t="inlineStr">
        <is>
          <t>Pachyphytum oviferum</t>
        </is>
      </c>
      <c r="F72" s="76">
        <f>"public/sale_plants/"&amp;A72&amp;".jpg"</f>
        <v/>
      </c>
      <c r="G72" s="77" t="inlineStr">
        <is>
          <t>(2"-3")</t>
        </is>
      </c>
      <c r="H72" s="78" t="inlineStr">
        <is>
          <t>Moderate</t>
        </is>
      </c>
      <c r="I72" s="66" t="inlineStr">
        <is>
          <t>Low</t>
        </is>
      </c>
      <c r="J72" s="66" t="inlineStr">
        <is>
          <t>High</t>
        </is>
      </c>
      <c r="K72" s="79" t="n">
        <v>120</v>
      </c>
      <c r="L72" s="80" t="inlineStr">
        <is>
          <t>Succulent</t>
        </is>
      </c>
      <c r="M72" s="80" t="n">
        <v>0</v>
      </c>
      <c r="N72" s="80" t="n">
        <v>0</v>
      </c>
      <c r="O72" s="81" t="n">
        <v>0</v>
      </c>
      <c r="P72" s="80" t="n">
        <v>0</v>
      </c>
      <c r="Q72" s="81">
        <f>IF(Local!I72=TRUE,1,0)</f>
        <v/>
      </c>
      <c r="R72" s="81">
        <f>Local!D72</f>
        <v/>
      </c>
      <c r="S72" s="81">
        <f>Local!F72</f>
        <v/>
      </c>
      <c r="T72" s="81">
        <f>Local!G72</f>
        <v/>
      </c>
      <c r="U72" s="83" t="inlineStr">
        <is>
          <t>## About
Pachyphytum oviferum, commonly known as Moonstones, is a beautiful succulent with plump, rounded leaves that look like smooth pastel-colored stones or eggs. This Mexican native is loved by plant collectors for its unique appearance and powdery coating that gives it a dreamy, moon-like glow.
## Origin
Moonstones are native to Mexico, particularly the central and northern regions. In their natural habitat, they grow on rocky slopes and cliffs where water drains quickly and sunlight is abundant. They are adapted to dry, warm conditions with seasonal rainfall.
## Temperature &amp; Humidity
- **Temperature Range:** 15Â°C to 30Â°C
- **Humidity:** Low to moderate humidity (30% to 50%). These plants prefer dry conditions and can tolerate the humidity levels common in most Indian homes. They do well in air-conditioned rooms but should be protected from excessive moisture during monsoons.
## Growth
Moonstones are slow-growing, compact succulents that typically reach 10-15 cm in height and spread about 10-12 cm wide. The rosettes form on short stems and can produce offsets over time, creating small clusters. The fleshy, oval-shaped leaves are arranged in a rosette pattern and have a beautiful blue-green to lavender-pink color with a powdery coating called farina that protects the plant from intense sun.
## Watering
- **Frequency:** Once every 10-15 days depending on season and weather conditions. During monsoon and winter, reduce watering to once every 3 weeks.
- **Tips:** Always water thoroughly until water drains from the bottom, then allow the soil to dry completely before the next watering. Avoid wetting the leaves as this can remove the powdery coating. Water directly into the soil. Reduce watering significantly during the rainy season and winter months when the plant is dormant.
## Sunlight
- **Hours per day:** 4 to 6 hours
- **Type:** Bright indirect light to partial direct sunlight. Morning sun is ideal. In very hot Indian summers (above 35Â°C), provide afternoon shade to prevent leaf burn. A bright windowsill with filtered light works well indoors.
## Care Tips
- **Handle with care** â€“ the powdery coating on leaves is easily rubbed off and won't grow back
- **Provide excellent drainage** â€“ use pots with drainage holes and well-draining succulent soil mix
- **Protect from monsoon rains** â€“ move potted plants under cover during heavy rains to prevent root rot
- **Avoid sudden temperature changes** â€“ don't place near air conditioners or heaters with direct airflow
- **Watch for pests** â€“ check regularly for mealybugs which love to hide between leaves
- **Don't mist** â€“ unlike tropical plants, moonstones don't need humidity sprays
## Growth Tips
- **Soil:** Use a well-draining cactus or succulent mix with 60% potting soil and 40% perlite, coarse sand, or pumice. Good drainage is essential
- **Fertilizer:** Feed very sparingly â€“ once every 2-3 months during growing season (spring and autumn) with diluted succulent fertilizer at half strength. Skip fertilizing in summer and winter
- **Repotting:** Repot every 2-3 years in spring when the plant outgrows its pot. Use a slightly larger pot and fresh soil mix
- **Propagation:** Easily propagated from leaf cuttings or offsets. Allow cuttings to dry for 2-3 days before placing on soil
## Common Problems
- **Leaf drop or mushy leaves** â€“ caused by overwatering or poor drainage. Reduce watering frequency
- **Stretched or elongated growth** â€“ insufficient light. Move to a brighter location
- **Brown or black spots** â€“ fungal infection from excess moisture or poor air circulation
- **Shriveled leaves** â€“ underwatering. Increase watering frequency slightly
- **Mealybugs** â€“ white cottony pests that cluster in leaf joints. Remove with cotton swabs dipped in rubbing alcohol
- **Powdery coating damage** â€“ caused by touching or water splashing on leaves. This is cosmetic only and won't harm the plant
- **Root rot** â€“ from waterlogged soil during monsoons. Ensure excellent drainage and reduce watering in rainy season</t>
        </is>
      </c>
      <c r="V72" s="98">
        <f>HYPERLINK("https://rosaryplanthouse.com/plant/"&amp;A72&amp;"-"&amp;SUBSTITUTE(LOWER(E72), " ", "-"))</f>
        <v/>
      </c>
      <c r="W72" t="inlineStr">
        <is>
          <t>🟢 Grey Moonstone (ID: 71)
✨ Discover the enchanting beauty of the Grey Moonstone! This stunning succulent, known scientifically as Pachyphytum oviferum, boasts plump, pastel-colored leaves that resemble smooth stones. 🌙
🌿 About: Hailing from the rocky slopes of Mexico, the Moonstone thrives in dry, warm conditions and loves bright, indirect light. With its dreamy, powdery coating, this compact beauty is a must-have for any plant lover! 
🌞 Key Details:
- 🌱 Watering: Low - just once every 10-15 days!
- ☀️ Sunlight: Prefers 4-6 hours of bright indirect light.
- 🌡️ Temperature: Thrives between 15°C to 30°C.
Ready to add this celestial gem to your collection? 🌌 Link in bio!
#GreyMoonstone #PachyphytumOviferum #SucculentLove #IndoorPlants #PlantCollectors #GreenThumb #HousePlants #PlantParent #PlantLife #SucculentCare #RosaryPlantHouse #PlantGoals</t>
        </is>
      </c>
    </row>
    <row r="73" ht="99.5" customHeight="1">
      <c r="A73" s="73" t="n">
        <v>72</v>
      </c>
      <c r="B73" s="74" t="inlineStr">
        <is>
          <t>String of pearls</t>
        </is>
      </c>
      <c r="C73" s="74">
        <f>IF(Local!H73,"1","0")</f>
        <v/>
      </c>
      <c r="D73" s="75" t="n">
        <v>69</v>
      </c>
      <c r="E73" s="66" t="inlineStr">
        <is>
          <t>Senecio rowleyanus</t>
        </is>
      </c>
      <c r="F73" s="76">
        <f>"public/sale_plants/"&amp;A73&amp;".jpg"</f>
        <v/>
      </c>
      <c r="G73" s="77" t="inlineStr">
        <is>
          <t>(2"-3")</t>
        </is>
      </c>
      <c r="H73" s="78" t="inlineStr">
        <is>
          <t>Low</t>
        </is>
      </c>
      <c r="I73" s="66" t="inlineStr">
        <is>
          <t>Low</t>
        </is>
      </c>
      <c r="J73" s="66" t="inlineStr">
        <is>
          <t>Medium</t>
        </is>
      </c>
      <c r="K73" s="79" t="n">
        <v>79</v>
      </c>
      <c r="L73" s="81" t="inlineStr">
        <is>
          <t>Succulent</t>
        </is>
      </c>
      <c r="M73" s="80" t="n">
        <v>0</v>
      </c>
      <c r="N73" s="80" t="n">
        <v>0</v>
      </c>
      <c r="O73" s="81" t="n">
        <v>0</v>
      </c>
      <c r="P73" s="81" t="n">
        <v>0</v>
      </c>
      <c r="Q73" s="81" t="n">
        <v>1</v>
      </c>
      <c r="R73" s="81">
        <f>Local!D73</f>
        <v/>
      </c>
      <c r="S73" s="81">
        <f>Local!F73</f>
        <v/>
      </c>
      <c r="T73" s="81">
        <f>Local!G73</f>
        <v/>
      </c>
      <c r="U73" s="83" t="inlineStr">
        <is>
          <t>## About
String of Pearls is a unique and eye-catching trailing succulent with bead-like leaves that look like little green pearls strung together on thin stems. This popular houseplant is loved for its unusual appearance and makes a stunning display in hanging baskets or on shelves where its stems can cascade down beautifully.
## Origin
String of Pearls is native to the drier regions of Southwest Africa, particularly South Africa. In its natural habitat, it grows as a ground cover in rocky areas, with its trailing stems spreading across the ground to protect the plant from harsh sun and heat.
## Temperature &amp; Humidity
- **Temperature Range:** 15Â°C to 27Â°C
- **Humidity:** This plant prefers low to moderate humidity levels (30% to 50%). It can tolerate the dry indoor air commonly found in Indian homes. Avoid placing it in areas with very high humidity as this can lead to rotting issues.
## Growth
String of Pearls is a moderate to fast-growing succulent that can trail down to 60-90 cm in length when mature. The pearl-like leaves are approximately 6-8 mm in diameter and grow along thin, delicate stems. As a trailing plant, it naturally cascades downward, making it perfect for elevated planters or hanging baskets. Under good growing conditions, it can grow several inches per month during the active growing season.
## Watering
- **Frequency:** Water once every 10-14 days depending on other parameters like temperature and season. In winter, reduce watering to once every 3 weeks or when the pearls start to shrivel slightly.
- **Tips:** Allow the soil to dry out completely between waterings. Water thoroughly until water drains from the bottom, but never let the plant sit in water. The pearls will become slightly wrinkled when the plant needs water. Overwatering is the most common cause of death for this plant. During monsoon season in India, reduce watering frequency significantly as humidity is already high.
## Sunlight
- **Hours per day:** 4 to 6 hours
- **Type:** Bright indirect light is ideal. Can tolerate a few hours of gentle morning direct sunlight, but avoid harsh afternoon sun which can burn the delicate pearls. Filtered or diffused light works best for indoor conditions.
## Care Tips
- Place near an east or north-facing window for best results in Indian homes
- Avoid placing in high-traffic areas as the delicate stems can break easily
- During hot Indian summers (above 35Â°C), move the plant to a cooler, shadier spot
- Rotate the pot occasionally to ensure even growth on all sides
- Handle gently as the pearl-like leaves can detach easily from the stems
- In air-conditioned rooms, the plant will thrive due to lower humidity
- During monsoon season, ensure excellent air circulation to prevent fungal issues
## Growth Tips
- Use a well-draining succulent or cactus potting mix; you can add extra perlite or coarse sand for better drainage
- Add a thin layer of small pebbles or gravel on top of the soil to prevent stem rot where it touches moist soil
- Fertilize monthly during spring and summer with a diluted succulent fertilizer (half strength)
- No fertilizer is needed during winter months
- Repot every 2-3 years in spring using a slightly larger pot with drainage holes
- The plant can be easily propagated from stem cuttings placed directly on moist soil
## Common Problems
- **Shriveled pearls:** Usually means underwatering; the plant needs a good drink
- **Mushy or translucent pearls:** Sign of overwatering or root rot; reduce watering immediately
- **Stem rot at soil level:** Caused by too much moisture; ensure good drainage and air flow
- **Leggy growth with sparse pearls:** Not enough light; move to a brighter location
- **Brown spots or burned pearls:** Too much direct harsh sunlight; provide filtered light
- **Aphids or mealybugs:** Can occasionally attack; wipe with neem oil solution
- **Dying stems:** May be natural die-back or result of inconsistent watering; trim dead portions and adjust care routine</t>
        </is>
      </c>
      <c r="V73" s="98">
        <f>HYPERLINK("https://rosaryplanthouse.com/plant/"&amp;A73&amp;"-"&amp;SUBSTITUTE(LOWER(E73), " ", "-"))</f>
        <v/>
      </c>
      <c r="W73" t="inlineStr">
        <is>
          <t>🟢 String of Pearls (ID: 72)
🌟 Dive into the enchanting world of the String of Pearls! This charming trailing succulent is not just a plant; it's a conversation starter that adds a unique touch to your home decor. 🌿✨
🌱 Known for its mesmerizing bead-like leaves that cascade gracefully, the String of Pearls is the perfect choice for hanging baskets or elevated planters. Originating from the sun-kissed regions of Southwest Africa, this low-maintenance beauty thrives in bright indirect light and is a fantastic companion for any plant lover!
🔑 **Key Details:**
- **Watering:** Low maintenance, every 10-14 days. 
- **Sunlight:** Prefers bright, indirect light with a touch of morning sun. 
- **Humidity:** Thrives in low to moderate humidity. 
👉 Want to bring this stunning succulent home? Check out the 'Link in bio' for more details!
#StringOfPearls #SenecioRowleyanus #SucculentLove #PlantParent #IndoorPlants #HangingPlants #HomeDecor #PlantAddict #SucculentCare #GreenThumb #PlantGoals #PlantLife #HouseplantClub #RosaryPlantHouse #PlantLovers</t>
        </is>
      </c>
    </row>
    <row r="74" ht="99.5" customHeight="1">
      <c r="A74" s="73" t="n">
        <v>73</v>
      </c>
      <c r="B74" s="74" t="inlineStr">
        <is>
          <t>Snake Draft Yellow Border</t>
        </is>
      </c>
      <c r="C74" s="74">
        <f>IF(Local!H74,"1","0")</f>
        <v/>
      </c>
      <c r="D74" s="75" t="n">
        <v>69</v>
      </c>
      <c r="E74" s="66" t="inlineStr">
        <is>
          <t>Dracaena trifasciata 'Golden Hahnii'</t>
        </is>
      </c>
      <c r="F74" s="76">
        <f>"public/sale_plants/"&amp;A74&amp;".jpg"</f>
        <v/>
      </c>
      <c r="G74" s="77" t="inlineStr">
        <is>
          <t>(2"-3")</t>
        </is>
      </c>
      <c r="H74" s="78" t="inlineStr">
        <is>
          <t>Moderate</t>
        </is>
      </c>
      <c r="I74" s="66" t="inlineStr">
        <is>
          <t>Low</t>
        </is>
      </c>
      <c r="J74" s="66" t="inlineStr">
        <is>
          <t>Medium</t>
        </is>
      </c>
      <c r="K74" s="79" t="n">
        <v>149</v>
      </c>
      <c r="L74" s="80" t="inlineStr">
        <is>
          <t>Sansevieria</t>
        </is>
      </c>
      <c r="M74" s="80" t="n">
        <v>0</v>
      </c>
      <c r="N74" s="80" t="n">
        <v>0</v>
      </c>
      <c r="O74" s="81" t="n">
        <v>0</v>
      </c>
      <c r="P74" s="80" t="n">
        <v>1</v>
      </c>
      <c r="Q74" s="81">
        <f>IF(Local!I74=TRUE,1,0)</f>
        <v/>
      </c>
      <c r="R74" s="81">
        <f>Local!D74</f>
        <v/>
      </c>
      <c r="S74" s="81">
        <f>Local!F74</f>
        <v/>
      </c>
      <c r="T74" s="81">
        <f>Local!G74</f>
        <v/>
      </c>
      <c r="U74" s="83" t="inlineStr">
        <is>
          <t>## About
The Golden Bird's Nest Snake Plant is a compact, variegated variety of the popular snake plant family. This stunning plant features short, broad leaves arranged in a beautiful rosette pattern with creamy yellow margins and green centers. It's perfect for Indian homes as it thrives with minimal care and tolerates a wide range of conditions.
## Origin
Native to West Africa, particularly Nigeria and the Congo region. This cultivar 'Golden Hahnii' was developed through selective breeding to create a dwarf, variegated form that stays compact and decorative.
## Temperature &amp; Humidity
- **Temperature Range:** 15Â°C to 35Â°C (ideal range is 18Â°C to 30Â°C)
- **Humidity:** Tolerates low to moderate humidity levels (30% to 50%). This plant is highly adaptable and does well in typical Indian household conditions, including air-conditioned rooms.
## Growth
This is a dwarf variety that typically grows 15 to 20 cm tall and spreads about 15 cm wide. It grows very slowly, forming a compact rosette that looks like a bird's nest, hence its common name. The plant produces pups (offsets) from the base over time, which can fill out the pot nicely. It's one of the smallest varieties of snake plants available.
## Watering
- **Frequency:** Water once every two to three weeks depending on season, weather, and soil dryness. In monsoon, reduce watering further.
- **Tips:** Always check if the soil is completely dry before watering. Water less in winter months. Overwatering is the biggest enemy of this plant. Make sure the pot has drainage holes. During summer months in hot Indian climates, you may need to water slightly more frequently, but always let the soil dry out completely between waterings.
## Sunlight
- **Hours per day:** 2 to 4 hours of bright indirect light
- **Type:** Bright indirect light is ideal. Can tolerate low light conditions and even some direct morning sunlight. Avoid harsh afternoon sun which can scorch the yellow edges. Grows well under artificial lighting too.
## Care Tips
- Perfect for beginners and busy plant parents
- Tolerates neglect better than excessive care
- The yellow variegation becomes more vibrant with adequate light
- Can survive in air-conditioned rooms without issues
- Wipe leaves occasionally with a damp cloth to remove dust
- Avoid placing in areas with cold drafts during winter in North India
- Does not need misting or humidity trays
- Keep away from curious pets as it's mildly toxic if ingested
## Growth Tips
- **Soil:** Use well-draining cactus or succulent mix. You can mix regular potting soil with cocopeat and perlite in equal parts for good drainage.
- **Fertilizer:** Feed very sparingly, once every 2-3 months during growing season (spring and summer) with diluted balanced liquid fertilizer. Over-fertilizing can damage the roots.
- **Repotting:** Repot only when root-bound, typically every 2-3 years. This plant actually prefers being slightly pot-bound. Use a pot only slightly larger than the previous one.
- **Propagation:** Easily propagated through division of pups or leaf cuttings, though leaf cuttings may lose the yellow variegation.
## Common Problems
- **Yellow or brown mushy leaves:** Usually caused by overwatering or root rot. Reduce watering immediately and check for drainage.
- **Leaves losing yellow variegation:** Insufficient light. Move to a brighter location with more indirect sunlight.
- **Brown crispy tips:** Natural aging process or underwatering in extreme heat. Can also be caused by fluoride in tap water; use filtered water if possible.
- **Wrinkled or curling leaves:** Severe underwatering. Give the plant a thorough watering.
- **Slow or no growth:** Normal for this variety. It's naturally a very slow grower. Could also indicate it needs repotting or feeding.
- **Mealybugs or spider mites:** Rare but possible. Wipe leaves with neem oil solution as a preventive measure during humid months.</t>
        </is>
      </c>
      <c r="V74" s="98">
        <f>HYPERLINK("https://rosaryplanthouse.com/plant/"&amp;A74&amp;"-"&amp;SUBSTITUTE(LOWER(E74), " ", "-"))</f>
        <v/>
      </c>
      <c r="W74" t="inlineStr">
        <is>
          <t>🟢 Dracaena trifasciata 'Golden Hahnii' (ID: 73)  
🌟 Meet the stunning Snake Draft Yellow Border! This compact beauty brings a touch of elegance to any indoor space. Its short, broad leaves form a delightful rosette, featuring creamy yellow edges and rich green centers. Perfect for those who love low-maintenance plants!  
✨ **Key Details:**  
- **Origin:** Native to West Africa, this dwarf cultivar thrives in various conditions.  
- **Watering:** Low frequency; water every 2-3 weeks.  
- **Sunlight:** Enjoys 2-4 hours of bright indirect light.  
👉 Ready to add this gem to your collection? Link in bio!  
#Dracaena #GoldenHahnii #SnakePlant #IndoorPlants #HousePlants #PlantLovers #GreenThumb #PlantParent #HomeDecor #LowLightPlants #RosaryPlantHouse #PlantGoals 🌿🌼</t>
        </is>
      </c>
    </row>
    <row r="75" ht="99.5" customHeight="1">
      <c r="A75" s="73" t="n">
        <v>74</v>
      </c>
      <c r="B75" s="74" t="inlineStr">
        <is>
          <t>Pepromia long green</t>
        </is>
      </c>
      <c r="C75" s="74">
        <f>IF(Local!H75,"1","0")</f>
        <v/>
      </c>
      <c r="D75" s="75" t="n">
        <v>49</v>
      </c>
      <c r="E75" s="66" t="inlineStr">
        <is>
          <t>Senecio barbertonicus</t>
        </is>
      </c>
      <c r="F75" s="76">
        <f>"public/sale_plants/"&amp;A75&amp;".jpg"</f>
        <v/>
      </c>
      <c r="G75" s="77" t="inlineStr">
        <is>
          <t>(2"-3")</t>
        </is>
      </c>
      <c r="H75" s="78" t="inlineStr">
        <is>
          <t>Low</t>
        </is>
      </c>
      <c r="I75" s="66" t="inlineStr">
        <is>
          <t>Low</t>
        </is>
      </c>
      <c r="J75" s="66" t="inlineStr">
        <is>
          <t>High</t>
        </is>
      </c>
      <c r="K75" s="79" t="n">
        <v>149</v>
      </c>
      <c r="L75" s="80" t="inlineStr">
        <is>
          <t>Succulent</t>
        </is>
      </c>
      <c r="M75" s="80" t="n">
        <v>0</v>
      </c>
      <c r="N75" s="80" t="n">
        <v>0</v>
      </c>
      <c r="O75" s="81" t="n">
        <v>0</v>
      </c>
      <c r="P75" s="80" t="n">
        <v>0</v>
      </c>
      <c r="Q75" s="81">
        <f>IF(Local!I75=TRUE,1,0)</f>
        <v/>
      </c>
      <c r="R75" s="81">
        <f>Local!D75</f>
        <v/>
      </c>
      <c r="S75" s="81">
        <f>Local!F75</f>
        <v/>
      </c>
      <c r="T75" s="81">
        <f>Local!G75</f>
        <v/>
      </c>
      <c r="U75" s="83" t="inlineStr">
        <is>
          <t>## About
Senecio barbertonicus, commonly known as Succulent Bush Senecio, is a beautiful succulent plant with bright green, cylindrical finger-like leaves that grow in a rosette pattern. This plant is native to South Africa and is loved by gardeners for its unique appearance and easy care requirements. It makes an excellent addition to any succulent collection in India.
## Origin
This plant originates from South Africa, particularly from the Mpumalanga and Limpopo provinces. In its natural habitat, it grows in rocky areas and hillsides where it receives plenty of sunlight and has well-draining soil. The plant has adapted to survive in dry conditions with minimal water.
## Temperature &amp; Humidity
- **Temperature Range:** 15Â°C to 35Â°C
- **Humidity:** This plant prefers low to moderate humidity levels, typically between 30% to 50%. It can tolerate the dry indoor conditions common in Indian homes. During the hot summer months in India, it can handle temperatures above 35Â°C if given some afternoon shade.
## Growth
Senecio barbertonicus is a slow to moderate-growing succulent that can reach a height of 30 to 45 centimeters and spread about 20 to 30 centimeters wide. The plant grows upright with multiple stems forming from the base. Each stem is covered with thick, fleshy, pencil-shaped leaves that point upward and outward, creating an attractive fountain-like appearance. As the plant matures, it may develop a more bushy form with multiple rosettes.
## Watering
- **Frequency:** Once every two weeks depending on season and weather conditions. In winter, reduce watering to once every three to four weeks.
- **Tips:** Water thoroughly but allow the soil to dry out completely between waterings. During the monsoon season in India, reduce watering significantly or stop altogether if the plant is outdoors. Overwatering is the biggest threat to this plant. Always check that the top few inches of soil are completely dry before watering again. Water early in the morning so any excess moisture can evaporate during the day.
## Sunlight
- **Hours per day:** 4 to 6 hours
- **Type:** Direct sunlight is best, but the plant can tolerate bright indirect light. Morning sunlight is ideal in hot Indian summers, while afternoon sun can be too intense. If kept indoors, place it near a south or west-facing window that receives plenty of bright light.
## Care Tips
- Protect the plant from heavy monsoon rains as too much water can cause root rot
- In extremely hot summers (above 40Â°C), provide some afternoon shade to prevent leaf burn
- Keep the plant in a well-ventilated area to prevent fungal problems common in humid Indian climates
- Dust the leaves occasionally with a soft brush to keep them clean and able to photosynthesize properly
- During winter months in North India, bring potted plants indoors if temperatures drop below 10Â°C
- Remove dead or dried leaves from the base to maintain plant health and appearance
## Growth Tips
- Use a well-draining cactus or succulent soil mix with added perlite or coarse sand
- Add a layer of small gravel or stones at the bottom of the pot for extra drainage
- Feed with a diluted liquid succulent fertilizer once a month during the growing season (spring and summer)
- Avoid fertilizing during the monsoon and winter months when the plant is dormant
- Repot every 2 to 3 years or when the plant becomes root-bound, preferably in spring
- Use terracotta or clay pots as they allow better air circulation and moisture evaporation than plastic pots
- Propagate easily through stem cuttings; allow cuttings to dry for a few days before planting
## Common Problems
- **Yellowing or mushy leaves:** Caused by overwatering or poor drainage. Reduce watering immediately and check for root rot
- **Shriveled or wrinkled leaves:** Sign of underwatering. Give the plant a thorough drink
- **Leggy growth with pale leaves:** Insufficient sunlight. Move the plant to a brighter location
- **Brown leaf tips or sunburn spots:** Too much direct harsh sunlight, especially afternoon sun in peak summer
- **Mealybugs and aphids:** Common pests that appear as white cottony masses or tiny insects. Treat with neem oil spray or wipe with alcohol
- **Root rot:** Caused by waterlogged soil or poor drainage. Prevent by using proper soil mix and watering only when soil is completely dry
- **Slow or no growth:** May be due to lack of nutrients or the plant being root-bound. Fertilize or repot as needed</t>
        </is>
      </c>
      <c r="V75" s="98">
        <f>HYPERLINK("https://rosaryplanthouse.com/plant/"&amp;A75&amp;"-"&amp;SUBSTITUTE(LOWER(E75), " ", "-"))</f>
        <v/>
      </c>
      <c r="W75" t="inlineStr">
        <is>
          <t>🟢 Senecio barbertonicus (ID: 74)
🌿 Meet your new favorite succulent! The Senecio barbertonicus, also known as the Succulent Bush Senecio, is here to bring a touch of South Africa's beauty right into your home! This stunning plant features bright green, cylindrical leaves that form a captivating rosette pattern, making it a must-have for any succulent lover. 
✨ **Key Details:**
- **Watering:** Low maintenance - just once every two weeks! 
- **Sunlight:** Thrives in 4-6 hours of direct sunlight, perfect for sunny spots. 
- **Growth:** Slow to moderate growth, creating a bushy fountain-like appearance over time. 
Link in bio to add this beauty to your collection! 🌱
#SenecioBarbertonicus #SucculentLove #PlantParent #HousePlants #IndoorGarden #GreenThumb #PlantLovers #RosaryPlantHouse #GardeningTips #SucculentCare #SouthAfricanPlants #PlantAddicts #HomeDecor #PlantGoals</t>
        </is>
      </c>
    </row>
    <row r="76" ht="99.5" customHeight="1">
      <c r="A76" s="73" t="n">
        <v>75</v>
      </c>
      <c r="B76" s="74" t="inlineStr">
        <is>
          <t>Panda</t>
        </is>
      </c>
      <c r="C76" s="74">
        <f>IF(Local!H76,"1","0")</f>
        <v/>
      </c>
      <c r="D76" s="75" t="n">
        <v>79</v>
      </c>
      <c r="E76" s="66" t="inlineStr">
        <is>
          <t>Adromischus cristatus</t>
        </is>
      </c>
      <c r="F76" s="76">
        <f>"public/sale_plants/"&amp;A76&amp;".jpg"</f>
        <v/>
      </c>
      <c r="G76" s="77" t="inlineStr">
        <is>
          <t>(2"-3")</t>
        </is>
      </c>
      <c r="H76" s="78" t="inlineStr">
        <is>
          <t>Low</t>
        </is>
      </c>
      <c r="I76" s="66" t="inlineStr">
        <is>
          <t>Low</t>
        </is>
      </c>
      <c r="J76" s="66" t="inlineStr">
        <is>
          <t>Medium</t>
        </is>
      </c>
      <c r="K76" s="79" t="n">
        <v>149</v>
      </c>
      <c r="L76" s="80" t="inlineStr">
        <is>
          <t>Succulent</t>
        </is>
      </c>
      <c r="M76" s="80" t="n">
        <v>0</v>
      </c>
      <c r="N76" s="80" t="n">
        <v>0</v>
      </c>
      <c r="O76" s="81" t="n">
        <v>0</v>
      </c>
      <c r="P76" s="81" t="n">
        <v>0</v>
      </c>
      <c r="Q76" s="81">
        <f>IF(Local!I76=TRUE,1,0)</f>
        <v/>
      </c>
      <c r="R76" s="81">
        <f>Local!D76</f>
        <v/>
      </c>
      <c r="S76" s="81">
        <f>Local!F76</f>
        <v/>
      </c>
      <c r="T76" s="81">
        <f>Local!G76</f>
        <v/>
      </c>
      <c r="U76" s="83" t="inlineStr">
        <is>
          <t>## About
The Crinkle Leaf Plant is a charming small succulent known for its unique wavy-edged leaves that look like ruffled green fabric. Native to South Africa, this compact plant is loved by collectors for its unusual appearance and easy-going nature. It grows in a tight rosette pattern and stays small, making it perfect for small spaces and succulent arrangements.
## Origin
Adromischus cristatus comes from the rocky areas of South Africa, particularly the Eastern Cape region. In its natural habitat, it grows among rocks and in semi-shaded spots protected from intense afternoon sun. This plant has adapted to dry conditions with irregular rainfall, which explains its water-storing capabilities.
## Temperature &amp; Humidity
- **Temperature Range:** 15Â°C to 30Â°C (can tolerate up to 35Â°C in summer if kept in shade)
- **Humidity:** Low to moderate humidity (30% to 50%). This plant does well in typical Indian indoor conditions and doesn't need high humidity. During monsoon season, ensure good air circulation to prevent rot.
## Growth
This is a slow-growing, compact succulent that typically reaches 5 to 10 cm in height and spreads about 8 to 12 cm wide. The plant grows in a rosette form with thick, triangular leaves that have distinctive wavy or crinkled edges. The leaves are covered with tiny hairs giving them a slightly fuzzy, silvery-green appearance. Growth is very slow, so don't worry if you don't see much change for months. In India's hot summer months, the plant may go semi-dormant and grow even slower.
## Watering
- **Frequency:** Once every two weeks depending on season and weather conditions. In hot Indian summers (April-June), you may water once a week if soil dries completely. During monsoon (July-September), reduce to once every 3 weeks or when soil is bone dry.
- **Tips:** Always water at the base of the plant, never on the leaves as they can rot easily. Use the "soak and dry" method - water thoroughly until it drains out, then wait until soil is completely dry before watering again. In winter months (December-February), reduce watering to once every 3-4 weeks. Yellow or mushy leaves mean overwatering.
## Sunlight
- **Hours per day:** 3 to 4 hours of morning or evening sun
- **Type:** Bright indirect light with some direct morning sun. Avoid harsh afternoon sun especially during Indian summers (12 PM to 4 PM) as it can burn the leaves. A bright windowsill with filtered light or morning sun from an east-facing window works perfectly. Can also grow under grow lights if natural light is limited.
## Care Tips
- Keep in terracotta pots which help soil dry faster in humid conditions
- During monsoon season, move the plant to a covered area to avoid excess rain
- Protect from temperatures below 10Â°C in winter, especially in North India
- Remove dried or dead leaves from the base to prevent pest hiding spots
- Don't mist this plant - it prefers dry conditions
- Good air circulation is important, especially in coastal areas with high humidity
- Handle carefully as leaves can break off easily from the stem
## Growth Tips
- Use a well-draining succulent mix: 50% regular soil + 30% cocopeat + 20% perlite or sand
- Add small pieces of charcoal to prevent fungal growth during monsoon
- Fertilize very lightly once in 2-3 months during growing season (February-May and September-November) with diluted succulent fertilizer
- Repot only when root-bound, typically every 2-3 years in spring
- Use shallow pots as this plant has a shallow root system
- Propagate from leaf cuttings - let them dry for 2-3 days before placing on soil
## Common Problems
- **Leaf rot:** Caused by water sitting on leaves or overwatering during monsoon. Remove affected leaves immediately
- **Stretching (etiolation):** Plant becomes leggy due to insufficient light. Move to brighter location
- **Mealybugs:** White cottony pests that hide between leaves. Remove with cotton swab dipped in rubbing alcohol
- **Shriveled leaves:** Underwatering or too much direct hot sun. Increase watering slightly or move to shadier spot
- **Brown/black spots:** Fungal infection from excess humidity. Improve air circulation and reduce watering
- **Falling leaves:** Can be normal for older leaves, but if many fall, check for root rot from overwatering
- **Red/purple tinge:** Too much direct sun exposure. This may be normal stress coloring but move if leaves look burnt</t>
        </is>
      </c>
      <c r="V76" s="98">
        <f>HYPERLINK("https://rosaryplanthouse.com/plant/"&amp;A76&amp;"-"&amp;SUBSTITUTE(LOWER(E76), " ", "-"))</f>
        <v/>
      </c>
      <c r="W76" t="inlineStr">
        <is>
          <t>🟢 Adromischus cristatus (ID: 75)  
🌱 Meet the delightful **Panda Plant**! This charming little succulent is sure to steal your heart with its unique wavy-edged leaves that resemble ruffled green fabric. Native to the rocky terrains of South Africa, the Panda Plant thrives in low-maintenance conditions, making it a perfect addition for both seasoned collectors and plant newbies alike! 
✨ **Key Details:**  
- **Watering:** Low - water every 2 weeks (more during hot summers)  
- **Sunlight:** Medium - 3 to 4 hours of morning/evening sun  
- **Growth Habit:** Slow-growing rosette with thick, crinkled leaves  
- **Care Tips:** Thrives in terracotta pots, prefers dry conditions, and doesn't need frequent misting.  
💚 Ready to bring home this adorable succulent? Check out the *Link in bio*!  
#PandaPlant #AdromischusCristatus #SucculentLove #PlantParent #LowMaintenancePlants #IndoorPlants #GreenThumb #PlantCollection #SucculentCare #HouseplantClub #RosaryPlantHouse 🌿✨</t>
        </is>
      </c>
    </row>
    <row r="77" ht="99.5" customHeight="1">
      <c r="A77" s="73" t="n">
        <v>76</v>
      </c>
      <c r="B77" s="74" t="inlineStr">
        <is>
          <t>Haworthia Rough</t>
        </is>
      </c>
      <c r="C77" s="74">
        <f>IF(Local!H77,"1","0")</f>
        <v/>
      </c>
      <c r="D77" s="75" t="n">
        <v>59</v>
      </c>
      <c r="E77" s="66" t="inlineStr">
        <is>
          <t>Haworthiopsis limifolia</t>
        </is>
      </c>
      <c r="F77" s="76">
        <f>"public/sale_plants/"&amp;A77&amp;".jpg"</f>
        <v/>
      </c>
      <c r="G77" s="77" t="inlineStr">
        <is>
          <t>(2"-3")</t>
        </is>
      </c>
      <c r="H77" s="78" t="inlineStr">
        <is>
          <t>Low</t>
        </is>
      </c>
      <c r="I77" s="66" t="inlineStr">
        <is>
          <t>Low</t>
        </is>
      </c>
      <c r="J77" s="66" t="inlineStr">
        <is>
          <t>Medium</t>
        </is>
      </c>
      <c r="K77" s="79" t="n">
        <v>149</v>
      </c>
      <c r="L77" s="80" t="inlineStr">
        <is>
          <t>Haworthia</t>
        </is>
      </c>
      <c r="M77" s="80" t="n">
        <v>0</v>
      </c>
      <c r="N77" s="80" t="n">
        <v>0</v>
      </c>
      <c r="O77" s="81" t="n">
        <v>0</v>
      </c>
      <c r="P77" s="80" t="n">
        <v>1</v>
      </c>
      <c r="Q77" s="81">
        <f>IF(Local!I77=TRUE,1,0)</f>
        <v/>
      </c>
      <c r="R77" s="81">
        <f>Local!D77</f>
        <v/>
      </c>
      <c r="S77" s="81">
        <f>Local!F77</f>
        <v/>
      </c>
      <c r="T77" s="81">
        <f>Local!G77</f>
        <v/>
      </c>
      <c r="U77" s="83" t="inlineStr">
        <is>
          <t>## About
Fairy Washboard is a beautiful small succulent with unique wavy, ridged leaves arranged in a spiral rosette pattern. The leaves have a textured surface that looks like a washboard, which is how it gets its common name. This plant is native to Southern Africa and is very popular among succulent collectors for its striking appearance and easy care.
## Origin
This plant comes from Southern Africa, mainly found in countries like South Africa, Mozambique, and Swaziland. It grows naturally in rocky areas and grasslands where it receives filtered sunlight and has well-draining soil.
## Temperature &amp; Humidity
- **Temperature Range:** 15Â°C to 35Â°C (can tolerate Indian summers well but protect from extreme heat above 40Â°C)
- **Humidity:** Prefers low to moderate humidity (30% to 50%). Adapts well to typical Indian indoor humidity levels. Does not like very high humidity during monsoon season.
## Growth
Fairy Washboard grows slowly and stays compact, making it perfect for small pots and indoor spaces. The plant typically grows to about 8-10 cm in height and 10-12 cm in width. It forms a neat rosette shape and occasionally produces offsets (baby plants) around the base, which can be separated and grown into new plants. Growth is slower during hot summers and winter months, with active growth happening during spring and autumn.
## Watering
- **Frequency:** Once every 10-15 days depending on season and weather conditions. Water less in winter (once every 3 weeks) and during monsoon. Water more frequently in hot, dry summer months if the soil dries out completely.
- **Tips:** Always water at the base of the plant, avoiding the center of the rosette to prevent rot. Let the soil dry out completely between waterings. Use the "soak and dry" method - water thoroughly until it drains out from the bottom, then wait until soil is completely dry. Reduce watering during monsoon season as humidity is high.
## Sunlight
- **Hours per day:** 3 to 4 hours of bright indirect light or morning sun
- **Type:** Bright indirect light is best. Can tolerate 1-2 hours of gentle morning or evening direct sun. Avoid harsh afternoon sun which can burn the leaves and turn them brown or red.
## Care Tips
- Place near an east or north-facing window for best light in Indian homes
- During Indian summers (April-June), move to a shadier spot if leaves start turning brown
- Keep away from direct rain during monsoon to prevent overwatering and root rot
- Good air circulation is important to prevent fungal issues, especially during humid months
- Wipe dust off leaves gently with a soft brush every few weeks
- During winter, protect from temperatures below 10Â°C in North Indian regions
## Growth Tips
- Use a well-draining succulent or cactus potting mix. You can make your own by mixing regular soil with 50% coarse sand or perlite
- Add a layer of small stones or gravel at the bottom of the pot for extra drainage
- Fertilize only once every 2-3 months during growing season (spring and autumn) with a diluted succulent fertilizer at half strength
- Repot only when the plant has outgrown its pot, typically every 2-3 years
- Use terracotta or clay pots which allow better air circulation and drainage than plastic pots
- When repotting, gently remove offsets to propagate new plants
## Common Problems
- **Brown or red leaves:** Too much direct sunlight. Move to a shadier location with filtered light
- **Soft, mushy leaves:** Overwatering or root rot. Reduce watering frequency and check if soil has proper drainage
- **Leaves turning pale or stretching:** Not enough light. Move to a brighter location
- **Shriveled, wrinkled leaves:** Underwatering. Give the plant a thorough watering
- **White cotton-like spots:** Mealybugs. Remove with cotton swab dipped in rubbing alcohol
- **Black spots on leaves:** Fungal infection due to high humidity or water sitting on leaves. Improve air circulation and avoid wetting leaves
- **Slow or no growth:** Normal during extreme temperatures. Be patient and maintain regular care routine</t>
        </is>
      </c>
      <c r="V77" s="98">
        <f>HYPERLINK("https://rosaryplanthouse.com/plant/"&amp;A77&amp;"-"&amp;SUBSTITUTE(LOWER(E77), " ", "-"))</f>
        <v/>
      </c>
      <c r="W77" t="inlineStr">
        <is>
          <t>🟢 Haworthiopsis limifolia (ID: 76)
🌿 Meet the enchanting **Haworthia Rough**, also known as the Fairy Washboard! This charming succulent is a must-have for plant enthusiasts seeking unique beauty with minimal care. 
✨ With its captivating wavy, ridged leaves arranged in a stunning spiral rosette, this little gem brings a touch of Southern African charm to your indoor space. Perfect for small pots, it thrives in bright indirect light while adding a pop of greenery to your home!
🌱 **Key Details:**
- **Watering:** Low maintenance, just every 10-15 days!
- **Sunlight:** Prefers bright indirect light (3-4 hours daily).
- **Care:** Great for typical indoor humidity; protect from harsh rain and extreme temperatures.
👉 Ready to invite this beauty into your home? Explore more about the Haworthiopsis limifolia – Link in bio!
#Haworthia #SucculentLove #IndoorPlants #PlantParent #HomeDecor #GreenThumb #PlantCollector #RosaryPlantHouse #PlantAddict #SucculentCare #FairyWashboard #NatureLovers</t>
        </is>
      </c>
    </row>
    <row r="78" ht="99.5" customHeight="1">
      <c r="A78" s="73" t="n">
        <v>77</v>
      </c>
      <c r="B78" s="74" t="inlineStr">
        <is>
          <t>Seed Plant</t>
        </is>
      </c>
      <c r="C78" s="74">
        <f>IF(Local!H78,"1","0")</f>
        <v/>
      </c>
      <c r="D78" s="75" t="n">
        <v>69</v>
      </c>
      <c r="E78" s="66" t="inlineStr">
        <is>
          <t>Anacampseros baeseckei</t>
        </is>
      </c>
      <c r="F78" s="76">
        <f>"public/sale_plants/"&amp;A78&amp;".jpg"</f>
        <v/>
      </c>
      <c r="G78" s="77" t="inlineStr">
        <is>
          <t>(1.5"-2")</t>
        </is>
      </c>
      <c r="H78" s="78" t="inlineStr">
        <is>
          <t>Low</t>
        </is>
      </c>
      <c r="I78" s="66" t="inlineStr">
        <is>
          <t>Low</t>
        </is>
      </c>
      <c r="J78" s="66" t="inlineStr">
        <is>
          <t>Medium</t>
        </is>
      </c>
      <c r="K78" s="79" t="n">
        <v>89</v>
      </c>
      <c r="L78" s="80" t="inlineStr">
        <is>
          <t>Succulent</t>
        </is>
      </c>
      <c r="M78" s="80" t="n">
        <v>0</v>
      </c>
      <c r="N78" s="80" t="n">
        <v>0</v>
      </c>
      <c r="O78" s="81" t="n">
        <v>0</v>
      </c>
      <c r="P78" s="80" t="n">
        <v>0</v>
      </c>
      <c r="Q78" s="81">
        <f>IF(Local!I78=TRUE,1,0)</f>
        <v/>
      </c>
      <c r="R78" s="81">
        <f>Local!D78</f>
        <v/>
      </c>
      <c r="S78" s="81">
        <f>Local!F78</f>
        <v/>
      </c>
      <c r="T78" s="81">
        <f>Local!G78</f>
        <v/>
      </c>
      <c r="U78" s="83" t="inlineStr">
        <is>
          <t>## About
Anacampseros baeseckei, commonly known as Pink Sunrise, is a beautiful small succulent that forms compact rosettes of thick, fleshy green leaves. It produces lovely pink to purple flowers on thin stems, making it a charming addition to any succulent collection. This slow-growing plant is perfect for beginners and experienced gardeners alike.
## Origin
Anacampseros baeseckei is native to South Africa, where it grows naturally in rocky areas and dry regions. It belongs to the Anacampserotaceae family and is adapted to survive in harsh, arid conditions with minimal water and nutrients.
## Temperature &amp; Humidity
- **Temperature Range:** 15Â°C to 35Â°C
- **Humidity:** This plant prefers low to moderate humidity levels (30% to 50%). It is well-adapted to dry conditions and can handle the typical humidity levels found in most Indian homes. During monsoon season, ensure good air circulation to prevent fungal issues.
## Growth
Anacampseros baeseckei is a slow-growing succulent that typically reaches about 5-8 cm in height and spreads to about 8-10 cm wide. It forms tight, compact rosettes that may produce small offsets over time. The plant grows in a clumping pattern and can be propagated from these offsets or from seeds. The growth is slower during winter months and more active during spring and summer.
## Watering
- **Frequency:** Once every 10-15 days depending on season and weather conditions. Water less frequently during monsoon and winter months.
- **Tips:** Allow the soil to dry out completely between waterings. Water thoroughly when you do water, ensuring excess water drains out completely. Reduce watering during winter months to once every 3 weeks. Use the soak and dry method - when you water, soak the soil thoroughly and then wait until it is completely dry before watering again. Avoid getting water on the leaves to prevent rot.
## Sunlight
- **Hours per day:** 4 to 6 hours
- **Type:** Bright indirect light or filtered morning sunlight. Can tolerate 2-3 hours of gentle direct morning sun, but protect from harsh afternoon sun which can scorch the leaves. In Indian summers, filtered light or bright shade works best.
## Care Tips
- Protect from heavy monsoon rains by keeping under a shelter or bringing indoors
- Ensure excellent drainage to prevent root rot, especially during humid months
- During Indian summers (April-June), provide shade during peak afternoon hours (12 PM - 4 PM)
- The plant can handle heat well but needs protection from extreme temperatures above 40Â°C
- Keep in a well-ventilated area to prevent fungal growth during humid months
- Clean the leaves occasionally with a soft brush to remove dust
- The plant may go semi-dormant during very hot summers, so reduce watering during this time
## Growth Tips
- Use a well-draining succulent or cactus soil mix, or make your own with 50% regular potting soil, 30% coarse sand, and 20% perlite
- Add small gravel or pumice to improve drainage further
- Fertilize sparingly - once every 2-3 months during the growing season (spring and early summer) with a diluted liquid succulent fertilizer at half strength
- Repot only when the plant has outgrown its container, typically every 2-3 years
- Use terracotta or clay pots which allow better air circulation and moisture evaporation
- Top-dress with small pebbles or gravel for a neat appearance and to prevent soil splash on leaves
## Common Problems
- **Root rot:** Caused by overwatering or poor drainage. Signs include soft, mushy leaves and blackened stem base
- **Leaf drop:** Usually from overwatering or sudden temperature changes
- **Stretched growth (etiolation):** Not enough light causes the plant to stretch and lose its compact form
- **Sunburn:** Brown or white patches on leaves from too much direct harsh sunlight
- **Mealybugs:** White cottony pests that hide between leaves. Remove with cotton swabs dipped in rubbing alcohol
- **No flowering:** Insufficient light or lack of a slight winter rest period may prevent blooming
- **Wrinkled leaves:** Sign of underwatering. The plant needs water when leaves start to wrinkle slightly</t>
        </is>
      </c>
      <c r="V78" s="98">
        <f>HYPERLINK("https://rosaryplanthouse.com/plant/"&amp;A78&amp;"-"&amp;SUBSTITUTE(LOWER(E78), " ", "-"))</f>
        <v/>
      </c>
      <c r="W78" t="inlineStr">
        <is>
          <t>🟢 Anacampseros baeseckei (ID: 77)  
🌟 Meet the stunning Pink Sunrise! This captivating succulent is perfect for both plant enthusiasts and beginners alike. With its charming rosettes and delicate pink to purple flowers, it’s sure to brighten up your plant collection! 🌼✨  
🌿 **About**: Anacampseros baeseckei thrives in tough conditions, making it a resilient addition to your home. Native to South Africa, it requires low watering and enjoys bright indirect sunlight. This slow-growing beauty will reward you with delightful blooms through the seasons!  
💧 **Care Tips**: 
- Water every 10-15 days, allowing the soil to dry out completely between waterings. 
- Provide 4-6 hours of bright indirect light.
- Ensure excellent drainage to keep this beauty thriving.
👉 Ready to add this lovely succulent to your collection? **Link in bio**!  
#PinkSunrise #Anacampseros #SucculentLove #PlantCollection #IndoorPlants #SucculentCare #PlantLovers #GreenThumb #RosaryPlantHouse #PlantAddict #GardeningJoy #HomeDecor #NatureLovers #SouthAfricanPlants #SucculentCommunity</t>
        </is>
      </c>
    </row>
    <row r="79" ht="99.5" customHeight="1">
      <c r="A79" s="73" t="n">
        <v>78</v>
      </c>
      <c r="B79" s="74" t="inlineStr">
        <is>
          <t>Aloe vera black</t>
        </is>
      </c>
      <c r="C79" s="74">
        <f>IF(Local!H79,"1","0")</f>
        <v/>
      </c>
      <c r="D79" s="75" t="n">
        <v>69</v>
      </c>
      <c r="E79" s="66" t="inlineStr">
        <is>
          <t>Aloe vera</t>
        </is>
      </c>
      <c r="F79" s="76">
        <f>"public/sale_plants/"&amp;A79&amp;".jpg"</f>
        <v/>
      </c>
      <c r="G79" s="77" t="inlineStr">
        <is>
          <t>(2"-3")</t>
        </is>
      </c>
      <c r="H79" s="78" t="inlineStr">
        <is>
          <t>Low</t>
        </is>
      </c>
      <c r="I79" s="66" t="inlineStr">
        <is>
          <t>Low</t>
        </is>
      </c>
      <c r="J79" s="66" t="inlineStr">
        <is>
          <t>High</t>
        </is>
      </c>
      <c r="K79" s="79" t="n">
        <v>120</v>
      </c>
      <c r="L79" s="80" t="inlineStr">
        <is>
          <t>Aloe</t>
        </is>
      </c>
      <c r="M79" s="80" t="n">
        <v>0</v>
      </c>
      <c r="N79" s="80" t="n">
        <v>0</v>
      </c>
      <c r="O79" s="81" t="n">
        <v>0</v>
      </c>
      <c r="P79" s="81" t="n">
        <v>0</v>
      </c>
      <c r="Q79" s="81">
        <f>IF(Local!I79=TRUE,1,0)</f>
        <v/>
      </c>
      <c r="R79" s="81">
        <f>Local!D79</f>
        <v/>
      </c>
      <c r="S79" s="81">
        <f>Local!F79</f>
        <v/>
      </c>
      <c r="T79" s="81">
        <f>Local!G79</f>
        <v/>
      </c>
      <c r="U79" s="83" t="inlineStr">
        <is>
          <t>## About
Aloe Vera is a popular succulent plant known for its thick, fleshy leaves filled with healing gel. This amazing plant has been used for thousands of years for its medicinal properties and is very easy to grow, making it perfect for beginners and experienced gardeners alike.
## Origin
Aloe Vera originally comes from the Arabian Peninsula but has been cultivated worldwide in tropical, semi-tropical, and arid climates. It grows naturally in hot, dry regions and has adapted well to Indian climate conditions, thriving in most parts of the country.
## Temperature &amp; Humidity
- **Temperature Range:** 13Â°C to 40Â°C
- **Humidity:** Aloe Vera prefers low to moderate humidity levels (30% to 50%). It can tolerate the humid conditions found in many parts of India but does not require high humidity to thrive. The plant is very hardy and can handle the hot, dry summers common in Indian climate.
## Growth
Aloe Vera is a medium-sized succulent that typically grows 30 to 60 cm tall and spreads about 30 to 45 cm wide. It grows at a moderate pace and produces offsets (baby plants) called "pups" around the base of the mother plant. The leaves are thick, pointed, and arrange themselves in a rosette pattern. The plant can grow well in pots and is ideal for balconies, terraces, and window sills across Indian homes.
## Watering
- **Frequency:** Once every two weeks depending on season and weather conditions. Water less frequently during monsoon and winter months, and slightly more during hot summer months.
- **Tips:** Always let the soil dry out completely between watering sessions. Overwatering is the biggest enemy of Aloe Vera and can cause root rot. Check the soil by inserting your finger about 2 inches deep - if it feels dry, it's time to water. Water thoroughly but ensure excess water drains out completely. During monsoon season in India, reduce watering significantly as the plant gets moisture from the humid air.
## Sunlight
- **Hours per day:** 6 to 8 hours
- **Type:** Aloe Vera loves bright, direct sunlight but can also tolerate indirect bright light. In extremely hot Indian summers (above 40Â°C), provide some afternoon shade to prevent leaf burn. Morning sunlight is ideal for this plant.
## Care Tips
- Place the plant in a south or west-facing window or balcony for best results
- Protect from heavy monsoon rains as too much water can damage the plant
- In extreme Indian summer heat, move to a spot with partial afternoon shade
- Wipe the leaves occasionally with a damp cloth to remove dust
- Remove dead or damaged leaves from the base to keep the plant healthy
- The plant is quite forgiving and can survive neglect, making it perfect for busy people
## Growth Tips
- Use well-draining cactus or succulent soil mix, or prepare your own by mixing regular potting soil with cocopeat and sand in equal parts
- Add perlite or small stones to improve drainage
- Fertilize sparingly - once every 2-3 months during growing season (spring and summer) with diluted liquid fertilizer or compost tea
- Repot every 2-3 years or when the plant becomes root-bound, preferably during spring
- Use terracotta or clay pots as they allow better air circulation and moisture evaporation
- Separate and replant the pups when they are about 1/5th the size of the mother plant
## Common Problems
- **Leaves turning brown or yellow:** Usually caused by overwatering or poor drainage. Let the soil dry out completely and reduce watering frequency
- **Leaves becoming thin and curling inward:** Sign of underwatering. The plant needs more water, especially during hot Indian summers
- **Soft, mushy leaves:** Root rot from overwatering or waterlogged soil. Stop watering immediately and check if roots are healthy
- **Leaves turning pale or white:** Too much direct harsh sunlight. Move to a location with some afternoon shade
- **Slow or no growth:** Might need fertilizer or the pot may be too small. Also check for pests
- **White spots on leaves:** This is normal for many Aloe varieties and not a problem
- **Mealybugs or scale insects:** Wipe with cotton dipped in neem oil solution or rubbing alcohol</t>
        </is>
      </c>
      <c r="V79" s="98">
        <f>HYPERLINK("https://rosaryplanthouse.com/plant/"&amp;A79&amp;"-"&amp;SUBSTITUTE(LOWER(E79), " ", "-"))</f>
        <v/>
      </c>
      <c r="W79" t="inlineStr">
        <is>
          <t>🟢 Aloe Vera Black (ID: 78)  
🌿 Embrace the healing powers of Aloe Vera Black! 🌿  
This stunning succulent is not just a beautiful addition to your home but also a natural remedy with countless benefits. Renowned for its thick, fleshy leaves filled with soothing gel, Aloe Vera has been cherished for centuries for its medicinal properties. Perfect for both novice and seasoned plant lovers, it thrives with minimal care!  
🌞 **Key Details:**  
- **Sunlight:** Loves bright, direct light (6-8 hours)  
- **Watering:** Low maintenance; water every two weeks  
- **Temperature:** Thrives between 13°C to 40°C  
- **Humidity:** Prefers low to moderate levels  
Ready to add this resilient beauty to your collection? 🌱 Check the 'Link in bio' for more details!  
#AloeVera #SucculentLove #PlantParent #HousePlants #IndoorGardening #GreenThumb #PlantLovers #HomeDecor #RosaryPlantHouse #HealingPlants #SucculentCare #PlantLife</t>
        </is>
      </c>
    </row>
    <row r="80" ht="99.5" customHeight="1">
      <c r="A80" s="73" t="n">
        <v>79</v>
      </c>
      <c r="B80" s="74" t="inlineStr">
        <is>
          <t>Dot Aloe</t>
        </is>
      </c>
      <c r="C80" s="74">
        <f>IF(Local!H80,"1","0")</f>
        <v/>
      </c>
      <c r="D80" s="75" t="n">
        <v>79</v>
      </c>
      <c r="E80" s="66" t="inlineStr">
        <is>
          <t>Gasteria species</t>
        </is>
      </c>
      <c r="F80" s="76">
        <f>"public/sale_plants/"&amp;A80&amp;".jpg"</f>
        <v/>
      </c>
      <c r="G80" s="77" t="inlineStr">
        <is>
          <t>(2"-3")</t>
        </is>
      </c>
      <c r="H80" s="78" t="inlineStr">
        <is>
          <t>Low</t>
        </is>
      </c>
      <c r="I80" s="66" t="inlineStr">
        <is>
          <t>Low</t>
        </is>
      </c>
      <c r="J80" s="66" t="inlineStr">
        <is>
          <t>Medium</t>
        </is>
      </c>
      <c r="K80" s="79" t="n">
        <v>199</v>
      </c>
      <c r="L80" s="80" t="inlineStr">
        <is>
          <t>Aloe</t>
        </is>
      </c>
      <c r="M80" s="80" t="n">
        <v>0</v>
      </c>
      <c r="N80" s="80" t="n">
        <v>0</v>
      </c>
      <c r="O80" s="81" t="n">
        <v>0</v>
      </c>
      <c r="P80" s="80" t="n">
        <v>0</v>
      </c>
      <c r="Q80" s="81">
        <f>IF(Local!I80=TRUE,1,0)</f>
        <v/>
      </c>
      <c r="R80" s="81">
        <f>Local!D80</f>
        <v/>
      </c>
      <c r="S80" s="81">
        <f>Local!F80</f>
        <v/>
      </c>
      <c r="T80" s="81">
        <f>Local!G80</f>
        <v/>
      </c>
      <c r="U80" s="83" t="inlineStr">
        <is>
          <t>## About
Gasteria is a charming succulent plant with thick, fleshy leaves covered in distinctive white spots or markings that create a beautiful textured pattern. This slow-growing plant forms rosettes and is perfect for beginners due to its hardy nature and low maintenance requirements.
## Origin
Gasteria originates from South Africa, where it grows naturally in rocky areas and under the shade of shrubs. The plant has adapted to survive in semi-arid conditions with minimal water. The name "Gasteria" comes from the Latin word "gaster" meaning stomach, referring to the stomach-like shape of its flowers.
## Temperature &amp; Humidity
- **Temperature Range:** 15Â°C to 30Â°C
- **Humidity:** This plant tolerates low to moderate humidity levels (30% to 50%). It adapts well to typical indoor humidity found in most Indian homes and does not require any special humidity arrangements.
## Growth
Gasteria is a compact, slow-growing succulent that typically reaches 10 to 30 centimeters in height and about 15 to 20 centimeters in width. The plant forms neat rosettes with thick, tongue-shaped leaves that grow in opposite pairs. Growth is slowest during winter months and picks up slightly during spring and summer. It remains small and manageable, making it ideal for windowsills, desks, and small spaces.
## Watering
- **Frequency:** Once every two weeks during summer depending on other parameters, and once every three to four weeks during winter and monsoon depending on other parameters
- **Tips:** Always allow the soil to dry completely between waterings. Water the soil directly and avoid getting water on the leaves to prevent rot. During the monsoon season in India, reduce watering significantly as humidity levels are naturally higher. Overwatering is the biggest threat to Gasteria, so when in doubt, wait longer before watering.
## Sunlight
- **Hours per day:** 3 to 4 hours
- **Type:** Bright indirect light or filtered morning sunlight. Avoid harsh afternoon sun which can scorch the leaves and cause brown spots.
## Care Tips
- Keep the plant in a spot with bright indirect light; east-facing windows work perfectly in Indian homes
- Protect from direct afternoon sun, especially during harsh summer months (April to June)
- Reduce watering drastically during monsoon season to prevent root rot
- Keep away from air conditioner vents as sudden temperature changes can stress the plant
- Wipe leaves gently with a soft cloth occasionally to remove dust and help the plant breathe better
- The plant can tolerate some neglect, making it perfect for busy plant parents
## Growth Tips
- Use a well-draining cactus or succulent potting mix; you can make your own by mixing regular soil with cocopeat and sand in equal parts
- Add perlite or small stones to improve drainage further
- Choose pots with drainage holes to prevent water logging
- Fertilize sparingly â€“ once every 2 to 3 months during the growing season (spring and summer) with diluted liquid succulent fertilizer
- Repot only when the plant outgrows its pot, typically once every 2 to 3 years
- Use terracotta pots as they allow soil to dry faster and prevent overwatering
## Common Problems
- **Soft, mushy leaves:** This is a sign of overwatering or root rot. Reduce watering immediately and check if the soil drains properly
- **Brown leaf tips:** Usually caused by too much direct sunlight or underwatering during peak summer
- **Pale or bleached leaves:** The plant is getting too much direct sun. Move it to a shadier location with filtered light
- **Mealybugs:** White cottony pests that appear in leaf joints. Remove with a cotton swab dipped in rubbing alcohol or neem oil solution
- **Slow or no growth:** This is normal for Gasteria as they are naturally slow growers. However, lack of light or nutrients during growing season can slow growth further
- **Leaf spots:** Can occur due to fungal issues from excess moisture or water sitting on leaves. Improve air circulation and avoid overhead watering</t>
        </is>
      </c>
      <c r="V80" s="98">
        <f>HYPERLINK("https://rosaryplanthouse.com/plant/"&amp;A80&amp;"-"&amp;SUBSTITUTE(LOWER(E80), " ", "-"))</f>
        <v/>
      </c>
      <c r="W80" t="inlineStr">
        <is>
          <t>🟢 Dot Aloe (ID: 79)
🌿 Looking for the perfect plant companion? Meet the charming Gasteria species, also known as Dot Aloe! With its thick, fleshy leaves adorned with distinctive white spots, this succulent adds a unique texture to any space. 
🌱 **About:** Ideal for beginners, the Gasteria is a low-maintenance marvel that thrives in various conditions. Originating from South Africa, it's perfectly adapted to survive with minimal water, making it an excellent choice for busy plant parents. 
✨ **Key Details:**
- **Watering:** Low; allow soil to dry completely between waterings.
- **Sunlight:** Prefers 3-4 hours of bright indirect light.
- **Humidity:** Tolerates low to moderate levels, perfect for indoor settings. 
💚 Ready to welcome this resilient beauty into your home? Discover more about the Dot Aloe! Link in bio.
#DotAloe #Gasteria #SucculentLove #PlantParent #HousePlant #IndoorGardening #GreenThumb #PlantCare #RosaryPlantHouse #PlantAddict #SucculentCare #PlantLife #HomeDecor #GreenLiving #NatureLovers</t>
        </is>
      </c>
    </row>
    <row r="81" ht="99.5" customHeight="1">
      <c r="A81" s="73" t="n">
        <v>80</v>
      </c>
      <c r="B81" s="74" t="inlineStr">
        <is>
          <t>Jain temple</t>
        </is>
      </c>
      <c r="C81" s="74">
        <f>IF(Local!H81,"1","0")</f>
        <v/>
      </c>
      <c r="D81" s="75" t="n">
        <v>59</v>
      </c>
      <c r="E81" s="66" t="inlineStr">
        <is>
          <t>Crassula capitella 'Thyrsiflora'</t>
        </is>
      </c>
      <c r="F81" s="76">
        <f>"public/sale_plants/"&amp;A81&amp;".jpg"</f>
        <v/>
      </c>
      <c r="G81" s="77" t="inlineStr">
        <is>
          <t>(2"-3")</t>
        </is>
      </c>
      <c r="H81" s="78" t="inlineStr">
        <is>
          <t>Low</t>
        </is>
      </c>
      <c r="I81" s="66" t="inlineStr">
        <is>
          <t>Low</t>
        </is>
      </c>
      <c r="J81" s="66" t="inlineStr">
        <is>
          <t>High</t>
        </is>
      </c>
      <c r="K81" s="79" t="n">
        <v>69</v>
      </c>
      <c r="L81" s="80" t="inlineStr">
        <is>
          <t>Crassula</t>
        </is>
      </c>
      <c r="M81" s="80" t="n">
        <v>0</v>
      </c>
      <c r="N81" s="80" t="n">
        <v>0</v>
      </c>
      <c r="O81" s="81" t="n">
        <v>0</v>
      </c>
      <c r="P81" s="80" t="n">
        <v>0</v>
      </c>
      <c r="Q81" s="81">
        <f>IF(Local!I81=TRUE,1,0)</f>
        <v/>
      </c>
      <c r="R81" s="81">
        <f>Local!D81</f>
        <v/>
      </c>
      <c r="S81" s="81" t="inlineStr">
        <is>
          <t>NA</t>
        </is>
      </c>
      <c r="T81" s="81">
        <f>Local!G81</f>
        <v/>
      </c>
      <c r="U81" s="83" t="inlineStr">
        <is>
          <t>## About
The Red Pagoda is a stunning succulent known for its colorful rosettes that stack upward like a pagoda tower. The leaves display beautiful shades of green with red to pink edges, especially when exposed to bright sunlight. This eye-catching plant is perfect for both beginners and experienced gardeners in India.
## Origin
This plant originates from South Africa. In its native habitat, it grows in rocky areas with well-draining soil and receives plenty of sunlight. It has adapted to survive in dry conditions with minimal water, making it an excellent choice for hot Indian climates.
## Temperature &amp; Humidity
- **Temperature Range:** 15Â°C to 35Â°C
- **Humidity:** Low to moderate humidity (30% to 50%). This plant tolerates dry air very well and does not require high humidity. It thrives in the typical dry conditions found in most Indian homes and gardens.
## Growth
Red Pagoda grows in an upright rosette pattern, reaching about 15 to 20 centimeters in height. The plant spreads slowly and forms clusters over time as it produces offsets from the base. Growth is moderate, with the plant becoming more colorful and vibrant as it matures. The stacked leaf arrangement creates a beautiful architectural appearance that looks like a miniature pagoda.
## Watering
- **Frequency:** Once every two weeks depending on season and weather conditions. During hot summer months, you may need to water slightly more often, while in monsoon and winter, water less frequently.
- **Tips:** Always check if the soil is completely dry before watering. Water thoroughly until it drains from the bottom holes, then allow the soil to dry completely. Avoid keeping the soil wet as this can cause root rot. Reduce watering during monsoon season when humidity is naturally high.
## Sunlight
- **Hours per day:** 4 to 6 hours
- **Type:** Direct sunlight preferred. The plant develops its best red and pink coloring when given bright direct sunlight. Morning sunlight is ideal in very hot regions. It can tolerate bright indirect light but may remain more green and less colorful.
## Care Tips
- Place the plant where it receives morning or evening direct sunlight in summer to avoid scorching in harsh afternoon sun
- Protect from heavy monsoon rains as too much water can damage the plant
- Keep the plant in a location with good air circulation to prevent fungal problems during humid months
- Remove dead lower leaves regularly to keep the plant tidy and prevent pest problems
- Bring potted plants under shelter during heavy rains to prevent waterlogging
- The red coloring intensifies in cooler months with good sunlight
## Growth Tips
- Use a well-draining succulent or cactus potting mix, or make your own by mixing regular soil with coarse sand and perlite in equal parts
- Add a layer of small stones or gravel at the pot bottom for extra drainage
- Fertilize once a month during the growing season (spring and early summer) with a diluted balanced liquid fertilizer or succulent fertilizer
- Repot every 2 to 3 years in spring when the plant outgrows its pot
- Use terracotta or clay pots which allow soil to dry faster and prevent overwatering
- Propagate easily from stem cuttings or leaf cuttings during warm months
## Common Problems
- **Yellowing and mushy leaves:** Caused by overwatering or poor drainage. Allow soil to dry completely between waterings
- **Stretching and loss of color:** Not enough sunlight. Move to a brighter location with more direct light
- **Mealybugs:** Small white cottony pests that appear in leaf joints. Remove with cotton swab dipped in rubbing alcohol
- **Root rot:** Black or brown mushy roots from sitting in wet soil. Repot in fresh dry soil and reduce watering
- **Leaf drop:** Natural shedding of lower leaves as plant grows, but excessive drop can indicate watering stress or sudden temperature changes
- **Brown crispy leaves:** Too much intense afternoon sun or underwatering. Provide some shade during peak summer hours</t>
        </is>
      </c>
      <c r="V81" s="98">
        <f>HYPERLINK("https://rosaryplanthouse.com/plant/"&amp;A81&amp;"-"&amp;SUBSTITUTE(LOWER(E81), " ", "-"))</f>
        <v/>
      </c>
      <c r="W81" t="inlineStr">
        <is>
          <t>🟢 Crassula capitella 'Thyrsiflora' (ID: 80)
🌟 Meet the stunning **Red Pagoda** — a succulent that brings a splash of color and architectural beauty to your space! 🌵✨
This eye-catching plant features vibrant rosettes that stack upwards, showcasing hues of green kissed with red and pink edges. Perfect for beginners and seasoned plant lovers alike, it's a delightful addition to any collection! 
🌞 **Key Details:**
- **Origin:** South Africa
- **Watering:** Low; once every two weeks
- **Sunlight:** Prefers 4-6 hours of direct sunlight 
- **Growth:** Grows in a rosette pattern, forming clusters over time
Ready to elevate your plant game? 🌱💚 Check out this beauty and more—**Link in bio!**
#Crassula #RedPagoda #SucculentLove #PlantCollection #IndoorPlants #PlantParent #SucculentCare #HomeDecor #GreenThumb #PlantLife #RosaryPlantHouse</t>
        </is>
      </c>
    </row>
    <row r="82" ht="99.5" customHeight="1">
      <c r="A82" s="73" t="n">
        <v>81</v>
      </c>
      <c r="B82" s="74" t="inlineStr">
        <is>
          <t>English Variegated ivy</t>
        </is>
      </c>
      <c r="C82" s="74">
        <f>IF(Local!H82,"1","0")</f>
        <v/>
      </c>
      <c r="D82" s="75" t="n">
        <v>39</v>
      </c>
      <c r="E82" s="66" t="inlineStr">
        <is>
          <t>Hedera helix</t>
        </is>
      </c>
      <c r="F82" s="76">
        <f>"public/sale_plants/"&amp;A82&amp;".jpg"</f>
        <v/>
      </c>
      <c r="G82" s="77" t="inlineStr">
        <is>
          <t>(5"-6")</t>
        </is>
      </c>
      <c r="H82" s="78" t="inlineStr">
        <is>
          <t>Moderate</t>
        </is>
      </c>
      <c r="I82" s="66" t="inlineStr">
        <is>
          <t>Medium</t>
        </is>
      </c>
      <c r="J82" s="66" t="inlineStr">
        <is>
          <t>Medium</t>
        </is>
      </c>
      <c r="K82" s="79" t="n">
        <v>39</v>
      </c>
      <c r="L82" s="80" t="inlineStr">
        <is>
          <t>Creeper</t>
        </is>
      </c>
      <c r="M82" s="80" t="n">
        <v>0</v>
      </c>
      <c r="N82" s="80" t="n">
        <v>1</v>
      </c>
      <c r="O82" s="81" t="n">
        <v>0</v>
      </c>
      <c r="P82" s="81" t="n">
        <v>1</v>
      </c>
      <c r="Q82" s="81">
        <f>IF(Local!I82=TRUE,1,0)</f>
        <v/>
      </c>
      <c r="R82" s="81">
        <f>Local!D82</f>
        <v/>
      </c>
      <c r="S82" s="81">
        <f>Local!F81</f>
        <v/>
      </c>
      <c r="T82" s="81">
        <f>Local!G82</f>
        <v/>
      </c>
      <c r="U82" s="83" t="inlineStr">
        <is>
          <t>## About
English Ivy is a beautiful trailing plant with variegated green and white leaves that have a distinctive lobed shape. This versatile plant can be grown indoors or outdoors and is popular for its air-purifying qualities and elegant cascading appearance.
## Origin
English Ivy is native to Europe, Western Asia, and North Africa. It grows naturally in forests and on rocky slopes, where it climbs on trees and walls. This plant has adapted to various climates around the world and grows well in Indian conditions with proper care.
## Temperature &amp; Humidity
- **Temperature Range:** 15Â°C to 28Â°C
- **Humidity:** English Ivy prefers moderate to high humidity levels between 50% to 70%. In dry Indian climates, especially during summer months, regular misting helps the plant thrive. The plant can tolerate cooler temperatures better than extreme heat.
## Growth
English Ivy is a fast-growing trailing or climbing plant that can grow several feet in length. The variegated variety shown here has beautiful white and green patterned leaves that grow alternately along the stems. It can spread 15 to 30 cm wide and trail down 60 to 90 cm or more from a hanging basket. The plant grows moderately fast during the growing season and can become bushy with regular pinching and pruning. It can be trained to climb on supports or allowed to trail from pots and hanging baskets.
## Watering
- **Frequency:** Water once or twice a week depending on season and weather conditions. During hot summer months, watering may be needed more frequently.
- **Tips:** Keep the soil consistently moist but not waterlogged. Check the top 2-3 cm of soil - water when it feels dry to touch. Reduce watering during monsoon and winter months. Use well-draining soil to prevent root rot. Avoid letting the plant sit in water as this can damage the roots.
## Sunlight
- **Hours per day:** 3 to 5 hours
- **Type:** Bright indirect light or filtered sunlight. English Ivy can tolerate some morning direct sun but should be protected from harsh afternoon sunlight, especially during Indian summers. It also grows well in partial shade, making it perfect for indoor conditions.
## Care Tips
- Place in a location with bright indirect light near east or north-facing windows
- Mist the leaves regularly during dry summer months to maintain humidity
- Protect from hot afternoon sun which can scorch the variegated leaves
- Keep away from air conditioner vents and heaters which can dry out the plant
- Rotate the pot regularly for even growth on all sides
- Prune regularly to maintain shape and encourage bushier growth
- Wipe leaves with a damp cloth monthly to remove dust and help the plant breathe
- During monsoon, reduce watering and ensure good air circulation to prevent fungal issues
## Growth Tips
- Use well-draining potting mix with equal parts garden soil, cocopeat, and perlite or sand
- Add organic compost or vermicompost during planting for nutrients
- Feed with balanced liquid fertilizer diluted to half strength once a month during growing season (spring and autumn)
- Avoid fertilizing during peak summer and winter months
- Repot every 1-2 years or when roots become pot-bound, preferably during spring
- Propagate easily through stem cuttings placed in water or soil
- Pinch growing tips regularly to promote branching and fuller growth
## Common Problems
- **Yellow leaves:** Usually caused by overwatering or poor drainage. Allow soil to dry slightly between waterings
- **Brown leaf tips:** Result of low humidity or inconsistent watering. Increase misting frequency
- **Leaf drop:** Can occur due to sudden temperature changes or drafts. Keep plant in stable conditions
- **Spider mites:** Common in dry conditions. Look for fine webbing and tiny spots on leaves. Treat with neem oil spray
- **Scale insects:** Small brown bumps on stems and leaves. Remove manually or treat with neem oil solution
- **Root rot:** Caused by overwatering and poor drainage. Reduce watering frequency and improve soil drainage
- **Leggy growth:** Indicates insufficient light. Move to a brighter location
- **Loss of variegation:** Happens when plant receives too little light. Increase light exposure to maintain white patterns</t>
        </is>
      </c>
      <c r="V82" s="98">
        <f>HYPERLINK("https://rosaryplanthouse.com/plant/"&amp;A82&amp;"-"&amp;SUBSTITUTE(LOWER(E82), " ", "-"))</f>
        <v/>
      </c>
      <c r="W82" t="inlineStr">
        <is>
          <t>🟢 English Variegated Ivy (ID: 81)
🌿 Elevate your indoor garden with the stunning English Variegated Ivy! This elegant creeper features beautiful lobed leaves in variegated shades of green and white, adding a touch of nature's beauty to any space. 
✨ About: 
The English Ivy is not just a pretty face; it's also a fantastic air purifier! Perfect for hanging baskets, this versatile plant thrives indoors and can grow several feet long, making it a perfect choice for cascading displays.
🔑 Key Details:
- 🌞 Sunlight: Prefers bright indirect light
- 💧 Watering: Medium, keep soil moist but not waterlogged 
- 🌡️ Temperature: Thrives in 15°C to 28°C
- 💨 Humidity: Enjoys moderate to high humidity levels
🏡 Transform your home into a lush paradise! For care tips and to add this beauty to your collection, check the 'Link in bio'!
#EnglishIvy #IndoorPlants #PlantLovers #HomeDecor #AirPurifyingPlants #CreepingPlants #PlantCare #Houseplants #GreenThumb #RosaryPlantHouse #NatureInYourHome #PlantGoals #PlantParent</t>
        </is>
      </c>
    </row>
    <row r="83" ht="99.5" customHeight="1">
      <c r="A83" s="73" t="n">
        <v>82</v>
      </c>
      <c r="B83" s="74" t="inlineStr">
        <is>
          <t>Vinca major</t>
        </is>
      </c>
      <c r="C83" s="74">
        <f>IF(Local!H83,"1","0")</f>
        <v/>
      </c>
      <c r="D83" s="75" t="n">
        <v>49</v>
      </c>
      <c r="E83" s="66" t="inlineStr">
        <is>
          <t>Vinca major 'Variegata'</t>
        </is>
      </c>
      <c r="F83" s="76">
        <f>"public/sale_plants/"&amp;A83&amp;".jpg"</f>
        <v/>
      </c>
      <c r="G83" s="77" t="inlineStr">
        <is>
          <t>(5"-6")</t>
        </is>
      </c>
      <c r="H83" s="78" t="inlineStr">
        <is>
          <t>High</t>
        </is>
      </c>
      <c r="I83" s="66" t="inlineStr">
        <is>
          <t>Medium</t>
        </is>
      </c>
      <c r="J83" s="66" t="inlineStr">
        <is>
          <t>Medium</t>
        </is>
      </c>
      <c r="K83" s="79" t="n">
        <v>39</v>
      </c>
      <c r="L83" s="80" t="inlineStr">
        <is>
          <t>Creeper</t>
        </is>
      </c>
      <c r="M83" s="80" t="n">
        <v>0</v>
      </c>
      <c r="N83" s="80" t="n">
        <v>1</v>
      </c>
      <c r="O83" s="81" t="n">
        <v>0</v>
      </c>
      <c r="P83" s="80" t="n">
        <v>1</v>
      </c>
      <c r="Q83" s="81">
        <f>IF(Local!I83=TRUE,1,0)</f>
        <v/>
      </c>
      <c r="R83" s="81">
        <f>Local!D83</f>
        <v/>
      </c>
      <c r="S83" s="81">
        <f>Local!F83</f>
        <v/>
      </c>
      <c r="T83" s="81">
        <f>Local!G83</f>
        <v/>
      </c>
      <c r="U83" s="83" t="inlineStr">
        <is>
          <t>## About
Variegated Periwinkle is a beautiful trailing plant with striking green and cream variegated leaves and lovely purple-blue flowers. It is a popular choice for hanging baskets, ground cover, and garden borders because of its attractive foliage and easy-going nature.
## Origin
This plant is native to Southern Europe and North Africa. It grows naturally in woodlands and areas with partial shade, where it spreads along the ground creating a beautiful carpet of variegated foliage.
## Temperature &amp; Humidity
- **Temperature Range:** 15Â°C to 30Â°C
- **Humidity:** This plant adapts well to different humidity levels but prefers moderate humidity between 40% to 60%. It can tolerate the varying humidity conditions found in most Indian climates, from coastal regions to inland areas.
## Growth
Variegated Periwinkle is a fast-growing trailing plant that can spread quickly to cover ground or cascade beautifully from hanging baskets. The stems can grow up to 1-2 feet long and spread several feet wide if not controlled. The variegated leaves with cream or white edges make this plant highly decorative even when not flowering. It grows vigorously during cooler months and may slow down slightly during extreme summer heat.
## Watering
- **Frequency:** Once or twice a week depending on season, temperature, and soil moisture. During monsoon season, reduce watering frequency.
- **Tips:** Check the top layer of soil before watering. Water when the top 1-2 inches of soil feels dry to touch. This plant prefers evenly moist soil but not waterlogged conditions. During hot Indian summers, you may need to water more frequently, while in winter months, reduce watering. Always water at the base of the plant and avoid wetting the foliage too much to prevent fungal issues.
## Sunlight
- **Hours per day:** 3 to 5 hours
- **Type:** Bright indirect light or partial direct sunlight. Morning sun with afternoon shade works best in Indian climate. Too much direct afternoon sun can scorch the variegated leaves, especially during summer months.
## Care Tips
- Ideal for growing in hanging baskets or as ground cover in shaded garden areas
- Prune regularly to maintain shape and encourage bushier growth
- Remove dead or yellowing leaves to keep the plant looking fresh
- During hot Indian summers (April-June), provide afternoon shade to protect variegated foliage
- Works well in both indoor and outdoor settings across India
- The variegation may fade in too much shade, so ensure adequate bright light
- Protect from harsh monsoon rains which can damage the delicate flowers
## Growth Tips
- Use well-draining potting mix with good organic content. A mix of garden soil, cocopeat, and compost works well
- Feed with balanced liquid fertilizer once a month during growing season (spring and autumn)
- Dilute fertilizer to half strength to avoid burning the roots
- Repot every 1-2 years or when the plant becomes root-bound
- Propagation is very easy through stem cuttings - simply place cuttings in water or moist soil
- Pinch back growing tips regularly to encourage fuller, bushier growth
- Add a layer of mulch if growing as ground cover to retain moisture
## Common Problems
- **Yellowing leaves:** Usually caused by overwatering or poor drainage. Ensure soil dries slightly between waterings
- **Leaf scorch or brown edges:** Too much direct sunlight, especially harsh afternoon sun. Move to a location with filtered light
- **Loss of variegation:** Insufficient light. Move plant to brighter location with indirect sunlight
- **Leggy growth:** Not enough light or lack of pruning. Increase light exposure and trim regularly
- **Root rot:** Overwatering or waterlogged soil. Reduce watering and improve drainage
- **Aphids and mealybugs:** Common pests that attack new growth. Spray with neem oil solution or insecticidal soap
- **Fungal issues:** High humidity combined with poor air circulation. Ensure good spacing and avoid overhead watering</t>
        </is>
      </c>
      <c r="V83" s="98">
        <f>HYPERLINK("https://rosaryplanthouse.com/plant/"&amp;A83&amp;"-"&amp;SUBSTITUTE(LOWER(E83), " ", "-"))</f>
        <v/>
      </c>
      <c r="W83" t="inlineStr">
        <is>
          <t>🟢 Vinca major 'Variegata' (ID: 82)  
🌿✨ Meet the stunning Variegated Periwinkle, the perfect companion for your indoor and outdoor spaces! With its beautiful trailing vines, striking green and cream variegated leaves, and charming purple-blue flowers, this plant brings a touch of nature to any environment.  
🌼 **About:** This fast-growing creeper is perfect for hanging baskets or as ground cover, creating a stunning visual impact anywhere it thrives. Native to Southern Europe and North Africa, it adapts beautifully to various conditions while adding a splash of color to your decor.  
🌞 **Care Tips:**  
- Water when the top 1-2 inches of soil feel dry; once or twice a week is ideal.  
- Prefers bright indirect light or partial shade—ideal for Indian climates!  
- Prune regularly to keep it bushy and vibrant.  
🌿 Don't miss out on adding this beautiful plant to your collection! 🌱 Click the 'Link in bio' for more details!  
#VincaMajor #VariegatedPeriwinkle #HangingPlants #IndoorPlants #PlantLovers #HomeDecor #GreenThumb #Gardening #PlantCare #RosaryPlantHouse #PlantParent #CreeperPlants #NatureLovers #HousePlants #PlantAddict #GardenGoals</t>
        </is>
      </c>
    </row>
    <row r="84" ht="99.5" customHeight="1">
      <c r="A84" s="73" t="n">
        <v>83</v>
      </c>
      <c r="B84" s="74" t="inlineStr">
        <is>
          <t>Hedera Ivy</t>
        </is>
      </c>
      <c r="C84" s="74">
        <f>IF(Local!H84,"1","0")</f>
        <v/>
      </c>
      <c r="D84" s="75" t="n">
        <v>49</v>
      </c>
      <c r="E84" s="66" t="inlineStr">
        <is>
          <t>Hedera helix 'Variegata'</t>
        </is>
      </c>
      <c r="F84" s="76">
        <f>"public/sale_plants/"&amp;A84&amp;".jpg"</f>
        <v/>
      </c>
      <c r="G84" s="77" t="inlineStr">
        <is>
          <t>(5"-6")</t>
        </is>
      </c>
      <c r="H84" s="78" t="inlineStr">
        <is>
          <t>Moderate</t>
        </is>
      </c>
      <c r="I84" s="66" t="inlineStr">
        <is>
          <t>Medium</t>
        </is>
      </c>
      <c r="J84" s="66" t="inlineStr">
        <is>
          <t>Medium</t>
        </is>
      </c>
      <c r="K84" s="79" t="n">
        <v>49</v>
      </c>
      <c r="L84" s="80" t="inlineStr">
        <is>
          <t>Creeper</t>
        </is>
      </c>
      <c r="M84" s="80" t="n">
        <v>0</v>
      </c>
      <c r="N84" s="80" t="n">
        <v>1</v>
      </c>
      <c r="O84" s="81" t="n">
        <v>0</v>
      </c>
      <c r="P84" s="80" t="n">
        <v>1</v>
      </c>
      <c r="Q84" s="81">
        <f>IF(Local!I84=TRUE,1,0)</f>
        <v/>
      </c>
      <c r="R84" s="81">
        <f>Local!D84</f>
        <v/>
      </c>
      <c r="S84" s="81">
        <f>Local!F84</f>
        <v/>
      </c>
      <c r="T84" s="81">
        <f>Local!G84</f>
        <v/>
      </c>
      <c r="U84" s="83" t="inlineStr">
        <is>
          <t>## About
Variegated English Ivy is a beautiful trailing plant with green and white patterned leaves that adds elegance to any space. This versatile creeper can climb walls, trail from hanging baskets, or spread as ground cover. The white and cream edges on the green leaves make it more attractive than regular ivy.
## Origin
English Ivy originally comes from Europe, Western Asia, and Northern Africa. It grows naturally in forests and rocky areas where it climbs trees and walls. The variegated variety has been specially cultivated for its decorative two-toned foliage.
## Temperature &amp; Humidity
- **Temperature Range:** 15Â°C to 25Â°C
- **Humidity:** Prefers moderate to high humidity between 40% to 60%. In Indian homes, especially during summer months, it benefits from occasional misting to keep the leaves fresh and prevent them from drying out. During monsoon season, it thrives naturally due to higher humidity levels.
## Growth
This is a moderate to fast-growing plant that can spread widely if given space. The vines can grow several feet long, making it perfect for hanging baskets or training on supports. Each vine produces multiple leaves along its length. The plant has a trailing and climbing growth habit, sending out aerial roots that help it attach to surfaces. In indoor conditions, it typically grows about 6 to 12 inches per year. If planted outdoors, it can spread more aggressively.
## Watering
- **Frequency:** Water once or twice a week depending on season, temperature, and humidity levels.
- **Tips:** Keep the soil slightly moist but never waterlogged. During hot Indian summers (April to June), you may need to water more frequently. In monsoon season, reduce watering as the soil stays moist longer. Check the top inch of soilâ€”if it feels dry, it's time to water. Yellow leaves often mean overwatering, while brown crispy edges suggest underwatering. Always ensure the pot has drainage holes to prevent root rot.
## Sunlight
- **Hours per day:** 3 to 5 hours
- **Type:** Bright indirect light or filtered sunlight. Can tolerate some direct morning sun but avoid harsh afternoon sun which can scorch the white portions of the leaves. The variegated leaves are more sensitive to intense light than solid green ivy. Works well near east or north-facing windows in Indian homes.
## Care Tips
- Avoid placing the plant in direct afternoon sun, especially during Indian summers, as the white parts of leaves burn easily
- Mist the leaves regularly during dry seasons to maintain humidity and keep the foliage dust-free
- Rotate the plant occasionally for even growth on all sides
- Prune regularly to maintain shape and encourage bushier growth
- Wipe the leaves gently with a damp cloth every few weeks to remove dust and help the plant breathe better
- Keep away from cold drafts from air conditioners as sudden temperature changes can stress the plant
- During winter months (December to February), reduce watering frequency slightly
## Growth Tips
- Use well-draining potting mixâ€”a combination of regular potting soil, cocopeat, and perlite works well
- Feed with a balanced liquid fertilizer diluted to half strength once a month during the growing season (March to October)
- Reduce or stop fertilizing during winter months when growth slows down
- Repot every 1 to 2 years or when roots start coming out of drainage holes, preferably in spring
- Propagate easily by stem cuttings in water or soilâ€”each cutting should have 2-3 nodes
- Pinch growing tips regularly to encourage branching and fuller growth
- Provide a moss stick or trellis if you want the plant to climb upward
## Common Problems
- **Yellow leaves:** Usually caused by overwatering or poor drainage; reduce watering frequency and ensure pot has drainage holes
- **Brown leaf edges:** Indicates underwatering, low humidity, or exposure to too much direct sun
- **Leaf drop:** Can happen due to sudden temperature changes, underwatering, or pest infestation
- **Spider mites:** Common in dry conditions; look for tiny webs under leaves. Increase humidity and spray with neem oil solution
- **Mealybugs:** White cottony pests on stems and leaf joints; wipe with cotton soaked in rubbing alcohol or spray neem oil
- **Leggy growth:** Happens when the plant doesn't get enough light; move to a brighter location
- **White portions turning brown:** Sign of too much direct sunlight or fertilizer burn; move to filtered light location</t>
        </is>
      </c>
      <c r="V84" s="98">
        <f>HYPERLINK("https://rosaryplanthouse.com/plant/"&amp;A84&amp;"-"&amp;SUBSTITUTE(LOWER(E84), " ", "-"))</f>
        <v/>
      </c>
      <c r="W84" t="inlineStr">
        <is>
          <t>🟢 Hedera helix 'Variegata' (ID: 83)  
✨ Transform your space with the stunning Hedera Ivy! 🌿 This exquisite trailing plant boasts striking green and white patterned leaves that add a touch of elegance to any corner of your home. Perfect for hanging baskets or climbing walls, it's a versatile beauty that thrives in indoor settings. 
🌱 **Key Details:**  
- **Growth:** Moderate to fast-growing, with vines that can reach impressive lengths.  
- **Watering:** Keep the soil slightly moist; water 1-2 times a week based on humidity and temperature.  
- **Sunlight:** Loves bright, indirect light—ideal for east or north-facing windows.  
🌍 Bring this charming creeper into your life and watch it flourish! 💚  
👉 **Link in bio** for more details!  
#HederaIvy #VariegatedIvy #IndoorPlants #PlantLovers #HomeDecor #GreenThumb #PlantParent #PlantCare #Houseplants #RosaryPlantHouse #PlantGoals #NatureLovers #IndoorJungle #HangingPlants #CreeperPlants #PlantAddict #UrbanJungle</t>
        </is>
      </c>
    </row>
    <row r="85" ht="99.5" customHeight="1">
      <c r="A85" s="73" t="n">
        <v>84</v>
      </c>
      <c r="B85" s="74" t="inlineStr">
        <is>
          <t>Indoor small leaf</t>
        </is>
      </c>
      <c r="C85" s="74">
        <f>IF(Local!H85,"1","0")</f>
        <v/>
      </c>
      <c r="D85" s="75" t="n">
        <v>69</v>
      </c>
      <c r="E85" s="66" t="inlineStr">
        <is>
          <t>Drimiopsis maculata</t>
        </is>
      </c>
      <c r="F85" s="76">
        <f>"public/sale_plants/"&amp;A85&amp;".jpg"</f>
        <v/>
      </c>
      <c r="G85" s="77" t="inlineStr">
        <is>
          <t>(2"-3")</t>
        </is>
      </c>
      <c r="H85" s="78" t="inlineStr">
        <is>
          <t>Moderate</t>
        </is>
      </c>
      <c r="I85" s="66" t="inlineStr">
        <is>
          <t>Medium</t>
        </is>
      </c>
      <c r="J85" s="66" t="inlineStr">
        <is>
          <t>Medium</t>
        </is>
      </c>
      <c r="K85" s="79" t="n">
        <v>89</v>
      </c>
      <c r="L85" s="80" t="inlineStr">
        <is>
          <t>Others</t>
        </is>
      </c>
      <c r="M85" s="80" t="n">
        <v>0</v>
      </c>
      <c r="N85" s="80" t="n">
        <v>0</v>
      </c>
      <c r="O85" s="81" t="n">
        <v>0</v>
      </c>
      <c r="P85" s="81" t="n">
        <v>0</v>
      </c>
      <c r="Q85" s="81">
        <f>IF(Local!I85=TRUE,1,0)</f>
        <v/>
      </c>
      <c r="R85" s="81">
        <f>Local!D85</f>
        <v/>
      </c>
      <c r="S85" s="81">
        <f>Local!F85</f>
        <v/>
      </c>
      <c r="T85" s="81">
        <f>Local!G85</f>
        <v/>
      </c>
      <c r="U85" s="83" t="inlineStr">
        <is>
          <t>## About
The Leopard Plant, also known as Drimiopsis, is a beautiful spotted foliage plant with long, lance-shaped leaves covered in distinctive dark green spots on a lighter green background. Native to South Africa, this plant is grown primarily for its attractive patterned leaves that resemble leopard spots, making it a unique addition to any indoor plant collection.
## Origin
This plant originates from South Africa and tropical East Africa, where it grows naturally in woodland areas and grasslands. It belongs to the Asparagaceae family and thrives in warm, subtropical climates similar to many regions of India.
## Temperature &amp; Humidity
- **Temperature Range:** 15Â°C to 30Â°C
- **Humidity:** This plant adapts well to average household humidity levels between 40% to 60%. It can tolerate the dry indoor conditions common in Indian homes, but appreciates occasional misting during very hot, dry months.
## Growth
Drimiopsis is a compact, clump-forming plant that typically grows 15 to 25 cm tall with a similar spread. It grows from small bulbs and produces long, narrow leaves that arch gracefully from the center. The plant is a moderate grower and forms attractive clumps over time. During cooler months, the plant may go semi-dormant and lose some leaves, which is completely normal behaviour.
## Watering
- **Frequency:** Once a week depending on season and weather conditions. In summer, you may need to water twice a week depending on other parameters. Reduce watering in winter when growth slows.
- **Tips:** Allow the top 2-3 cm of soil to dry out between waterings. Water thoroughly until excess drains from the bottom, then empty the saucer. Reduce watering during the dormant period (winter months) to prevent bulb rot. The plant is slightly drought-tolerant due to its bulbous nature.
## Sunlight
- **Hours per day:** 3 to 5 hours
- **Type:** Bright indirect light or filtered morning sun. Can tolerate a few hours of gentle direct sunlight in early morning or late afternoon, but protect from harsh afternoon sun which can fade the beautiful leaf patterns.
## Care Tips
- Perfect for Indian homes as it tolerates air-conditioning and moderate neglect
- The spotted pattern becomes more prominent with proper light conditions
- Keep away from strong afternoon sun during Indian summers (April-June)
- The plant may go semi-dormant in winter and lose leaves â€“ this is natural, reduce watering during this time
- Wipe leaves gently with a damp cloth to keep spots visible and remove dust
- Thrives well in terracotta pots which allow better air circulation for the bulbs
## Growth Tips
- **Soil:** Use a well-draining potting mix. A combination of regular potting soil, cocopeat, and perlite or sand works excellently
- **Fertilizer:** Feed with a balanced liquid fertilizer diluted to half strength once a month during the growing season (spring and summer). Avoid fertilizing during dormancy
- **Repotting:** Repot every 2-3 years or when the plant becomes pot-bound. Best time to repot is early spring when new growth begins
- The plant produces small bulb offsets that can be separated during repotting to propagate new plants
- Slightly root-bound plants tend to bloom better
## Common Problems
- **Yellow leaves:** Usually caused by overwatering or poor drainage. Check if soil is staying too wet
- **Fading spots:** Insufficient light causes the beautiful leopard spots to fade or disappear. Move to a brighter location
- **Leaf tips browning:** Low humidity or inconsistent watering, especially during hot Indian summers
- **Drooping leaves:** Underwatering or plant entering dormancy period. Check soil moisture first
- **Root rot:** Excessive watering, especially in winter months. Ensure pot has drainage holes and don't let plant sit in water
- **Mealybugs:** White cottony pests may appear at leaf bases. Wipe with alcohol-soaked cotton or use neem oil spray
- **No flowers:** Insufficient light or lack of dormancy period. The plant needs a slight rest period in winter to bloom in spring</t>
        </is>
      </c>
      <c r="V85" s="98">
        <f>HYPERLINK("https://rosaryplanthouse.com/plant/"&amp;A85&amp;"-"&amp;SUBSTITUTE(LOWER(E85), " ", "-"))</f>
        <v/>
      </c>
      <c r="W85" t="inlineStr">
        <is>
          <t>🟢 Drimiopsis maculata (ID: 84)
🌿✨ Unleash the beauty of nature in your home with the stunning Leopard Plant! Its unique spotted foliage will make your indoor space truly mesmerizing. 
This charming plant, native to South Africa, boasts long, lance-shaped leaves adorned with eye-catching dark green spots that resemble a leopard's coat. Perfect for adding a touch of exotic elegance to any room! 
📝 **Key Details:**
- **Watering:** Medium, once a week (increase in summer!)
- **Sunlight:** Thrives in bright indirect light ☀️
- **Humidity:** Adapts well to average indoor levels 🌬️
💚 Ready to elevate your plant game? Discover the magic of the Drimiopsis maculata today! Link in bio.
#Drimiopsis #LeopardPlant #IndoorPlants #PlantLovers #HomeDecor #GreenThumb #PlantParent #NatureLovers #Houseplants #IndoorJungle #PlantGoals #RosaryPlantHouse #PlantAddict</t>
        </is>
      </c>
    </row>
    <row r="86" ht="99.5" customHeight="1">
      <c r="A86" s="73" t="n">
        <v>85</v>
      </c>
      <c r="B86" s="74" t="inlineStr">
        <is>
          <t>Silver sedum</t>
        </is>
      </c>
      <c r="C86" s="74">
        <f>IF(Local!H86,"1","0")</f>
        <v/>
      </c>
      <c r="D86" s="75" t="n">
        <v>59</v>
      </c>
      <c r="E86" s="66" t="inlineStr">
        <is>
          <t>Sedum lineare 'Silver'</t>
        </is>
      </c>
      <c r="F86" s="76">
        <f>"public/sale_plants/"&amp;A86&amp;".jpg"</f>
        <v/>
      </c>
      <c r="G86" s="77" t="inlineStr">
        <is>
          <t>(2"-3")</t>
        </is>
      </c>
      <c r="H86" s="78" t="inlineStr">
        <is>
          <t>High</t>
        </is>
      </c>
      <c r="I86" s="66" t="inlineStr">
        <is>
          <t>Low</t>
        </is>
      </c>
      <c r="J86" s="66" t="inlineStr">
        <is>
          <t>Medium</t>
        </is>
      </c>
      <c r="K86" s="79" t="n">
        <v>69</v>
      </c>
      <c r="L86" s="80" t="inlineStr">
        <is>
          <t>Sedum</t>
        </is>
      </c>
      <c r="M86" s="80" t="n">
        <v>0</v>
      </c>
      <c r="N86" s="80" t="n">
        <v>1</v>
      </c>
      <c r="O86" s="81" t="n">
        <v>0</v>
      </c>
      <c r="P86" s="80" t="n">
        <v>0</v>
      </c>
      <c r="Q86" s="81">
        <f>IF(Local!I86=TRUE,1,0)</f>
        <v/>
      </c>
      <c r="R86" s="81">
        <f>Local!D86</f>
        <v/>
      </c>
      <c r="S86" s="81">
        <f>Local!F86</f>
        <v/>
      </c>
      <c r="T86" s="81">
        <f>Local!G86</f>
        <v/>
      </c>
      <c r="U86" s="83" t="inlineStr">
        <is>
          <t>## About
Silver Carpet Sedum is a beautiful variegated succulent with striking silver-white edges on its needle-like leaves. This low-growing plant forms dense mats and is perfect for hanging baskets, ground cover, or as a decorative indoor plant. Native to East Asia, it is loved for its easy care and attractive foliage.
## Origin
This plant originally comes from Japan, Korea, and China. It grows naturally in rocky areas and mountainous regions where it forms beautiful cascading mats over stones and slopes.
## Temperature &amp; Humidity
- **Temperature Range:** 10Â°C to 35Â°C
- **Humidity:** This plant is not fussy about humidity and does well in normal Indian household humidity levels ranging from 30% to 60%. It can tolerate dry air very well, making it perfect for most Indian homes.
## Growth
Silver Carpet Sedum is a fast-growing succulent that spreads horizontally and trails beautifully. It can grow up to 6 to 10 inches in length and spreads quickly to form a dense mat. The plant produces multiple stems that cascade down, making it ideal for hanging pots. Individual leaves are small, about 1-2 cm long, arranged in a whorled pattern around the stems, creating a star-like appearance.
## Watering
- **Frequency:** Once every 10-14 days depending on season and weather conditions. Water less frequently during monsoon and winter, and slightly more often during hot summer months.
- **Tips:** Always check if the soil is completely dry before watering. Water thoroughly until water drains out from the bottom holes. Never let the plant sit in water as this can cause root rot. Reduce watering during winter months. During Indian summers, you may need to water once a week if the plant is kept outdoors.
## Sunlight
- **Hours per day:** 4 to 6 hours
- **Type:** Bright indirect light or filtered morning sunlight. Can tolerate some direct sunlight but intense afternoon sun in Indian summers may scorch the leaves. Best kept in a spot with bright shade or morning sun.
## Care Tips
- Place the plant in a well-ventilated area to prevent fungal issues during monsoon season
- Protect from heavy rain during monsoons as excessive water can damage the plant
- During Indian summers (April-June), keep the plant in partial shade to prevent leaf burn
- The silver variegation becomes more pronounced with adequate bright light
- Prune leggy stems to encourage bushier growth
- This plant is perfect for beginners as it is very forgiving of neglect
- Keep away from direct harsh afternoon sun between 12 PM to 4 PM in summer
## Growth Tips
- Use a well-draining succulent or cactus potting mix. You can make your own by mixing regular soil with 50% cocopeat and 30% perlite or sand
- Add a handful of small stones or gravel at the bottom of the pot for extra drainage
- Feed with a diluted succulent fertilizer once every 2-3 months during growing season (February to October)
- Repot once every 2 years or when the plant outgrows its container
- Use terracotta or clay pots as they allow better air circulation and drainage
- Propagation is very easy - simply take stem cuttings and place them in soil, they root within 2-3 weeks
## Common Problems
- **Yellowing leaves:** Usually caused by overwatering. Let the soil dry completely between waterings
- **Leggy growth:** Not enough light. Move the plant to a brighter location
- **Brown crispy leaves:** Too much direct harsh sunlight or underwatering during extreme heat
- **Root rot:** Caused by poor drainage or keeping soil too wet. Ensure pot has drainage holes
- **Mealybugs:** Small white cottony pests on stems. Wipe with alcohol-soaked cotton or spray with neem oil solution
- **Leaf drop:** Natural shedding of lower leaves as plant grows, but excessive drop indicates watering issues
- **Fungal spots during monsoon:** Keep the plant in a covered area during heavy rains and ensure good air circulation</t>
        </is>
      </c>
      <c r="V86" s="98">
        <f>HYPERLINK("https://rosaryplanthouse.com/plant/"&amp;A86&amp;"-"&amp;SUBSTITUTE(LOWER(E86), " ", "-"))</f>
        <v/>
      </c>
      <c r="W86" t="inlineStr">
        <is>
          <t>🟢 Sedum lineare 'Silver' (ID: 85)  
✨ Transform your space with the stunning Silver Carpet Sedum! This gorgeous succulent features striking silver-white edges on its needle-like leaves, creating a beautiful cascading mat that's perfect for hanging baskets or as a decorative touch in any room.  
🌿 **Key Details:**  
- **Care Level:** Perfect for beginners  
- **Watering:** Low maintenance - water every 10-14 days  
- **Sunlight:** Thrives in bright indirect light or filtered morning sun  
- **Growth:** Fast-growing with beautiful trailing stems  
👉 Ready to add this beauty to your collection? Check out the link in bio!  
#SilverSedum #SucculentLove #PlantParent #HangingPlants #IndoorGarden #GreenThumb #PlantGoals #RosaryPlantHouse #HomeDecor #SucculentCare #PlantAddict #NatureLovers #PlantOfTheDay</t>
        </is>
      </c>
    </row>
    <row r="87" ht="99.5" customHeight="1">
      <c r="A87" s="73" t="n">
        <v>86</v>
      </c>
      <c r="B87" s="74" t="inlineStr">
        <is>
          <t>Haworthia green</t>
        </is>
      </c>
      <c r="C87" s="74">
        <f>IF(Local!H87,"1","0")</f>
        <v/>
      </c>
      <c r="D87" s="75" t="n">
        <v>59</v>
      </c>
      <c r="E87" s="66" t="inlineStr">
        <is>
          <t>Haworthia decipiens</t>
        </is>
      </c>
      <c r="F87" s="76">
        <f>"public/sale_plants/"&amp;A87&amp;".jpg"</f>
        <v/>
      </c>
      <c r="G87" s="77" t="inlineStr">
        <is>
          <t>(2"-3")</t>
        </is>
      </c>
      <c r="H87" s="78" t="inlineStr">
        <is>
          <t>Low</t>
        </is>
      </c>
      <c r="I87" s="66" t="inlineStr">
        <is>
          <t>Low</t>
        </is>
      </c>
      <c r="J87" s="66" t="inlineStr">
        <is>
          <t>Medium</t>
        </is>
      </c>
      <c r="K87" s="79" t="n">
        <v>79</v>
      </c>
      <c r="L87" s="80" t="inlineStr">
        <is>
          <t>Haworthia</t>
        </is>
      </c>
      <c r="M87" s="80" t="n">
        <v>0</v>
      </c>
      <c r="N87" s="80" t="n">
        <v>0</v>
      </c>
      <c r="O87" s="81" t="n">
        <v>0</v>
      </c>
      <c r="P87" s="80" t="n">
        <v>1</v>
      </c>
      <c r="Q87" s="81">
        <f>IF(Local!I87=TRUE,1,0)</f>
        <v/>
      </c>
      <c r="R87" s="81">
        <f>Local!D87</f>
        <v/>
      </c>
      <c r="S87" s="81">
        <f>Local!F87</f>
        <v/>
      </c>
      <c r="T87" s="81">
        <f>Local!G87</f>
        <v/>
      </c>
      <c r="U87" s="83" t="inlineStr">
        <is>
          <t>## About
Haworthia decipiens is a beautiful small succulent with striking ridged leaves that form a compact rosette. Native to South Africa, this plant is popular among collectors for its attractive geometric patterns and easy-going nature. It's perfect for beginners and experienced plant lovers alike.
## Origin
This species comes from the Eastern Cape province of South Africa, where it grows in rocky areas with partial shade. In its natural habitat, it often grows under shrubs or in the protection of rocks, which tells us a lot about how to care for it at home.
## Temperature &amp; Humidity
- **Temperature Range:** 15Â°C to 30Â°C
- **Humidity:** This plant prefers moderate humidity levels between 30% to 50%. It can tolerate the dry air found in most Indian homes, making it an excellent indoor plant. However, during very hot Indian summers (above 35Â°C), provide some shade and increase ventilation.
## Growth
Haworthia decipiens grows slowly and stays compact, usually reaching 8 to 12 cm in height and width. The plant forms tight rosettes with pointed, textured leaves that have visible ridges or lines running across them. Over time, it may produce offsets (baby plants) around the base, creating small clusters. The growth is neat and tidy, making it ideal for small pots and windowsills.
## Watering
- **Frequency:** Once every 10-14 days depending on season and weather conditions. In monsoon, reduce to once every 3 weeks or when soil is completely dry.
- **Tips:** Always water less rather than more with Haworthias. Check if the soil is completely dry before watering. Water deeply but allow excess water to drain out completely. During Indian winters (December-February), water only once every 3-4 weeks. Never let water sit in the rosette center as this can cause rot. Use the "soak and dry" method - water thoroughly and then wait until soil is bone dry before watering again.
## Sunlight
- **Hours per day:** 3 to 4 hours
- **Type:** Bright indirect light or filtered morning sunlight. Avoid harsh afternoon sun which can burn the leaves and turn them brown or reddish. In India, an east-facing window is perfect. If keeping outdoors, place under a net or in dappled shade.
## Care Tips
- Protect from direct intense afternoon sun, especially during Indian summer months (April-June)
- Bring indoors or provide shade when temperatures exceed 35Â°C
- Ensure excellent drainage - standing water is this plant's worst enemy
- Keep away from heavy monsoon rains; move potted plants under cover
- Clean dust from leaves gently with a soft brush to help the plant breathe
- Avoid placing near air conditioner vents which can cause sudden temperature changes
- During summer, provide morning sun only and shade during afternoon
## Growth Tips
- Use a well-draining soil mix: combine regular potting soil with coarse sand and perlite (ratio 1:1:1)
- A cactus and succulent mix works perfectly
- Add small stones or pumice for extra drainage
- Use pots with drainage holes - terracotta pots are excellent as they allow soil to dry faster
- Fertilize sparingly - once every 2-3 months during growing season (spring and autumn) with diluted succulent fertilizer at half strength
- Repot every 2-3 years in spring, or when the plant outgrows its pot
- When repotting, check roots and remove any that are dead or rotting
## Common Problems
- **Brown or red leaves:** Too much direct sunlight; move to a shadier location
- **Soft, mushy leaves:** Overwatering and root rot; reduce watering immediately and check if roots are healthy
- **Stretched, elongated growth:** Not enough light; move to a brighter spot with more indirect sunlight
- **Dried, shriveled leaves:** Underwatering (though this is rare); increase watering slightly
- **White spots or patches:** Mealybugs; wipe with cotton dipped in rubbing alcohol
- **Leaves turning pale or translucent:** Sunburn; provide more shade
- **No growth:** Normal during very hot or very cold months; plant goes dormant</t>
        </is>
      </c>
      <c r="V87" s="98">
        <f>HYPERLINK("https://rosaryplanthouse.com/plant/"&amp;A87&amp;"-"&amp;SUBSTITUTE(LOWER(E87), " ", "-"))</f>
        <v/>
      </c>
      <c r="W87" t="inlineStr">
        <is>
          <t>🟢 Haworthia Decipiens (ID: 86)  
🌿 Looking for a stunning succulent to brighten up your indoor space? Meet the Haworthia Decipiens! 🌱  
This charming little plant boasts striking ridged leaves that form a compact rosette, making it a must-have for both beginner and seasoned plant enthusiasts. Native to the rocky terrains of South Africa, it's not just a beauty but also a resilient companion for your home.  
**Key Details:**  
✨ **Light:** Prefers 3-4 hours of bright indirect sunlight.  
💧 **Watering:** Low; water every 10-14 days or when completely dry.  
🌡️ **Humidity:** Thrives in moderate humidity, perfect for indoor conditions.  
Don't miss out on adding this gem to your plant collection! 🌼  
👉 Link in bio  
#Haworthia #SucculentLove #IndoorPlants #PlantCare #GreenThumb #PlantLovers #RosaryPlantHouse #HomeDecor #SouthAfricanPlants #HouseplantClub #PlantParenthood #SucculentCare #GardeningJoy #PlantAddict #GreenLiving #SucculentCollection</t>
        </is>
      </c>
    </row>
    <row r="88" ht="99.5" customHeight="1">
      <c r="A88" s="73" t="n">
        <v>87</v>
      </c>
      <c r="B88" s="74" t="inlineStr">
        <is>
          <t>White stick</t>
        </is>
      </c>
      <c r="C88" s="74">
        <f>IF(Local!H88,"1","0")</f>
        <v/>
      </c>
      <c r="D88" s="75" t="n">
        <v>59</v>
      </c>
      <c r="E88" s="66" t="inlineStr">
        <is>
          <t>Echeveria glauca 'Cristata'</t>
        </is>
      </c>
      <c r="F88" s="76">
        <f>"public/sale_plants/"&amp;A88&amp;".jpg"</f>
        <v/>
      </c>
      <c r="G88" s="77" t="inlineStr">
        <is>
          <t>(2"-3")</t>
        </is>
      </c>
      <c r="H88" s="78" t="inlineStr">
        <is>
          <t>Low</t>
        </is>
      </c>
      <c r="I88" s="66" t="inlineStr">
        <is>
          <t>Low</t>
        </is>
      </c>
      <c r="J88" s="66" t="inlineStr">
        <is>
          <t>High</t>
        </is>
      </c>
      <c r="K88" s="79" t="n">
        <v>79</v>
      </c>
      <c r="L88" s="81" t="inlineStr">
        <is>
          <t>Echeveria</t>
        </is>
      </c>
      <c r="M88" s="80" t="n">
        <v>0</v>
      </c>
      <c r="N88" s="80" t="n">
        <v>0</v>
      </c>
      <c r="O88" s="81" t="n">
        <v>0</v>
      </c>
      <c r="P88" s="81" t="n">
        <v>0</v>
      </c>
      <c r="Q88" s="81">
        <f>IF(Local!I88=TRUE,1,0)</f>
        <v/>
      </c>
      <c r="R88" s="81">
        <f>Local!D88</f>
        <v/>
      </c>
      <c r="S88" s="81">
        <f>Local!F88</f>
        <v/>
      </c>
      <c r="T88" s="81">
        <f>Local!G88</f>
        <v/>
      </c>
      <c r="U88" s="83" t="inlineStr">
        <is>
          <t>## About
The Crested Blue Echeveria is a stunning and rare form of the popular Echeveria succulent. This plant features a unique crested (cristata) growth pattern where the stem grows in a fan or brain-like shape instead of the typical rosette form. The beautiful powdery blue-green leaves are tightly packed together creating a mesmerizing coral-like appearance that makes it a prized collector's item.
## Origin
This plant is a mutated form of Echeveria glauca, which originally comes from Mexico. The crested mutation is a rare natural occurrence that can happen to many succulent species. The parent species grows wild in rocky, mountainous areas with well-draining soil and plenty of sunlight.
## Temperature &amp; Humidity
- **Temperature Range:** 15Â°C to 35Â°C (ideal range is 18Â°C to 28Â°C)
- **Humidity:** Prefers low to moderate humidity levels between 30% to 50%. Can tolerate the dry conditions common in most Indian homes. High humidity during monsoon season should be avoided as it can cause root rot and fungal issues.
## Growth
This crested variety grows slowly and typically reaches 8 to 15 cm in height and can spread up to 15 to 20 cm wide. The crested growth pattern means it grows horizontally along the crest rather than producing individual rosettes. Growth is slowest during hot summer months and picks up during cooler months. The plant maintains its compact form and doesn't require much space, making it perfect for small pots and tabletop displays.
## Watering
- **Frequency:** Once every 10 to 15 days depending on season and weather conditions. Water less frequently during monsoon and winter, and slightly more during peak summer.
- **Tips:** Always check if the soil is completely dry before watering. Water thoroughly until water drains from the bottom, then allow the pot to drain completely. Never let the plant sit in water. Reduce watering significantly during winter months. The powdery coating on the leaves (farina) should not be disturbed by water, so water at the soil level, not from above.
## Sunlight
- **Hours per day:** 4 to 6 hours of bright light
- **Type:** Bright indirect light or morning direct sunlight is ideal. Avoid harsh afternoon sun especially during Indian summer months (April to June) as it can scorch the leaves and damage the delicate crested growth. A bright windowsill with east-facing exposure works perfectly.
## Care Tips
- Protect from direct monsoon rain as excess moisture can cause the crest to rot
- Keep in a well-ventilated area to prevent fungal infections during humid months
- Avoid touching the powdery blue coating on leaves as it protects the plant from sun damage
- During Indian summers above 35Â°C, provide some shade during afternoon hours
- Keep away from air conditioner vents as sudden temperature changes can stress the plant
- The plant can be kept outdoors during winter months (November to February) when temperatures are mild
- Clean the soil surface occasionally to prevent pest buildup
## Growth Tips
- Use a well-draining cactus or succulent mix with 50% to 60% grit (coarse sand, perlite, or pumice)
- Add a layer of small stones or gravel on top of the soil for better drainage and aesthetic appeal
- Fertilize once every 2 to 3 months during growing season (February to May and September to November) with diluted succulent fertilizer at quarter strength
- Repot only when the plant has completely outgrown its pot, typically every 2 to 3 years
- Use terracotta or clay pots as they allow better air circulation and moisture evaporation
- Propagation is challenging with crested forms; if small offsets appear, they can be carefully separated
## Common Problems
- **Leaf drop or mushiness:** Caused by overwatering or poor drainage. Reduce watering frequency immediately
- **Stretching or elongation:** Not enough light. Move to a brighter location
- **Brown or black spots:** Fungal infection from high humidity or water on leaves. Improve air circulation and water only at soil level
- **Mealybugs (white cottony bugs):** Common pest that hides in the tight crevices of the crest. Remove with cotton swab dipped in rubbing alcohol
- **Shriveling leaves:** Underwatering. Increase watering frequency slightly
- **Loss of blue color:** Too much shade or not enough light. Move to brighter location
- **Root rot:** Caused by waterlogged soil or poor drainage. Unpot, remove rotted roots, let dry for 2 days, and repot in fresh dry soil
- **Sunburn (white or brown patches):** Too much direct harsh sunlight. Provide afternoon shade during summer</t>
        </is>
      </c>
      <c r="V88" s="98">
        <f>HYPERLINK("https://rosaryplanthouse.com/plant/"&amp;A88&amp;"-"&amp;SUBSTITUTE(LOWER(E88), " ", "-"))</f>
        <v/>
      </c>
      <c r="W88" t="inlineStr">
        <is>
          <t>🟢 Echeveria glauca 'Cristata' (ID: 87)  
🌟 Meet the mesmerizing Crested Blue Echeveria! 🌟 This stunning succulent stands out with its unique fan-like growth pattern and mesmerizing powdery blue-green leaves, making it a must-have for any plant lover's collection!  
✨ **Short Description:** 
Originally hailing from the rocky terrains of Mexico, this rare mutation of Echeveria glauca is both a visual delight and a fascinating conversation starter. Its coral-like appearance is sure to elevate your plant game!  
🌱 **Key Details:**  
- **Watering:** Low, every 10-15 days  
- **Sunlight:** Thrives in bright indirect light for 4-6 hours daily  
- **Care Tips:** Keep the powdery coating intact and protect from excess moisture  
🌿 Ready to add this unique beauty to your collection? 🪴 Link in bio!  
#Echeveria #SucculentLove #CrestedSucculent #PlantCollector #IndoorPlants #SucculentCare #PlantParent #RosaryPlantHouse #GreenThumb #HouseplantGoals 🌍💚</t>
        </is>
      </c>
    </row>
    <row r="89" ht="99.5" customHeight="1">
      <c r="A89" s="73" t="n">
        <v>88</v>
      </c>
      <c r="B89" s="74" t="inlineStr">
        <is>
          <t>Green Aloe</t>
        </is>
      </c>
      <c r="C89" s="74">
        <f>IF(Local!H89,"1","0")</f>
        <v/>
      </c>
      <c r="D89" s="75" t="n">
        <v>59</v>
      </c>
      <c r="E89" s="66" t="inlineStr">
        <is>
          <t>Hechtia glauca</t>
        </is>
      </c>
      <c r="F89" s="76">
        <f>"public/sale_plants/"&amp;A89&amp;".jpg"</f>
        <v/>
      </c>
      <c r="G89" s="77" t="inlineStr">
        <is>
          <t>(2"-3")</t>
        </is>
      </c>
      <c r="H89" s="78" t="inlineStr">
        <is>
          <t>Low</t>
        </is>
      </c>
      <c r="I89" s="66" t="inlineStr">
        <is>
          <t>Low</t>
        </is>
      </c>
      <c r="J89" s="66" t="inlineStr">
        <is>
          <t>High</t>
        </is>
      </c>
      <c r="K89" s="79" t="n">
        <v>59</v>
      </c>
      <c r="L89" s="80" t="inlineStr">
        <is>
          <t>Aloe</t>
        </is>
      </c>
      <c r="M89" s="80" t="n">
        <v>0</v>
      </c>
      <c r="N89" s="80" t="n">
        <v>0</v>
      </c>
      <c r="O89" s="81" t="n">
        <v>0</v>
      </c>
      <c r="P89" s="80" t="n">
        <v>1</v>
      </c>
      <c r="Q89" s="81">
        <f>IF(Local!I89=TRUE,1,0)</f>
        <v/>
      </c>
      <c r="R89" s="81">
        <f>Local!D89</f>
        <v/>
      </c>
      <c r="S89" s="81">
        <f>Local!F89</f>
        <v/>
      </c>
      <c r="T89" s="81">
        <f>Local!G89</f>
        <v/>
      </c>
      <c r="U89" s="83" t="inlineStr">
        <is>
          <t>## About
Hechtia glauca, commonly known as Silver Star Hechtia, is a striking succulent plant from the Bromeliaceae family. It features beautiful silvery-green, sword-like leaves arranged in a star-shaped rosette pattern. This tough, drought-tolerant plant is perfect for rock gardens and xeriscaping in Indian climates.
## Origin
Hechtia glauca is native to Mexico, where it grows naturally in dry, rocky areas and mountainous regions. It thrives in arid conditions with excellent drainage and has adapted to survive in harsh, sunny environments with minimal water.
## Temperature &amp; Humidity
- **Temperature Range:** 15Â°C to 40Â°C
- **Humidity:** Low to moderate humidity (30% to 50%). This plant is extremely tolerant of dry conditions and does not require high humidity. It performs exceptionally well in hot, dry Indian summers.
## Growth
Hechtia glauca grows as a compact rosette that typically reaches 30 to 45 cm in diameter and about 20 to 30 cm in height. The plant grows relatively slowly and maintains a neat, symmetrical form. Over time, it may produce offsets (pups) around the base, creating attractive clusters. The leaves are stiff and pointed with serrated edges, so handle with care.
## Watering
- **Frequency:** Once every 10-15 days depending on season and weather conditions. In monsoon season, reduce watering significantly as natural rainfall may be sufficient.
- **Tips:** Allow the soil to dry out completely between waterings. This plant is highly drought-tolerant and prefers to stay on the dry side. Overwatering is the most common mistake. Water less frequently during cooler months (winter) and slightly more during peak summer heat. Always water at the base of the plant, avoiding water accumulation in the center of the rosette.
## Sunlight
- **Hours per day:** 6 to 8 hours
- **Type:** Direct sunlight. This plant loves full sun and actually develops its best color and form when exposed to intense direct light. The more sun it receives, the more pronounced its silvery coloration becomes.
## Care Tips
- Best suited for outdoor growing in full sun exposure
- The sharp, serrated leaf edges can be prickly, so place away from walkways or areas where children play
- Excellent drainage is absolutely essential to prevent root rot
- Tolerates heat extremely well, making it perfect for hot Indian summers
- Can handle light frost but protect from prolonged cold below 10Â°C
- Minimal maintenance required once established
- Remove dead or damaged leaves from the base to keep the plant tidy
## Growth Tips
- Use a well-draining cactus or succulent soil mix with added sand, perlite, or pumice
- Add gravel or small rocks to the soil for extra drainage
- Plant in terracotta or clay pots with drainage holes, or directly in rocky garden beds
- Fertilize sparinglyâ€”once every 2-3 months during the growing season (spring and summer) with a diluted balanced liquid fertilizer or cactus fertilizer
- Repotting is rarely needed; do so only when the plant has completely outgrown its container (every 3-4 years)
- Propagate by separating offsets (pups) that appear at the base
## Common Problems
- **Root rot:** Caused by overwatering or poor drainage. Ensure soil dries completely between waterings
- **Leaf browning at tips:** Usually natural aging, but can also indicate underwatering during extreme heat
- **Pale or washed-out color:** Insufficient sunlight. Move to a brighter location with more direct sun
- **Soft, mushy leaves:** Sign of overwatering and potential root rot. Reduce watering immediately
- **Mealybugs:** White cottony pests may appear at the base of leaves. Treat with neem oil or insecticidal soap
- **Slow or no growth:** Normal for this species, as it is a slow grower. Ensure adequate sunlight and occasional feeding during growing season</t>
        </is>
      </c>
      <c r="V89" s="98">
        <f>HYPERLINK("https://rosaryplanthouse.com/plant/"&amp;A89&amp;"-"&amp;SUBSTITUTE(LOWER(E89), " ", "-"))</f>
        <v/>
      </c>
      <c r="W89" t="inlineStr">
        <is>
          <t>🟢 Green Aloe (ID: 88)
🌟 Meet the stunning Hechtia glauca, also known as the Silver Star Hechtia! This captivating succulent is not only a feast for the eyes but also a powerhouse of resilience. 🌵✨ 
With its striking silvery-green, sword-like leaves radiating from a star-shaped rosette, this plant is perfect for adding a touch of elegance to your indoor gardens. It thrives in dry conditions, making it a breeze to care for—ideal for those who may not have a green thumb! 🌞🌿
🔑 **Key Details:**
- **Watering:** Low—allow soil to dry completely between waterings.
- **Sunlight:** High—loves 6 to 8 hours of direct sunlight daily.
- **Care:** Minimal maintenance required; just keep it dry and well-drained!
Ready to bring this beauty into your home? 🌍✨ Check out the collection on our website! Link in bio.
#HechtiaGlauca #GreenAloe #SucculentLove #PlantParents #IndoorPlants #PlantCare #DroughtTolerant #SucculentGarden #RosaryPlantHouse #HousePlants #PlantAddict #GardenGoals #HomeDecor #InteriorJungle #PlantLovers #PlantOfTheDay</t>
        </is>
      </c>
    </row>
    <row r="90" ht="99.5" customHeight="1">
      <c r="A90" s="73" t="n">
        <v>89</v>
      </c>
      <c r="B90" s="74" t="inlineStr">
        <is>
          <t>Green Echeviria</t>
        </is>
      </c>
      <c r="C90" s="74">
        <f>IF(Local!H90,"1","0")</f>
        <v/>
      </c>
      <c r="D90" s="75" t="n">
        <v>59</v>
      </c>
      <c r="E90" s="66" t="inlineStr">
        <is>
          <t>Echeveria 'Nuda'</t>
        </is>
      </c>
      <c r="F90" s="76">
        <f>"public/sale_plants/"&amp;A90&amp;".jpg"</f>
        <v/>
      </c>
      <c r="G90" s="77" t="inlineStr">
        <is>
          <t>(2"-3")</t>
        </is>
      </c>
      <c r="H90" s="78" t="inlineStr">
        <is>
          <t>Low</t>
        </is>
      </c>
      <c r="I90" s="66" t="inlineStr">
        <is>
          <t>Low</t>
        </is>
      </c>
      <c r="J90" s="66" t="inlineStr">
        <is>
          <t>High</t>
        </is>
      </c>
      <c r="K90" s="79" t="n">
        <v>79</v>
      </c>
      <c r="L90" s="81" t="inlineStr">
        <is>
          <t>Echeveria</t>
        </is>
      </c>
      <c r="M90" s="80" t="n">
        <v>0</v>
      </c>
      <c r="N90" s="80" t="n">
        <v>0</v>
      </c>
      <c r="O90" s="81" t="n">
        <v>0</v>
      </c>
      <c r="P90" s="80" t="n">
        <v>0</v>
      </c>
      <c r="Q90" s="81">
        <f>IF(Local!I90=TRUE,1,0)</f>
        <v/>
      </c>
      <c r="R90" s="81">
        <f>Local!D90</f>
        <v/>
      </c>
      <c r="S90" s="81">
        <f>Local!F90</f>
        <v/>
      </c>
      <c r="T90" s="81">
        <f>Local!G90</f>
        <v/>
      </c>
      <c r="U90" s="83" t="inlineStr">
        <is>
          <t>## About
Echeveria 'Nuda' is a beautiful succulent plant known for its rosette shape and soft lime-green to pale green fleshy leaves. This attractive plant forms a rose-like pattern with its thick, rounded leaves that have a slightly powdery coating, giving it a delicate appearance.
## Origin
Echeveria 'Nuda' originates from Mexico and Central America. Like most Echeveria species, it grows naturally in rocky, well-draining areas with plenty of sunlight. It has been cultivated worldwide as an ornamental succulent because of its stunning appearance and easy care requirements.
## Temperature &amp; Humidity
- **Temperature Range:** 15Â°C to 35Â°C
- **Humidity:** This plant prefers low to moderate humidity levels, typically between 30% to 50%. It can tolerate the dry conditions common in many Indian homes and does not require high humidity. During monsoon season, ensure good air circulation to prevent moisture-related problems.
## Growth
Echeveria 'Nuda' is a compact succulent that grows slowly and maintains a neat rosette shape. The plant typically reaches about 10 to 15 cm in diameter and stays relatively low to the ground. It can produce offsets (baby plants) around the base of the mother plant, which can be separated for propagation. The growth is slower during hot summer months and picks up during cooler seasons like winter and early spring.
## Watering
- **Frequency:** Once every 10-15 days depending on season and weather conditions. Water less frequently during monsoon and winter, and slightly more during hot summer months.
- **Tips:** Always water deeply but infrequently. Let the soil dry out completely between waterings. Water directly into the soil, avoiding the leaves and center of the rosette to prevent rot. Use the "soak and dry" method - water thoroughly until it drains out, then wait until soil is completely dry before watering again. Reduce watering during winter months when the plant goes semi-dormant.
## Sunlight
- **Hours per day:** 4 to 6 hours
- **Type:** Bright indirect light to direct morning sunlight. This plant loves bright light and can handle direct morning sun, but protect it from harsh afternoon sun in peak summer (12 PM to 4 PM) which can scorch the leaves. A spot that gets morning sun and afternoon shade is ideal in Indian climate.
## Care Tips
- Protect from heavy monsoon rains as excessive moisture can cause root rot
- Keep in a well-ventilated area to prevent fungal infections during humid months
- During Indian summer (April-June), provide some afternoon shade to prevent leaf burn
- Remove dried bottom leaves regularly to keep the plant tidy and prevent pests
- The powdery coating on leaves is natural - avoid touching or wiping leaves as it can damage this protective layer
- Can be kept indoors near a bright south or west-facing window
- Move outdoors during winter months (November-February) for best colors and compact growth
## Growth Tips
- Use a well-draining succulent or cactus potting mix, or make your own with regular soil, cocopeat, and perlite or sand in equal parts
- Ensure pots have drainage holes - this is essential for Echeveria health
- Feed with a diluted liquid succulent fertilizer once every 2-3 months during growing season (September to March)
- Avoid fertilizing during summer and monsoon months
- Repot every 2-3 years in spring, or when the plant outgrows its pot
- Use terracotta or clay pots as they allow better air circulation and moisture evaporation
- Propagate from leaf cuttings or offsets during cooler months for better success
## Common Problems
- **Leaf rot and mushiness:** Caused by overwatering or water sitting in the rosette center
- **Stretched or elongated growth (etiolation):** Due to insufficient sunlight - move to a brighter location
- **Brown or black spots on leaves:** Fungal infection from excess humidity or water on leaves during monsoon
- **Shriveled or wrinkled leaves:** Underwatering - the plant needs a good drink
- **Leaf burn or brown tips:** Too much direct harsh afternoon sun
- **Mealybugs (white cottony pests):** Common in humid conditions - remove with cotton swab dipped in rubbing alcohol
- **Lower leaves dying:** Natural process as plant grows, but if too many leaves die check for root rot
- **Pale or yellowish leaves:** Can indicate too much water or poor drainage</t>
        </is>
      </c>
      <c r="V90" s="98">
        <f>HYPERLINK("https://rosaryplanthouse.com/plant/"&amp;A90&amp;"-"&amp;SUBSTITUTE(LOWER(E90), " ", "-"))</f>
        <v/>
      </c>
      <c r="W90" t="inlineStr">
        <is>
          <t>🟢 Echeveria 'Nuda' (ID: 89)  
🌿 Embrace the beauty of succulents with the stunning Echeveria 'Nuda'! This charming plant showcases a delightful rosette shape and soft lime-green to pale green leaves, making it a perfect addition to any space.  
✨ About: Originating from Mexico and Central America, Echeveria 'Nuda' thrives in rocky, well-draining areas bathed in sunlight. Not only is it visually appealing, but it's also easy to care for, making it ideal for both beginners and seasoned plant lovers.  
🌞 Key Details:  
- **Watering:** Low frequency; every 10-15 days.  
- **Sunlight:** Loves bright indirect light with 4-6 hours of sunlight daily.  
- **Growth:** Compact and slow-growing, perfect for small spaces.  
👉 Ready to add this beauty to your collection? Link in bio!  
#EcheveriaNuda #SucculentLove #PlantParenthood #GreenThumb #HomeDecor #IndoorPlants #SucculentCare #PlantLovers #RosaryPlantHouse #PlantGoals #HousePlants #UrbanJungle #Greenery #NatureInspo #PlantAddict</t>
        </is>
      </c>
    </row>
    <row r="91" ht="99.5" customHeight="1">
      <c r="A91" s="73" t="n">
        <v>90</v>
      </c>
      <c r="B91" s="74" t="inlineStr">
        <is>
          <t>Umbrella</t>
        </is>
      </c>
      <c r="C91" s="74">
        <f>IF(Local!H91,"1","0")</f>
        <v/>
      </c>
      <c r="D91" s="75" t="n">
        <v>79</v>
      </c>
      <c r="E91" s="66" t="inlineStr">
        <is>
          <t>Portulacaria afra</t>
        </is>
      </c>
      <c r="F91" s="76">
        <f>"public/sale_plants/"&amp;A91&amp;".jpg"</f>
        <v/>
      </c>
      <c r="G91" s="77" t="inlineStr">
        <is>
          <t>(2"-3")</t>
        </is>
      </c>
      <c r="H91" s="78" t="inlineStr">
        <is>
          <t>High</t>
        </is>
      </c>
      <c r="I91" s="66" t="inlineStr">
        <is>
          <t>Low</t>
        </is>
      </c>
      <c r="J91" s="66" t="inlineStr">
        <is>
          <t>Medium</t>
        </is>
      </c>
      <c r="K91" s="79" t="n">
        <v>89</v>
      </c>
      <c r="L91" s="80" t="inlineStr">
        <is>
          <t>Succulent</t>
        </is>
      </c>
      <c r="M91" s="80" t="n">
        <v>0</v>
      </c>
      <c r="N91" s="80" t="n">
        <v>0</v>
      </c>
      <c r="O91" s="81" t="n">
        <v>0</v>
      </c>
      <c r="P91" s="81" t="n">
        <v>0</v>
      </c>
      <c r="Q91" s="81">
        <f>IF(Local!I91=TRUE,1,0)</f>
        <v/>
      </c>
      <c r="R91" s="81">
        <f>Local!D91</f>
        <v/>
      </c>
      <c r="S91" s="81">
        <f>Local!F91</f>
        <v/>
      </c>
      <c r="T91" s="81">
        <f>Local!G91</f>
        <v/>
      </c>
      <c r="U91" s="83" t="inlineStr">
        <is>
          <t>## About
The Elephant Bush, also known as Dwarf Jade or Spekboom, is a popular succulent with thick, round, jade-green leaves that grow on reddish-brown stems. Native to South Africa, this plant is loved by gardeners and indoor plant enthusiasts for its easy care, attractive appearance, and ability to thrive in various conditions. It's perfect for beginners and seasoned plant lovers alike.
## Origin
Portulacaria afra comes from the Eastern Cape province of South Africa. In its natural habitat, it grows in rocky hillsides and dry valleys. The plant is an important food source for elephants in the wild, which is how it got its common name "Elephant Bush."
## Temperature &amp; Humidity
- **Temperature Range:** 10Â°C to 35Â°C (ideal: 18Â°C to 30Â°C)
- **Humidity:** Low to moderate humidity (30% to 50%). This plant tolerates dry air very well, making it perfect for most Indian homes and climates. It can handle the hot, dry summers common across India.
## Growth
Elephant Bush is a small to medium-sized succulent that can grow up to 1 to 2 feet tall when kept in a pot indoors. In outdoor garden settings with proper care, it can grow even larger, up to 3 to 4 feet. The plant has a bushy, shrub-like growth pattern with multiple branches. It grows at a moderate pace and can be easily shaped through pruning. The thick stems store water, which helps the plant survive dry periods.
## Watering
- **Frequency:** Once every 10 to 14 days depending on season and weather conditions. During monsoon or winter, reduce watering to once every 2 to 3 weeks.
- **Tips:** Always check if the soil is completely dry before watering. Water thoroughly until it drains from the bottom holes, then let the soil dry out completely. Overwatering is the biggest mistake with this plant. In Indian summers, you may need to water once a week, but in cooler months, reduce frequency. Yellow leaves often mean too much water.
## Sunlight
- **Hours per day:** 4 to 6 hours
- **Type:** Bright indirect light to partial direct sunlight. Morning sun is ideal. Can tolerate some afternoon sun but protect from harsh midday sun during peak summer months (April to June) in most parts of India. Indoors, place near a bright window.
## Care Tips
- Protect from heavy monsoon rains as continuous moisture can cause root rot
- In hot Indian summers (above 40Â°C), provide some shade during peak afternoon hours
- Can be kept outdoors year-round in most parts of India except in areas with frost
- Clean leaves occasionally with a soft, damp cloth to remove dust
- Prune regularly to maintain shape and encourage bushier growth
- Very easy to propagate from stem cuttings - simply let the cutting dry for a day, then plant in soil
- Keep away from areas with waterlogging during monsoon season
## Growth Tips
- Use well-draining soil mix: combine regular potting soil with cocopeat and perlite or sand in equal parts
- Add small pieces of charcoal to prevent root rot
- Fertilize once every 2 to 3 months during growing season (spring and summer) with diluted liquid fertilizer or organic compost
- Repot every 2 to 3 years in spring when the plant outgrows its pot
- Use terracotta or clay pots for better drainage and air circulation
- Ensure pots have drainage holes at the bottom
- During active growth season, you can fertilize with half-strength balanced fertilizer
## Common Problems
- **Yellow or mushy leaves:** Caused by overwatering or poor drainage. Let soil dry completely and reduce watering frequency.
- **Wrinkled, shriveled leaves:** Sign of underwatering. Increase watering slightly but don't overdo it.
- **Leaf drop:** Usually happens due to sudden temperature changes or drafts. Keep in a stable location.
- **Leggy growth with stretched stems:** Not enough light. Move to a brighter location with more sunlight.
- **Mealybugs:** White, cotton-like insects on stems and leaves. Wipe with cotton dipped in rubbing alcohol or neem oil solution.
- **Root rot:** Dark, mushy roots caused by overwatering or poor drainage. Repot in fresh, dry soil and trim affected roots.
- **Sunburn (brown patches):** Too much direct harsh sunlight. Provide filtered light during peak afternoon hours.</t>
        </is>
      </c>
      <c r="V91" s="98">
        <f>HYPERLINK("https://rosaryplanthouse.com/plant/"&amp;A91&amp;"-"&amp;SUBSTITUTE(LOWER(E91), " ", "-"))</f>
        <v/>
      </c>
      <c r="W91" t="inlineStr">
        <is>
          <t>🟢 Portulacaria afra (ID: 90)  
🌿 Meet the stunning Elephant Bush, your new succulent companion! 🌱✨
This delightful plant features thick, round, jade-green leaves on striking reddish-brown stems, making it a perfect addition to any home or garden. Native to South Africa, the Elephant Bush thrives in various conditions and is low-maintenance, making it ideal for both beginners and seasoned plant lovers alike! 
**Key Details:**  
🌞 Sunlight: Bright indirect light to partial direct sunlight (4-6 hours)  
💧 Watering: Low - every 10-14 days (check soil dryness first)  
🌡️ Temperature: Thrives between 10°C to 35°C  
🌿 Humidity: Low to moderate, perfect for Indian homes!  
Don't miss out on bringing this beauty into your plant collection. 🌍💚  
Link in bio!  
#RosaryPlantHouse #ElephantBush #PortulacariaAfra #SucculentLove #IndoorPlants #PlantCare #GreenThumb #HomeGarden #PlantParent #EcommercePlants #SucculentAddict #HousePlantClub #PlantLovers #BotanicalBeauty</t>
        </is>
      </c>
    </row>
    <row r="92" ht="99.5" customHeight="1">
      <c r="A92" s="73" t="n">
        <v>91</v>
      </c>
      <c r="B92" s="74" t="inlineStr">
        <is>
          <t>Chilly</t>
        </is>
      </c>
      <c r="C92" s="74">
        <f>IF(Local!H92,"1","0")</f>
        <v/>
      </c>
      <c r="D92" s="75" t="n">
        <v>59</v>
      </c>
      <c r="E92" s="66" t="inlineStr">
        <is>
          <t>Crassula perforata</t>
        </is>
      </c>
      <c r="F92" s="76">
        <f>"public/sale_plants/"&amp;A92&amp;".jpg"</f>
        <v/>
      </c>
      <c r="G92" s="77" t="inlineStr">
        <is>
          <t>(2"-3")</t>
        </is>
      </c>
      <c r="H92" s="78" t="inlineStr">
        <is>
          <t>Low</t>
        </is>
      </c>
      <c r="I92" s="66" t="inlineStr">
        <is>
          <t>Low</t>
        </is>
      </c>
      <c r="J92" s="66" t="inlineStr">
        <is>
          <t>High</t>
        </is>
      </c>
      <c r="K92" s="79" t="n">
        <v>69</v>
      </c>
      <c r="L92" s="80" t="inlineStr">
        <is>
          <t>Crassula</t>
        </is>
      </c>
      <c r="M92" s="80" t="n">
        <v>0</v>
      </c>
      <c r="N92" s="80" t="n">
        <v>0</v>
      </c>
      <c r="O92" s="81" t="n">
        <v>0</v>
      </c>
      <c r="P92" s="80" t="n">
        <v>0</v>
      </c>
      <c r="Q92" s="81">
        <f>IF(Local!I92=TRUE,1,0)</f>
        <v/>
      </c>
      <c r="R92" s="81">
        <f>Local!D92</f>
        <v/>
      </c>
      <c r="S92" s="81">
        <f>Local!F92</f>
        <v/>
      </c>
      <c r="T92" s="81">
        <f>Local!G92</f>
        <v/>
      </c>
      <c r="U92" s="83" t="inlineStr">
        <is>
          <t>## About
String of Buttons is a beautiful and unique succulent with stacked, triangular leaves that spiral around the stem in a geometric pattern. This charming plant is native to South Africa and is loved for its architectural form and easy-going nature, making it perfect for beginners and experienced plant lovers alike.
## Origin
Crassula perforata originates from the Eastern Cape province of South Africa. In its natural habitat, it grows in rocky, well-draining areas with plenty of sunlight and minimal rainfall. This hardy succulent has adapted to survive in tough conditions with little water.
## Temperature &amp; Humidity
- **Temperature Range:** 15Â°C to 35Â°C
- **Humidity:** Low to moderate humidity (30% to 50%). This plant prefers drier conditions and does not require high humidity. It can tolerate the hot and dry conditions common in many parts of India.
## Growth
String of Buttons grows as an upright succulent that can reach about 30 to 45 cm in height. The leaves are thick, fleshy, and arranged in neat stacks that look like buttons threaded on a string. The plant grows at a moderate pace and can form attractive clumps over time. With proper care and enough sunlight, the leaf edges develop a beautiful pinkish-red tint, adding extra visual appeal.
## Watering
- **Frequency:** Once every two weeks depending on season and weather conditions. In hot summer months, you may need to water slightly more often, while in monsoon and winter, reduce watering significantly.
- **Tips:** Always allow the soil to dry out completely between waterings. Water thoroughly until it drains from the bottom, then empty the saucer. Overwatering is the biggest enemy of this plant. Reduce watering during the monsoon season when humidity is high. Water early morning or late evening, never during peak afternoon heat.
## Sunlight
- **Hours per day:** 4 to 6 hours
- **Type:** Direct sunlight is best. This plant loves bright, direct sunlight and will develop its best colors when grown in full sun. It can tolerate some bright indirect light but may become leggy and lose its compact form without enough direct sun.
## Care Tips
- Place in the sunniest spot available, such as a south-facing windowsill or balcony
- Protect from heavy monsoon rains as prolonged wetness can cause root rot
- In extremely hot regions (above 40Â°C), provide some afternoon shade to prevent leaf burn
- During winter, keep in a warm spot and reduce watering drastically
- Wipe dust off leaves occasionally to help the plant absorb maximum sunlight
- This plant is perfect for Indian balconies and terrace gardens
## Growth Tips
- Use a well-draining succulent or cactus potting mix, or make your own by mixing regular soil with 50% coarse sand and perlite
- Add a layer of gravel or small stones at the bottom of the pot for extra drainage
- Fertilize sparinglyâ€”once every 2-3 months during the growing season (spring and early summer) with a diluted succulent fertilizer
- Repot every 2-3 years or when the plant outgrows its pot, preferably in spring
- Use terracotta or clay pots which allow excess moisture to evaporate
- Propagate easily from stem cuttingsâ€”just let them dry for a day and plant in dry soil
## Common Problems
- **Yellowing or mushy leaves:** Sign of overwatering. Reduce watering frequency immediately and check for root rot
- **Leggy, stretched growth:** Not getting enough sunlight. Move to a brighter location with direct sun
- **Shriveled, wrinkled leaves:** Underwatering or extreme heat stress. Water thoroughly and provide some afternoon shade during peak summer
- **Brown, crispy leaf tips:** Sunburn from too intense direct sun (rare). Provide filtered light during hottest part of day
- **Mealybugs and aphids:** Common pests that appear as white cottony masses. Remove with cotton swab dipped in rubbing alcohol
- **Black or brown spots on leaves:** Fungal infection due to excess moisture. Remove affected leaves and improve air circulation
- **Slow or no growth:** May need fertilizer or larger pot. Check if root-bound and repot if necessary</t>
        </is>
      </c>
      <c r="V92" s="98">
        <f>HYPERLINK("https://rosaryplanthouse.com/plant/"&amp;A92&amp;"-"&amp;SUBSTITUTE(LOWER(E92), " ", "-"))</f>
        <v/>
      </c>
      <c r="W92" t="inlineStr">
        <is>
          <t>🟢 Crassula Perforata (ID: 91)
🌿 Meet Chilly, your new succulent superstar! This captivating plant features unique stacked, triangular leaves that spiral beautifully around its stem, creating an eye-catching geometric display. Perfect for both beginners and seasoned plant lovers, Chilly brings a touch of architectural elegance to any space! 
✨ **Key Details:**
- **Origin:** Native to the rocky landscapes of South Africa 🌍
- **Watering:** Low - just once every two weeks! 💧
- **Sunlight:** Thrives in 4 to 6 hours of bright, direct sunlight ☀️
Ready to elevate your plant game? 🌱 Tap the link in bio to explore more about Chilly and add this beauty to your collection!
#RosaryPlantHouse #CrassulaPerforata #ChillyThePlant #SucculentLove #PlantParent #IndoorPlants #GreenThumb #SucculentCare #PlantGoals #HomeDecor #PlantLife #EcommercePlants #PlantCollection #NatureLovers #SouthAfricanPlants</t>
        </is>
      </c>
    </row>
    <row r="93" ht="99.5" customHeight="1">
      <c r="A93" s="73" t="n">
        <v>92</v>
      </c>
      <c r="B93" s="74" t="inlineStr">
        <is>
          <t>Fishbone</t>
        </is>
      </c>
      <c r="C93" s="74">
        <f>IF(Local!H93,"1","0")</f>
        <v/>
      </c>
      <c r="D93" s="75" t="n">
        <v>69</v>
      </c>
      <c r="E93" s="66" t="inlineStr">
        <is>
          <t>Epiphyllum anguliger</t>
        </is>
      </c>
      <c r="F93" s="76">
        <f>"public/sale_plants/"&amp;A93&amp;".jpg"</f>
        <v/>
      </c>
      <c r="G93" s="77" t="inlineStr">
        <is>
          <t>(2"-3")</t>
        </is>
      </c>
      <c r="H93" s="78" t="inlineStr">
        <is>
          <t>Low</t>
        </is>
      </c>
      <c r="I93" s="66" t="inlineStr">
        <is>
          <t>Medium</t>
        </is>
      </c>
      <c r="J93" s="66" t="inlineStr">
        <is>
          <t>Low</t>
        </is>
      </c>
      <c r="K93" s="79" t="n">
        <v>79</v>
      </c>
      <c r="L93" s="80" t="inlineStr">
        <is>
          <t>Cactus</t>
        </is>
      </c>
      <c r="M93" s="80" t="n">
        <v>0</v>
      </c>
      <c r="N93" s="80" t="n">
        <v>0</v>
      </c>
      <c r="O93" s="81" t="n">
        <v>0</v>
      </c>
      <c r="P93" s="80" t="n">
        <v>0</v>
      </c>
      <c r="Q93" s="81">
        <f>IF(Local!I93=TRUE,1,0)</f>
        <v/>
      </c>
      <c r="R93" s="81">
        <f>Local!D93</f>
        <v/>
      </c>
      <c r="S93" s="81">
        <f>Local!F93</f>
        <v/>
      </c>
      <c r="T93" s="81">
        <f>Local!G93</f>
        <v/>
      </c>
      <c r="U93" s="83" t="inlineStr">
        <is>
          <t>## About
The Fishbone Cactus is a stunning tropical cactus with unique zigzag leaves that look like a fish skeleton. Unlike desert cacti, this plant comes from tropical rainforests and loves humidity, making it perfect for Indian homes.
## Origin
Native to the tropical rainforests of Mexico and Central America, this plant grows naturally on trees as an epiphyte (air plant). It thrives in the dappled shade of forest canopies, which explains why it doesn't need direct harsh sunlight like desert cacti.
## Temperature &amp; Humidity
- **Temperature Range:** 15Â°C to 30Â°C
- **Humidity:** Prefers moderate to high humidity (50% to 70%). This plant adapts well to Indian monsoon conditions and humid coastal areas. In dry climates, occasional misting helps keep the leaves healthy and prevents browning at the edges.
## Growth
The Fishbone Cactus has a trailing growth habit with flat, serrated stems that can grow up to 60-90 cm long. It grows at a moderate pace, producing new segments throughout the growing season (spring and summer). The plant has a cascading nature, making it ideal for hanging baskets or placing on tall shelves where the stems can drape down beautifully.
## Watering
- **Frequency:** Once a week depending on season and weather conditions. During Indian summers (March to June), you may need to water twice a week, while in monsoon and winter, reduce to once every 10-14 days.
- **Tips:** Water when the top 2-3 cm of soil feels dry. This plant needs more water than desert cacti but less than regular houseplants. Always check the soil before watering. Use room-temperature water and ensure the pot has drainage holes to prevent root rot. During monsoon season, reduce watering significantly as the plant absorbs moisture from the air.
## Sunlight
- **Hours per day:** 2 to 4 hours
- **Type:** Bright indirect light or filtered morning sunlight. Avoid harsh afternoon sun, especially during Indian summers, as it can burn the leaves and turn them yellow or brown. A spot near an east-facing window or under a covered balcony works perfectly.
## Care Tips
- Keep away from direct afternoon sun during hot Indian summers (April-June)
- Loves the natural humidity during monsoon season but protect from heavy rain
- Can be kept outdoors in shaded areas year-round in South India
- In North India, bring indoors during winter if temperatures drop below 10Â°C
- Perfect for bathrooms and kitchens where humidity is naturally higher
- Rotate the plant occasionally for even growth
- Clean the leaves gently with a damp cloth to remove dust
## Growth Tips
- Use well-draining soil mix: equal parts potting soil, cocopeat, and perlite or sand
- Add organic compost or vermicompost every 2-3 months during growing season
- Use diluted liquid fertilizer (half strength) once a month from March to September
- Repot every 2-3 years in spring using a slightly larger pot
- Propagate easily by cutting a stem segment and planting in moist soil
- Add orchid bark or charcoal to the soil mix for better drainage
- The plant may produce stunning white or yellow night-blooming flowers once mature
## Common Problems
- **Yellow leaves:** Overwatering or too much direct sunlight causing sunburn
- **Brown, crispy edges:** Low humidity or underwatering, common in dry Indian summers
- **Soft, mushy stems:** Root rot from overwatering or poor drainage, especially during monsoon
- **Slow or no growth:** Lack of nutrients or insufficient light
- **Pests:** Mealybugs and scale insects may appear; wipe with neem oil solution
- **Shriveled stems:** Underwatering or root damage; check soil moisture and roots
- **Leaf drop:** Sudden temperature changes or being moved frequently between locations</t>
        </is>
      </c>
      <c r="V93" s="98">
        <f>HYPERLINK("https://rosaryplanthouse.com/plant/"&amp;A93&amp;"-"&amp;SUBSTITUTE(LOWER(E93), " ", "-"))</f>
        <v/>
      </c>
      <c r="W93" t="inlineStr">
        <is>
          <t>🟢 Epiphyllum anguliger (ID: 92)
🌿 Dive into the unique world of the Fishbone Cactus! This tropical gem adds an exotic touch to any space with its stunning zigzag leaves that resemble a fish skeleton. Perfect for those who want a low-maintenance yet eye-catching plant!
✨ **About the Fishbone Cactus:** 
Native to the lush rainforests of Mexico and Central America, this beauty thrives in humid environments and dappled shade. Unlike its desert cousins, it loves moisture and can adapt beautifully to Indian homes!
🌱 **Key Details:**
- **Sunlight:** Prefers bright indirect light or filtered morning sun ☀️ 
- **Watering:** Medium moisture; check soil before watering 💧
- **Humidity:** Flourishes in moderate to high humidity (50%-70%) 🌧️
- **Growth:** Cascading growth habit, perfect for hanging baskets or tall shelves 🌿
👉 Ready to bring this stunning plant home? Check out the Fishbone Cactus on our website! Link in bio!
#FishboneCactus #EpiphyllumAnguliger #TropicalPlants #IndoorGarden #PlantLovers #Houseplants #Cactus #HomeDecor #UrbanJungle #GreenThumb #PlantCare #RosaryPlantHouse</t>
        </is>
      </c>
    </row>
    <row r="94" ht="99.5" customHeight="1">
      <c r="A94" s="73" t="n">
        <v>93</v>
      </c>
      <c r="B94" s="74" t="inlineStr">
        <is>
          <t>Chlorophytm</t>
        </is>
      </c>
      <c r="C94" s="74">
        <f>IF(Local!H94,"1","0")</f>
        <v/>
      </c>
      <c r="D94" s="75" t="n">
        <v>39</v>
      </c>
      <c r="E94" s="66" t="inlineStr">
        <is>
          <t>Chlorophytum comosum</t>
        </is>
      </c>
      <c r="F94" s="76">
        <f>"public/sale_plants/"&amp;A94&amp;".jpg"</f>
        <v/>
      </c>
      <c r="G94" s="77" t="inlineStr">
        <is>
          <t>(2"-3")</t>
        </is>
      </c>
      <c r="H94" s="78" t="inlineStr">
        <is>
          <t>Low</t>
        </is>
      </c>
      <c r="I94" s="66" t="inlineStr">
        <is>
          <t>Medium</t>
        </is>
      </c>
      <c r="J94" s="66" t="inlineStr">
        <is>
          <t>Medium</t>
        </is>
      </c>
      <c r="K94" s="79" t="n">
        <v>39</v>
      </c>
      <c r="L94" s="80" t="inlineStr">
        <is>
          <t>Others</t>
        </is>
      </c>
      <c r="M94" s="80" t="n">
        <v>0</v>
      </c>
      <c r="N94" s="80" t="n">
        <v>0</v>
      </c>
      <c r="O94" s="81" t="n">
        <v>0</v>
      </c>
      <c r="P94" s="81" t="n">
        <v>0</v>
      </c>
      <c r="Q94" s="81">
        <f>IF(Local!I94=TRUE,1,0)</f>
        <v/>
      </c>
      <c r="R94" s="81">
        <f>Local!D94</f>
        <v/>
      </c>
      <c r="S94" s="81">
        <f>Local!F94</f>
        <v/>
      </c>
      <c r="T94" s="81">
        <f>Local!G94</f>
        <v/>
      </c>
      <c r="U94" s="83" t="inlineStr">
        <is>
          <t>## About
The Spider Plant is one of the most popular and easiest indoor plants to grow. It has beautiful arching leaves with green and white stripes that look like ribbons. This plant is loved by beginners because it forgives mistakes and grows well in most home conditions.
## Origin
The Spider Plant originally comes from the tropical and southern regions of Africa, particularly South Africa. In its natural habitat, it grows in forests and grasslands where it receives filtered sunlight through tree canopies.
## Temperature &amp; Humidity
- **Temperature Range:** 15Â°C to 30Â°C (ideal range is 18Â°C to 24Â°C)
- **Humidity:** This plant prefers moderate to high humidity levels between 40% to 60%, but it can adapt to lower humidity levels found in most Indian homes. During hot, dry summers, occasional misting helps keep the leaves fresh.
## Growth
Spider Plants grow moderately fast and can reach a height of 30 to 45 cm with a similar spread. The leaves arch gracefully outward, creating a fountain-like appearance. The plant produces long stems called runners or stolons that grow baby plants (called plantlets or spiderettes) at their ends. These hanging babies give the plant its "spider" name. When grown in hanging baskets, these runners create a beautiful cascading effect.
## Watering
- **Frequency:** Once to twice a week depending on season, temperature, and pot size. Water more frequently during hot Indian summers and less during monsoon and winter.
- **Tips:** Water when the top 2-3 cm of soil feels dry to touch. Use room temperature water and water thoroughly until it drains from the bottom. Spider Plants are sensitive to fluoride and chlorine in tap water, which can cause brown leaf tips. Let tap water sit overnight before using, or use filtered or rainwater. Avoid overwatering as it can lead to root rot.
## Sunlight
- **Hours per day:** 4 to 6 hours of bright, indirect light
- **Type:** Bright indirect or filtered light works best. Can tolerate some direct morning sun, but avoid harsh afternoon sun which can scorch the leaves and fade the variegation.
## Care Tips
- Spider Plants do well in bright, indirect light near east or north-facing windows in Indian homes
- They can tolerate low light conditions but may lose their vibrant variegation and grow slower
- Brown leaf tips are common due to dry air, fluoride in water, or underwatering - trim them with clean scissors
- Wipe leaves occasionally with a damp cloth to remove dust and keep them breathing well
- During Indian summers (April-June), increase watering frequency and provide some humidity through misting
- The plant is non-toxic to pets and children, making it safe for homes
- Spider Plants are excellent air purifiers and remove toxins from indoor air
## Growth Tips
- Use well-draining potting mix - a combination of regular potting soil, cocopeat, and perlite or sand works well
- Feed with a balanced liquid fertilizer (NPK 10:10:10) diluted to half strength once a month during growing season (spring and summer)
- Avoid fertilizing during winter months when growth slows down
- Repot every 1-2 years or when roots become crowded - Spider Plants actually bloom better when slightly root-bound
- The thick, fleshy roots store water, so the plant can survive short periods of neglect
- Propagate easily by planting the baby plantlets in soil or water until they develop roots
## Common Problems
- **Brown leaf tips:** Caused by fluoride/chlorine in water, low humidity, underwatering, or over-fertilizing
- **Yellow leaves:** Usually indicates overwatering or poor drainage - check if soil is staying too wet
- **Pale or faded leaves:** Not enough light - move to a brighter location
- **Slow growth or no babies:** Insufficient light or the plant needs feeding
- **Root rot:** Caused by overwatering and poor drainage - reduce watering frequency
- **Pests:** Spider mites and aphids can occasionally attack - spray with neem oil solution
- **Crispy, dry leaves:** Low humidity or underwatering, especially common during hot, dry summers in India</t>
        </is>
      </c>
      <c r="V94" s="98">
        <f>HYPERLINK("https://rosaryplanthouse.com/plant/"&amp;A94&amp;"-"&amp;SUBSTITUTE(LOWER(E94), " ", "-"))</f>
        <v/>
      </c>
      <c r="W94" t="inlineStr">
        <is>
          <t>🟢 Chlorophytum comosum (ID: 93)
🌿 Meet the Spider Plant, your new indoor companion! This charming beauty is not only stunning with its arching green and white striped leaves, but it's also one of the easiest plants to care for! 
✨ Known for its forgiving nature, the Spider Plant thrives in various home conditions, making it perfect for both beginners and seasoned plant parents. Watch as it grows gracefully, producing adorable "baby" plantlets that cascade beautifully from its runners! 
🌱 **Key Details:**
- 🌞 **Sunlight:** Prefers bright, indirect light (4-6 hours a day)
- 💧 **Watering:** Once or twice a week; adjust in different seasons
- 🌡️ **Temperature:** Enjoys a cozy range of 15°C to 30°C 
- 🐾 **Safe for Pets:** Non-toxic for your furry friends!
Ready to bring home this air-purifying powerhouse? 🌍✨ Click that **Link in bio** to get yours today!
#SpiderPlant #ChlorophytumComosum #IndoorPlants #PlantParenthood #HomeDecor #PlantLovers #AirPurifyingPlants #EasyCarePlants #GreenThumb #PlantGoals #Houseplants #RosaryPlantHouse #BotanicalBeauty #NatureLovers #PlantAddict #UrbanJungle</t>
        </is>
      </c>
    </row>
    <row r="95" ht="99.5" customHeight="1">
      <c r="A95" s="73" t="n">
        <v>94</v>
      </c>
      <c r="B95" s="74" t="inlineStr">
        <is>
          <t>Change Color</t>
        </is>
      </c>
      <c r="C95" s="74">
        <f>IF(Local!H95,"1","0")</f>
        <v/>
      </c>
      <c r="D95" s="75" t="n">
        <v>100</v>
      </c>
      <c r="E95" s="66" t="inlineStr">
        <is>
          <t>Aeonium 'Kiwi' (Aeonium haworthii variegata)</t>
        </is>
      </c>
      <c r="F95" s="76">
        <f>"public/sale_plants/"&amp;A95&amp;".jpg"</f>
        <v/>
      </c>
      <c r="G95" s="77" t="inlineStr">
        <is>
          <t>(2"-3")</t>
        </is>
      </c>
      <c r="H95" s="78" t="inlineStr">
        <is>
          <t>High</t>
        </is>
      </c>
      <c r="I95" s="66" t="inlineStr">
        <is>
          <t>Low</t>
        </is>
      </c>
      <c r="J95" s="66" t="inlineStr">
        <is>
          <t>Medium</t>
        </is>
      </c>
      <c r="K95" s="79" t="n">
        <v>89</v>
      </c>
      <c r="L95" s="80" t="inlineStr">
        <is>
          <t>Others</t>
        </is>
      </c>
      <c r="M95" s="80" t="n">
        <v>0</v>
      </c>
      <c r="N95" s="80" t="n">
        <v>0</v>
      </c>
      <c r="O95" s="81" t="n">
        <v>0</v>
      </c>
      <c r="P95" s="80" t="n">
        <v>0</v>
      </c>
      <c r="Q95" s="81">
        <f>IF(Local!I95=TRUE,1,0)</f>
        <v/>
      </c>
      <c r="R95" s="81">
        <f>Local!D95</f>
        <v/>
      </c>
      <c r="S95" s="81">
        <f>Local!F95</f>
        <v/>
      </c>
      <c r="T95" s="81">
        <f>Local!G95</f>
        <v/>
      </c>
      <c r="U95" s="83" t="inlineStr">
        <is>
          <t>## About
The Kiwi Aeonium is a beautiful succulent known for its stunning rosette-shaped leaves that display a lovely mix of green, cream, and pink colors. This plant is highly popular among succulent collectors for its compact growth and eye-catching appearance. The variegated leaves create a layered, flower-like pattern that makes it a perfect decorative plant for homes and gardens.
## Origin
Kiwi Aeonium is a cultivated variety that originates from the Canary Islands. It belongs to the Aeonium family, which naturally grows in rocky, mountainous regions with mild climates. These plants are adapted to Mediterranean-type weather conditions, making them suitable for various climates including many regions of India.
## Temperature &amp; Humidity
- **Temperature Range:** 15Â°C to 30Â°C
- **Humidity:** Prefers low to moderate humidity levels around 30% to 50%. This plant does well in the dry conditions common in many Indian regions. It can tolerate higher humidity but needs good air circulation to prevent fungal issues during monsoon season.
## Growth
Kiwi Aeonium is a slow to moderate growing succulent that typically reaches 15 to 30 centimeters in height. The plant grows in a branching pattern with multiple rosettes forming on short stems. Each rosette can grow 5 to 10 centimeters wide. The plant tends to become leggy over time, developing woody stems that give it a small shrub-like appearance. It grows more actively during cooler months (winter and spring) and goes semi-dormant in extreme summer heat.
## Watering
- **Frequency:** Once every two weeks depending on season, weather, and soil moisture. Water less in monsoon and winter, slightly more in hot summer months.
- **Tips:** Always check if the soil is completely dry before watering. Water thoroughly until it drains from the bottom, then allow the soil to dry out completely. Reduce watering during dormant summer period when growth slows down. Never let the plant sit in water as this causes root rot. In Indian climate, watering needs vary greatly between seasons - reduce frequency during humid monsoon months.
## Sunlight
- **Hours per day:** 4 to 6 hours
- **Type:** Bright indirect light or morning direct sunlight with afternoon shade. Avoid harsh afternoon sun, especially in Indian summers, as it can scorch the leaves and fade the beautiful colors. Filtered light through a window or shade cloth works perfectly. The variegated colors become more vibrant with proper light exposure.
## Care Tips
- Place in a bright spot with morning sun and afternoon shade for best color development
- Protect from harsh afternoon sun during Indian summers (April to June) to prevent leaf burn
- Bring indoors or provide shelter during heavy monsoon rains to avoid overwatering
- Ensure excellent drainage as waterlogged conditions are the main killer of this plant
- During extreme heat above 35Â°C, move to a cooler, shadier location
- Watch for color changes - leaves turning brown means too much sun, while stretching means insufficient light
- Clean leaves occasionally to remove dust and allow better light absorption
## Growth Tips
- Use a well-draining cactus or succulent mix, or create your own using regular soil mixed with 50% cocopeat, sand, and perlite
- Add fertilizer sparingly - once every 2 to 3 months during active growing season (winter and spring) using diluted liquid succulent fertilizer
- Repot every 2 to 3 years or when the plant becomes root-bound, preferably in early winter
- Use terracotta or clay pots as they allow better air circulation and moisture evaporation
- Prune leggy stems to maintain compact shape and propagate the cuttings
- Allow cut stems to dry for 2 to 3 days before replanting to prevent rot
## Common Problems
- **Root rot:** Caused by overwatering or poor drainage, especially common during monsoon season. Leaves become mushy and fall off easily.
- **Leggy growth:** Results from insufficient light. The plant stretches towards light source with large gaps between leaves.
- **Leaf drop:** Normal during hot summer dormancy, but excessive dropping indicates watering issues or temperature stress.
- **Brown, crispy leaves:** Too much direct sun or heat stress, particularly during peak Indian summer.
- **Mealybugs:** White cotton-like pests in leaf joints. Common in humid conditions. Remove with rubbing alcohol on cotton swabs.
- **Fading colors:** Insufficient light causes loss of pink and cream variegation, leaves turn plain green.
- **Black spots on leaves:** Fungal infection from excess humidity or water on leaves. Improve air circulation and avoid overhead watering.</t>
        </is>
      </c>
      <c r="V95" s="98">
        <f>HYPERLINK("https://rosaryplanthouse.com/plant/"&amp;A95&amp;"-"&amp;SUBSTITUTE(LOWER(E95), " ", "-"))</f>
        <v/>
      </c>
      <c r="W95" t="inlineStr">
        <is>
          <t>🟢 Aeonium 'Kiwi' (ID: 94)
🌈 Ready to add a splash of color to your plant collection? Meet the stunning **Kiwi Aeonium**! This beautiful succulent is known for its rosette-shaped leaves that showcase a mesmerizing blend of green, cream, and pink. Perfect for both seasoned collectors and new plant parents alike!
🌱 **About:** Hailing from the Canary Islands, this charming plant thrives in bright indirect light and is ideal for various climates, including many regions of India. Its compact growth and eye-catching appearance will make it a showstopper in your home or garden.
✨ **Key Details:**
- **Watering:** Low maintenance, just check the soil dryness every two weeks!
- **Sunlight:** Enjoys 4-6 hours of bright indirect light — avoid harsh afternoon sun!
- **Growth:** Slow to moderate growth, typically reaching 15-30 cm in height.
💚 Don’t miss your chance to bring home this vibrant beauty! **Link in bio** to shop now!
#AeoniumKiwi #SucculentLovers #PlantParents #IndoorGarden #HomeDecor #GreenThumb #PlantCollection #RosaryPlantHouse #HousePlants #PlantJoy #SucculentCare #PlantEnthusiast #GardenGoals</t>
        </is>
      </c>
    </row>
    <row r="96" ht="99.5" customHeight="1">
      <c r="A96" s="73" t="n">
        <v>95</v>
      </c>
      <c r="B96" s="74" t="inlineStr">
        <is>
          <t>Bad smell</t>
        </is>
      </c>
      <c r="C96" s="74">
        <f>IF(Local!H96,"1","0")</f>
        <v/>
      </c>
      <c r="D96" s="87" t="n">
        <v>100</v>
      </c>
      <c r="E96" s="66" t="inlineStr">
        <is>
          <t>Serissa foetida</t>
        </is>
      </c>
      <c r="F96" s="76">
        <f>"public/sale_plants/"&amp;A96&amp;".jpg"</f>
        <v/>
      </c>
      <c r="G96" s="77" t="inlineStr">
        <is>
          <t>(2"-3")</t>
        </is>
      </c>
      <c r="H96" s="78" t="inlineStr">
        <is>
          <t>Moderate</t>
        </is>
      </c>
      <c r="I96" s="66" t="inlineStr">
        <is>
          <t>Medium</t>
        </is>
      </c>
      <c r="J96" s="66" t="inlineStr">
        <is>
          <t>Medium</t>
        </is>
      </c>
      <c r="K96" s="79" t="n">
        <v>49</v>
      </c>
      <c r="L96" s="80" t="inlineStr">
        <is>
          <t>Others</t>
        </is>
      </c>
      <c r="M96" s="80" t="n">
        <v>0</v>
      </c>
      <c r="N96" s="80" t="n">
        <v>0</v>
      </c>
      <c r="O96" s="81" t="n">
        <v>0</v>
      </c>
      <c r="P96" s="80" t="n">
        <v>0</v>
      </c>
      <c r="Q96" s="81">
        <f>IF(Local!I96=TRUE,1,0)</f>
        <v/>
      </c>
      <c r="R96" s="81">
        <f>Local!D96</f>
        <v/>
      </c>
      <c r="S96" s="81">
        <f>Local!F96</f>
        <v/>
      </c>
      <c r="T96" s="81">
        <f>Local!G96</f>
        <v/>
      </c>
      <c r="U96" s="83" t="inlineStr">
        <is>
          <t>## About
Snowrose, also called Tree of a Thousand Stars, is a beautiful small flowering shrub known for its tiny star-shaped white or pink flowers that bloom almost year-round. This compact plant is native to Asia and is popular for bonsai and container gardening due to its delicate appearance and manageable size.
## Origin
Snowrose originates from Southeast Asia, particularly from subtropical regions of China, Japan, India, and other parts of East Asia. It grows naturally in woodland areas and along stream banks where it receives filtered sunlight and steady moisture.
## Temperature &amp; Humidity
- **Temperature Range:** 15Â°C to 30Â°C (can tolerate brief periods down to 10Â°C but not frost)
- **Humidity:** Prefers moderate to high humidity levels between 50% to 70%. Indian monsoon season provides ideal conditions, but during dry seasons, extra care is needed to maintain humidity around the plant.
## Growth
Snowrose is a slow to moderate-growing evergreen shrub that typically reaches 30 to 60 centimeters in height when grown in containers. In the ground, it can grow slightly larger. The plant has a bushy, compact growth habit with small, oval-shaped green leaves. Some varieties have variegated leaves with cream or white edges. The plant produces tiny white or light pink flowers that are about 1 centimeter across, appearing throughout the year with peak flowering in warmer months.
## Watering
- **Frequency:** Water once or twice a week depending on season, weather, and pot drainage. During summer and hot months, watering may need to be more frequent.
- **Tips:** Keep the soil consistently moist but never waterlogged. Snowrose is sensitive to both overwatering and underwatering. Check the top 2-3 centimeters of soilâ€”if it feels dry, water thoroughly until water drains from the bottom. During monsoon, reduce watering frequency. Use room-temperature water and avoid chlorinated water if possible. Misting the leaves during dry weather helps maintain humidity.
## Sunlight
- **Hours per day:** 4 to 6 hours
- **Type:** Bright indirect light or filtered sunlight. Some morning direct sun is beneficial, but protect from harsh afternoon sun, especially during Indian summers (April-June). Can tolerate partial shade but flowering may reduce.
## Care Tips
- Place the plant in a location with good air circulation but away from strong winds and air conditioning vents
- During hot Indian summers (April-June), move the plant to a shadier spot to prevent leaf burn
- Mist the leaves regularly during dry seasons to maintain humidity and prevent leaf drop
- Prune regularly after flowering to maintain shape and encourage bushier growth
- Remove dead flowers and leaves to keep the plant healthy and promote new blooms
- During winter months in North India, protect from cold drafts and frost
- The plant is sensitive to sudden environmental changes, so avoid moving it frequently
## Growth Tips
- Use well-draining, slightly acidic soil with pH 5.5 to 6.5. A mix of garden soil, cocopeat, and perlite or sand works well
- Feed with a balanced liquid fertilizer (NPK 10:10:10) diluted to half strength every 2-3 weeks during the growing season (spring and summer)
- Reduce fertilization during monsoon and winter months
- Repot every 2 years in spring, using a slightly larger pot with fresh soil
- Pinch back new growth tips to encourage branching and a fuller appearance
- Use organic compost or vermicompost mixed into the soil for better nutrition
## Common Problems
- **Leaf drop:** Most common issue caused by sudden changes in watering, temperature, light, or location. Also occurs due to underwatering or overwatering
- **Yellow leaves:** Usually indicates overwatering or poor drainage. Can also be caused by nutrient deficiency
- **Root rot:** Caused by waterlogged soil and poor drainage. Ensure pots have drainage holes
- **Pests:** Aphids, scale insects, and mealybugs may attack. Treat with neem oil spray or insecticidal soap
- **Brown leaf tips:** Result of low humidity or fluoride in tap water. Use filtered or rainwater and increase humidity
- **Reduced flowering:** Insufficient light or over-fertilization with nitrogen-rich fertilizers can reduce blooms
- **Powdery mildew:** Fungal disease that appears as white powder on leaves, caused by poor air circulation and high humidity. Treat with fungicide</t>
        </is>
      </c>
      <c r="V96" s="98">
        <f>HYPERLINK("https://rosaryplanthouse.com/plant/"&amp;A96&amp;"-"&amp;SUBSTITUTE(LOWER(E96), " ", "-"))</f>
        <v/>
      </c>
      <c r="W96" t="inlineStr">
        <is>
          <t>🟢 Serissa foetida (ID: 95)
✨ Say hello to the enchanting Snowrose, also known as the Tree of a Thousand Stars! 🌸 This stunning small flowering shrub is perfect for adding a touch of magic to your garden or home. 
🌿 With its delicate star-shaped flowers blooming almost year-round, the Snowrose thrives in bright, indirect light and moderate humidity. It’s not just a feast for the eyes; it’s a beautiful addition to bonsai creations and container gardens alike! 
🔑 **Key Details:**
- 🌱 Watering: Moderate, keep the soil consistently moist
- ☀️ Sunlight: 4-6 hours of bright indirect light
- 🌡️ Temperature: Thrives in 15°C to 30°C, protect from frost
Ready to let this beauty brighten up your space? 🌟 Click the link in bio to learn more! 
#RosaryPlantHouse #Snowrose #SerissaFoetida #PlantLovers #IndoorPlants #Gardening #FloweringShrubs #PlantCare #HomeDecor #GreenThumb #Bonsai #ContainerGardening #Houseplants #NatureLovers #PlantAddict</t>
        </is>
      </c>
    </row>
    <row r="97" ht="99.5" customHeight="1">
      <c r="A97" s="73" t="n">
        <v>96</v>
      </c>
      <c r="B97" s="74" t="inlineStr">
        <is>
          <t>Tiger Flower</t>
        </is>
      </c>
      <c r="C97" s="74">
        <f>IF(Local!H97,"1","0")</f>
        <v/>
      </c>
      <c r="D97" s="75" t="n">
        <v>99</v>
      </c>
      <c r="E97" s="66" t="inlineStr">
        <is>
          <t>Stapelia lepida</t>
        </is>
      </c>
      <c r="F97" s="76">
        <f>"public/sale_plants/"&amp;A97&amp;".jpg"</f>
        <v/>
      </c>
      <c r="G97" s="77" t="inlineStr">
        <is>
          <t>(1.5"-2")</t>
        </is>
      </c>
      <c r="H97" s="78" t="inlineStr">
        <is>
          <t>Low</t>
        </is>
      </c>
      <c r="I97" s="66" t="inlineStr">
        <is>
          <t>Low</t>
        </is>
      </c>
      <c r="J97" s="66" t="inlineStr">
        <is>
          <t>High</t>
        </is>
      </c>
      <c r="K97" s="79" t="n">
        <v>99</v>
      </c>
      <c r="L97" s="80" t="inlineStr">
        <is>
          <t>Succulent</t>
        </is>
      </c>
      <c r="M97" s="80" t="n">
        <v>0</v>
      </c>
      <c r="N97" s="80" t="n">
        <v>0</v>
      </c>
      <c r="O97" s="81" t="n">
        <v>0</v>
      </c>
      <c r="P97" s="81" t="n">
        <v>0</v>
      </c>
      <c r="Q97" s="81">
        <f>IF(Local!I97=TRUE,1,0)</f>
        <v/>
      </c>
      <c r="R97" s="81">
        <f>Local!D97</f>
        <v/>
      </c>
      <c r="S97" s="81">
        <f>Local!F97</f>
        <v/>
      </c>
      <c r="T97" s="81">
        <f>Local!G97</f>
        <v/>
      </c>
      <c r="U97" s="83" t="inlineStr">
        <is>
          <t>## About
The Starfish Flower is a unique and fascinating succulent known for its stunning star-shaped flowers that look like beautiful spotted starfish. This low-growing plant has thick, fleshy green stems and produces one of the most interesting flowers in the succulent world, with yellow petals covered in maroon or purple spots.
## Origin
Stapelia lepida is native to South Africa, where it grows in rocky, arid regions. It belongs to the Apocynaceae family and is adapted to survive in dry conditions with minimal water. The plant has evolved to attract flies for pollination, which is why its flowers sometimes have a slight odor.
## Temperature &amp; Humidity
- **Temperature Range:** 15Â°C to 35Â°C
- **Humidity:** Low to moderate humidity (30% to 50%). This plant prefers dry conditions and can tolerate the hot summers commonly found in most parts of India. It should be protected from temperatures below 10Â°C during winter months.
## Growth
Stapelia lepida is a compact, clumping succulent that grows upright stems reaching about 10 to 15 cm in height. The plant spreads slowly by producing new stems from the base, forming small clusters over time. Growth is moderate during warm months and slows down in winter. The stems are four-angled, green, and may develop a slight purple tinge in bright sunlight. The spectacular star-shaped flowers appear mainly during the growing season and can be 5 to 8 cm across.
## Watering
- **Frequency:** Once every 10-14 days depending on season and weather conditions. Water less frequently during monsoon and winter months.
- **Tips:** Allow the soil to dry out completely between waterings. Water deeply but infrequently. Reduce watering significantly during winter months. Avoid getting water on the stems and flowers. Overwatering is the main cause of root rot in Stapelias. During the rainy season in India, protect the plant from excessive moisture.
## Sunlight
- **Hours per day:** 4 to 6 hours
- **Type:** Bright indirect light with some direct morning or evening sun. Can tolerate direct sunlight but may need shade during the hottest part of the day in peak Indian summer (April-June). Too much harsh sun can cause the stems to turn reddish or get sunburned.
## Care Tips
- Place the plant in a bright location with good air circulation
- Protect from heavy monsoon rains as excess moisture can cause rot
- In hot Indian summers (above 40Â°C), provide afternoon shade
- Keep in a well-ventilated area to prevent fungal issues
- The flowers may have a mild odor to attract pollinators â€“ this is normal
- Remove spent flowers to keep the plant tidy
- Can be grown both indoors near a sunny window and outdoors
## Growth Tips
- Use a very well-draining cactus or succulent potting mix
- Add extra perlite, coarse sand, or pumice to improve drainage
- Plant in pots with drainage holes to prevent waterlogging
- Feed with a diluted succulent fertilizer once a month during the growing season (March to October)
- Repot every 2-3 years or when the plant outgrows its container
- Best repotting time is early spring before the growing season begins
- Propagate easily by stem cuttings â€“ let them dry for a few days before planting
## Common Problems
- **Root rot:** Caused by overwatering or poorly draining soil. Stems become soft and mushy at the base
- **Stem rot:** Results from excessive humidity or water sitting on stems, especially during monsoon
- **Mealybugs:** White cottony pests that cluster on stems. Treat with neem oil or isopropyl alcohol
- **No flowers:** Usually due to insufficient light or lack of a dormant winter rest period
- **Yellowing stems:** Can indicate overwatering or root problems
- **Shriveling stems:** Sign of underwatering â€“ the plant needs a drink
- **Fungal infections:** Common in humid conditions with poor air circulation during Indian monsoons</t>
        </is>
      </c>
      <c r="V97" s="98">
        <f>HYPERLINK("https://rosaryplanthouse.com/plant/"&amp;A97&amp;"-"&amp;SUBSTITUTE(LOWER(E97), " ", "-"))</f>
        <v/>
      </c>
      <c r="W97" t="inlineStr">
        <is>
          <t>🟢 Tiger Flower (ID: 96)
🌟 Discover the enchanting beauty of the Tiger Flower! 🌟 This stunning succulent, also known as Stapelia lepida, is a true showstopper with its unique star-shaped blooms that resemble a spotted starfish. Perfect for adding a touch of whimsy to your plant collection!
🌱 **About**: Native to the rocky terrains of South Africa, this captivating plant thrives in dry conditions and features thick, fleshy green stems. Its remarkable flowers bloom in vibrant yellow adorned with maroon or purple spots, attracting pollinators with their mild scent. 
💡 **Key Details**:
- **Sunlight**: Prefers bright indirect light with some direct sun 🌞
- **Watering**: Low – allow soil to dry out completely between waterings 💧
- **Temperature**: Thrives between 15°C to 35°C 🌡️
✨ Ready to elevate your indoor garden? The Tiger Flower is waiting for you! 🌼✨ 
👉 **Link in bio** 
#TigerFlower #StapeliaLepida #SucculentLove #IndoorPlants #PlantCollection #PlantParent #HomeDecor #GreenThumb #PlantLovers #RosaryPlantHouse #Houseplants #PlantCare #SucculentCare #GardeningTips #BotanicalBeauty</t>
        </is>
      </c>
    </row>
    <row r="98" ht="99.5" customHeight="1">
      <c r="A98" s="73" t="n">
        <v>97</v>
      </c>
      <c r="B98" s="74" t="inlineStr">
        <is>
          <t>medusa's head</t>
        </is>
      </c>
      <c r="C98" s="74">
        <f>IF(Local!H98,"1","0")</f>
        <v/>
      </c>
      <c r="D98" s="87" t="n">
        <v>100</v>
      </c>
      <c r="E98" s="66" t="inlineStr">
        <is>
          <t>Euphorbia flanaganii</t>
        </is>
      </c>
      <c r="F98" s="76">
        <f>"public/sale_plants/"&amp;A98&amp;".jpg"</f>
        <v/>
      </c>
      <c r="G98" s="77" t="inlineStr">
        <is>
          <t>(2"-3")</t>
        </is>
      </c>
      <c r="H98" s="78" t="inlineStr">
        <is>
          <t>Low</t>
        </is>
      </c>
      <c r="I98" s="66" t="inlineStr">
        <is>
          <t>Low</t>
        </is>
      </c>
      <c r="J98" s="66" t="inlineStr">
        <is>
          <t>Medium</t>
        </is>
      </c>
      <c r="K98" s="79" t="n">
        <v>99</v>
      </c>
      <c r="L98" s="80" t="inlineStr">
        <is>
          <t>Succulent</t>
        </is>
      </c>
      <c r="M98" s="80" t="n">
        <v>0</v>
      </c>
      <c r="N98" s="80" t="n">
        <v>0</v>
      </c>
      <c r="O98" s="81" t="n">
        <v>0</v>
      </c>
      <c r="P98" s="80" t="n">
        <v>0</v>
      </c>
      <c r="Q98" s="81">
        <f>IF(Local!I98=TRUE,1,0)</f>
        <v/>
      </c>
      <c r="R98" s="81">
        <f>Local!D98</f>
        <v/>
      </c>
      <c r="S98" s="81">
        <f>Local!F98</f>
        <v/>
      </c>
      <c r="T98" s="81">
        <f>Local!G98</f>
        <v/>
      </c>
      <c r="U98" s="83" t="inlineStr">
        <is>
          <t>## About
Medusa's Head is a fascinating succulent named after the Greek mythological character because its multiple snake-like arms radiate outward from a central crown, resembling the serpent-covered head of Medusa. This unique plant is popular among collectors for its unusual appearance and easy care requirements. It grows in a sprawling rosette pattern with thick, fleshy green stems.
## Origin
This plant is native to South Africa, particularly the Eastern Cape region. It grows naturally in rocky, dry areas where it has adapted to survive drought conditions and poor soil. The plant thrives in warm, arid environments similar to many parts of India.
## Temperature &amp; Humidity
- **Temperature Range:** 15Â°C to 35Â°C
- **Humidity:** Low to moderate humidity (30% to 50%). This plant prefers dry conditions and does not require high humidity. It can tolerate the hot, dry summers common in most parts of India but should be protected from temperatures below 10Â°C during winter.
## Growth
Medusa's Head is a slow-growing succulent that typically reaches 15 to 30 cm in diameter when mature. The plant grows from a central hub with multiple cylindrical arms spreading outward and along the ground. These arms can grow up to 30 cm long. The growth is mostly horizontal rather than vertical, creating a beautiful spreading display. New arms continuously emerge from the center as the plant matures, making it bushier over time.
## Watering
- **Frequency:** Once every two weeks depending on season, weather conditions, and soil moisture. During hot Indian summers, you may need to water slightly more often, while in monsoon and winter, reduce watering significantly.
- **Tips:** Always allow the soil to dry out completely between waterings. Water less frequently during the monsoon season and winter months. Overwatering is the biggest threat to this plant. Water at the base and avoid getting water on the arms or central crown to prevent rot. Use the "soak and dry" method - water thoroughly when you do water, then wait until soil is completely dry.
## Sunlight
- **Hours per day:** 4 to 6 hours
- **Type:** Bright indirect light or filtered direct sunlight. Morning sun is ideal. Avoid harsh afternoon sun during peak Indian summer months (April-June) as it can scorch the plant. Can adapt to partial shade but may grow slower and become leggy.
## Care Tips
- Protect from heavy monsoon rains by moving under a covered area or indoors, as excessive moisture can cause root rot
- In extremely hot regions of India (above 40Â°C), provide afternoon shade protection
- Use a well-draining pot with multiple drainage holes to prevent water logging
- Keep away from cold drafts and air conditioners if kept indoors
- The plant contains a milky white sap that can irritate skin, so handle with care and keep away from children and pets
- During winter months (December-February), the plant goes semi-dormant and needs minimal water
- Dust off the arms gently with a soft brush to keep them clean and allow proper photosynthesis
## Growth Tips
- Use a cactus or succulent potting mix, or create your own with 60% regular potting soil, 30% coarse sand, and 10% perlite
- Add a layer of small pebbles or gravel on top of the soil for better drainage and aesthetic appeal
- Fertilize very sparingly - once every 2-3 months during the growing season (spring and early summer) with a diluted succulent fertilizer at half strength
- Repot only when the plant has outgrown its container, typically every 2-3 years
- Choose a shallow, wide pot rather than a deep one, as the roots are shallow
- Spring (February-March) is the best time for repotting in India
## Common Problems
- **Root rot:** Caused by overwatering or poor drainage. Signs include soft, mushy arms and yellowing. Solution: Reduce watering and improve drainage
- **Yellowing arms:** Usually indicates overwatering or lack of sunlight. Adjust care accordingly
- **Leggy growth:** Not enough sunlight causes stretched, thin arms. Move to a brighter location
- **Mealybugs:** White cottony pests that hide between arms. Remove with cotton swabs dipped in rubbing alcohol
- **Shriveling arms:** Underwatering or extreme heat. Increase watering slightly during very hot periods
- **Brown/black spots:** Fungal infection from excess moisture. Reduce humidity and improve air circulation
- **Wilting after repotting:** Normal transplant shock. Avoid watering for a few days after repotting to allow roots to settle</t>
        </is>
      </c>
      <c r="V98" s="98">
        <f>HYPERLINK("https://rosaryplanthouse.com/plant/"&amp;A98&amp;"-"&amp;SUBSTITUTE(LOWER(E98), " ", "-"))</f>
        <v/>
      </c>
      <c r="W98" t="inlineStr">
        <is>
          <t>🟢 Euphorbia Flanaganii (ID: 97)  
🌿 Meet the mesmerizing Medusa's Head! This enchanting succulent, inspired by Greek mythology, features striking snake-like arms that radiate from a central crown, making it a stunning addition to any plant collection. 🌱✨  
🌍 Native to the rocky, dry landscapes of South Africa, this low-maintenance beauty thrives in warm, arid conditions. With its unique growth pattern and resilient nature, it's perfect for both seasoned collectors and new plant parents!  
🔑 Key Details:  
- **Watering:** Low (every 2 weeks) 💧  
- **Sunlight:** Medium (4-6 hours of bright indirect light) ☀️  
- **Transit:** Low 🚚  
- **Humidity:** Prefers dry conditions 🌬️  
Ready to bring home the intriguing Medusa's Head? Click the link in bio to explore more!  
#EuphorbiaFlanaganii #MedusasHead #SucculentLove #PlantCollection #GreenThumb #IndoorPlants #PlantCare #RosaryPlantHouse #PlantParent #PlantLovers #HomeDecor #SucculentAddict #SouthAfricanPlants #MythicalPlants</t>
        </is>
      </c>
    </row>
    <row r="99" ht="99.5" customHeight="1">
      <c r="A99" s="73" t="n">
        <v>98</v>
      </c>
      <c r="B99" s="74" t="inlineStr">
        <is>
          <t>Bomb</t>
        </is>
      </c>
      <c r="C99" s="74">
        <f>IF(Local!H99,"1","0")</f>
        <v/>
      </c>
      <c r="D99" s="87" t="n">
        <v>100</v>
      </c>
      <c r="E99" s="66" t="inlineStr">
        <is>
          <t>Euphorbia ferox</t>
        </is>
      </c>
      <c r="F99" s="76">
        <f>"public/sale_plants/"&amp;A99&amp;".jpg"</f>
        <v/>
      </c>
      <c r="G99" s="77" t="inlineStr">
        <is>
          <t>(2"-3")</t>
        </is>
      </c>
      <c r="H99" s="78" t="inlineStr">
        <is>
          <t>Low</t>
        </is>
      </c>
      <c r="I99" s="66" t="inlineStr">
        <is>
          <t>Low</t>
        </is>
      </c>
      <c r="J99" s="66" t="inlineStr">
        <is>
          <t>High</t>
        </is>
      </c>
      <c r="K99" s="79" t="n">
        <v>99</v>
      </c>
      <c r="L99" s="80" t="inlineStr">
        <is>
          <t>Cactus</t>
        </is>
      </c>
      <c r="M99" s="80" t="n">
        <v>0</v>
      </c>
      <c r="N99" s="80" t="n">
        <v>0</v>
      </c>
      <c r="O99" s="81" t="n">
        <v>0</v>
      </c>
      <c r="P99" s="80" t="n">
        <v>0</v>
      </c>
      <c r="Q99" s="81">
        <f>IF(Local!I99=TRUE,1,0)</f>
        <v/>
      </c>
      <c r="R99" s="81">
        <f>Local!D99</f>
        <v/>
      </c>
      <c r="S99" s="81">
        <f>Local!F99</f>
        <v/>
      </c>
      <c r="T99" s="81">
        <f>Local!G99</f>
        <v/>
      </c>
      <c r="U99" s="83" t="inlineStr">
        <is>
          <t>## About
Euphorbia ferox, commonly known as the Fierce Euphorbia, is a striking succulent plant that looks like a spiny green ball. This unique plant is native to South Africa and gets its name from the Latin word "ferox" which means fierce or ferocious, referring to its impressive covering of sharp spines. Despite its fierce appearance, it is a wonderful addition to any succulent collection and is particularly well-suited for Indian climate conditions.
## Origin
This plant originates from the rocky, arid regions of South Africa, particularly in areas with low rainfall and intense sunlight. It grows naturally in harsh desert-like conditions where it has adapted to survive with minimal water and maximum sun exposure.
## Temperature &amp; Humidity
- **Temperature Range:** 15Â°C to 40Â°C (can tolerate even higher temperatures during Indian summers)
- **Humidity:** Prefers low to moderate humidity levels, around 30% to 50%. It thrives in dry conditions and does not require high humidity, making it perfect for most parts of India.
## Growth
Euphorbia ferox grows in a spherical or slightly elongated shape, typically reaching about 15 to 30 centimeters in height and width. It is a slow-growing plant that can take several years to reach its mature size. The plant grows upright and maintains a compact, globe-like shape. It has prominent vertical ribs running along its body, and each rib is armed with reddish-pink to brown spines that emerge from small bumps. The spines are one of the most attractive features of this plant, giving it a dramatic appearance.
## Watering
- **Frequency:** Water sparingly, about once every two weeks depending on season and weather conditions. During monsoon or winter, reduce watering to once every three to four weeks.
- **Tips:** Always allow the soil to dry out completely between waterings. Overwatering is the biggest enemy of this plant and can lead to root rot. Water less during the cooler months (November to February) and slightly more during the hot summer months (March to June). During the monsoon season (July to September), be very careful and reduce watering as the plant can absorb moisture from the humid air.
## Sunlight
- **Hours per day:** 6 to 8 hours of direct sunlight
- **Type:** Direct, bright sunlight. This plant loves full sun and will develop the best color and spine formation when given plenty of direct light. Can tolerate partial shade but may lose its compact shape.
## Care Tips
- Euphorbia ferox is perfect for Indian climate as it can handle extreme heat and drought conditions
- Protect the plant from continuous heavy rain during monsoon season by moving it under a shelter or reducing outdoor exposure
- Use well-draining soil specifically made for cacti and succulents
- The plant contains a milky white sap (latex) that is toxic and can cause skin irritation, so always wear gloves when handling
- Avoid touching or placing the plant where children or pets can reach it
- This plant does not require regular pruning or maintenance
- Can be grown both indoors near a sunny window or outdoors in a sunny spot
## Growth Tips
- Use a well-draining soil mix containing sand, perlite, and cactus potting mix in equal parts
- Add small gravel or pumice to improve drainage
- Fertilize very sparingly, only once or twice during the growing season (March to August) with a diluted succulent fertilizer
- Repot only when the plant outgrows its container, typically every 3 to 4 years
- Use a terracotta or clay pot with drainage holes for better moisture control
- When repotting, handle with thick gloves to protect yourself from the sharp spines
- The plant can be propagated from seeds, though this is a slow process
## Common Problems
- **Root rot:** Caused by overwatering or poorly draining soil. Signs include soft, mushy base and yellowing
- **Etiolation (stretching):** Plant becomes elongated and loses compact shape due to insufficient sunlight
- **Spine discoloration:** Spines may lose their vibrant color if the plant doesn't get enough direct sun
- **Mealybugs and scale insects:** Can appear as white cottony masses or brown bumps on the plant surface. Treat with neem oil or isopropyl alcohol
- **Sunburn:** While rare, sudden exposure to very intense afternoon sun after being in shade can cause browning. Gradually introduce to full sun
- **Slow or no growth:** Usually due to lack of fertilizer, poor soil quality, or being root-bound in a small pot</t>
        </is>
      </c>
      <c r="V99" s="98">
        <f>HYPERLINK("https://rosaryplanthouse.com/plant/"&amp;A99&amp;"-"&amp;SUBSTITUTE(LOWER(E99), " ", "-"))</f>
        <v/>
      </c>
      <c r="W99" t="inlineStr">
        <is>
          <t>🟢 Euphorbia ferox (ID: 98)
🌵 Meet the Fierce Euphorbia, the spiny succulent that packs a punch! This unique beauty is not just a sight to behold; it’s a resilient companion that thrives in the sun and loves the heat! ☀️
🌍 Originating from the rugged terrains of South Africa, Euphorbia ferox is a true survivor. With its striking globe-like shape and sharp spines, this plant is perfect for adding a touch of drama to your collection. Plus, it’s low-maintenance, making it ideal for busy plant lovers! 
🔑 Key Details:
- **Watering:** Low; water every 2 weeks
- **Sunlight:** Requires 6-8 hours of direct sunlight daily
- **Care Tips:** Perfect for Indian climates; use well-draining soil
👉 Ready to add the Fierce Euphorbia to your plant family? Check the Link in bio!
#EuphorbiaFerox #FierceEuphorbia #SucculentLove #CactusCollection #PlantParent #IndoorPlants #PlantCare #GardeningJoy #RosaryPlantHouse #PlantAddict #GreenThumb #Houseplants #SucculentsOfInstagram</t>
        </is>
      </c>
    </row>
    <row r="100" ht="99.5" customHeight="1">
      <c r="A100" s="73" t="n">
        <v>99</v>
      </c>
      <c r="B100" s="74" t="inlineStr">
        <is>
          <t>Aeonium Green</t>
        </is>
      </c>
      <c r="C100" s="74">
        <f>IF(Local!H100,"1","0")</f>
        <v/>
      </c>
      <c r="D100" s="75" t="n">
        <v>69</v>
      </c>
      <c r="E100" s="66" t="inlineStr">
        <is>
          <t>Aeonium arboreum</t>
        </is>
      </c>
      <c r="F100" s="76">
        <f>"public/sale_plants/"&amp;A100&amp;".jpg"</f>
        <v/>
      </c>
      <c r="G100" s="77" t="inlineStr">
        <is>
          <t>(2"-3")</t>
        </is>
      </c>
      <c r="H100" s="78" t="inlineStr">
        <is>
          <t>Moderate</t>
        </is>
      </c>
      <c r="I100" s="66" t="inlineStr">
        <is>
          <t>Low</t>
        </is>
      </c>
      <c r="J100" s="66" t="inlineStr">
        <is>
          <t>Medium</t>
        </is>
      </c>
      <c r="K100" s="79" t="n">
        <v>69</v>
      </c>
      <c r="L100" s="80" t="inlineStr">
        <is>
          <t>Succulent</t>
        </is>
      </c>
      <c r="M100" s="80" t="n">
        <v>0</v>
      </c>
      <c r="N100" s="80" t="n">
        <v>0</v>
      </c>
      <c r="O100" s="81" t="n">
        <v>0</v>
      </c>
      <c r="P100" s="81" t="n">
        <v>0</v>
      </c>
      <c r="Q100" s="81">
        <f>IF(Local!I100=TRUE,1,0)</f>
        <v/>
      </c>
      <c r="R100" s="81">
        <f>Local!D100</f>
        <v/>
      </c>
      <c r="S100" s="81">
        <f>Local!F100</f>
        <v/>
      </c>
      <c r="T100" s="81">
        <f>Local!G100</f>
        <v/>
      </c>
      <c r="U100" s="83" t="inlineStr">
        <is>
          <t>## About
The Tree Aeonium is a beautiful succulent plant with bright green rosettes that look like flowers made of fleshy leaves. This plant grows on woody stems and forms an attractive tree-like shape as it matures. It comes from the Canary Islands and is loved by gardeners for its easy care and striking appearance.
## Origin
This plant is native to the Canary Islands, off the coast of North Africa. It naturally grows in rocky areas and hillsides where the climate is mild and dry. In its natural habitat, it enjoys cool winters and warm summers with very little rainfall.
## Temperature &amp; Humidity
- **Temperature Range:** 15Â°C to 30Â°C (can tolerate up to 35Â°C but prefers cooler conditions)
- **Humidity:** Prefers low to moderate humidity levels, around 30% to 50%. The plant does well in dry air and does not need high humidity like tropical plants.
## Growth
The Tree Aeonium grows to about 30 to 90 cm tall when fully mature. It forms rosettes of leaves that can be 15 to 20 cm wide. The plant grows on a single stem or multiple stems that become woody and brown as the plant ages. Growth is moderate, and the plant may lose lower leaves naturally as it grows taller, creating a tree-like trunk. In Indian climate, it grows well during cooler months (October to March) and may go dormant or slow down growth in hot summer months.
## Watering
- **Frequency:** Once every 10-14 days depending on other parameters like season, pot size, and weather conditions. Water less in summer when the plant is dormant and slightly more during the growing season (winter and spring in India).
- **Tips:** Always let the soil dry completely between waterings. Water deeply but infrequently. Reduce watering significantly during the hot summer months. Overwatering is the biggest enemy of this plant. Make sure the pot has excellent drainage holes.
## Sunlight
- **Hours per day:** 4 to 6 hours
- **Type:** Bright indirect light to partial direct sunlight. Protect from harsh afternoon sun in Indian summers as it can scorch the leaves. Morning sun is ideal. The plant can tolerate some shade but colors may fade and growth may become leggy.
## Care Tips
- Protect from direct intense afternoon sun during April to June when temperatures exceed 35Â°C
- Move to a shadier spot or indoors during peak summer heat
- Reduce watering drastically in summer as the plant goes dormant
- Keep in a well-ventilated spot to prevent fungal issues during monsoon
- The plant prefers cooler temperatures and grows best in Indian winters
- Clean accumulated dust from leaves gently with a soft brush
- Avoid getting water on the rosette center to prevent rot
## Growth Tips
- Use a very well-draining cactus or succulent potting mix
- Add extra perlite or coarse sand (30-40%) to regular potting soil
- Feed with a diluted balanced liquid fertilizer (10-10-10) once a month during the growing season (October to March)
- Repot every 2-3 years in spring into a slightly larger pot
- Use terracotta or clay pots as they allow soil to dry faster
- The plant can be easily propagated from stem cuttings or leaf rosettes
- Let cuttings dry for 2-3 days before planting
## Common Problems
- **Leaf drop and soft mushy stems:** Caused by overwatering or poor drainage
- **Leggy growth with gaps between leaves:** Not enough sunlight, the plant is stretching to find light
- **Brown or black spots on leaves:** Fungal infection due to excess moisture or poor air circulation
- **Shriveled leaves:** Underwatering (though rare) or extreme heat stress
- **Mealybugs (white cottony spots):** Common pest, remove with cotton swabs dipped in rubbing alcohol
- **Root rot:** Caused by waterlogged soil, always ensure proper drainage
- **Pale or yellowish leaves:** Too much direct harsh sunlight causing sunburn
- **Plant going dormant in summer:** Natural behavior, reduce water and wait for cooler months</t>
        </is>
      </c>
      <c r="V100" s="98">
        <f>HYPERLINK("https://rosaryplanthouse.com/plant/"&amp;A100&amp;"-"&amp;SUBSTITUTE(LOWER(E100), " ", "-"))</f>
        <v/>
      </c>
      <c r="W100" t="inlineStr">
        <is>
          <t>🟢 Aeonium Green (ID: 99)  
🌟 Meet the stunning **Aeonium arboreum**, the perfect addition to your succulent collection! This charming plant brings a touch of the Canary Islands right to your home with its eye-catching bright green rosettes that resemble flowers made of fleshy leaves. 🌿✨
💚 **About Aeonium Green**  
Known for its easy care and striking appearance, this succulent grows on woody stems, forming an attractive tree-like shape as it matures. It thrives in low to moderate humidity, making it ideal for a variety of indoor environments. 
🌞 **Key Details**  
- **Watering:** Low frequency; let the soil dry completely between waterings.  
- **Sunlight:** Prefers bright indirect light to partial direct sunlight (4-6 hours a day).  
- **Temperature:** Enjoys cooler conditions (15°C - 30°C), perfect for the Indian winter months!
🌱 Ready to elevate your plant game? Discover more about Aeonium Green and how to care for it—**Link in bio**!  
#AeoniumGreen #SucculentLove #IndoorPlants #PlantParenthood #GreenThumb #HouseplantClub #PlantCare #RosaryPlantHouse #CanaryIslands #HomeDecor #PlantCollection #SucculentCare #PlantLover #EcoFriendlyHome</t>
        </is>
      </c>
    </row>
    <row r="101" ht="99.5" customHeight="1">
      <c r="A101" s="73" t="n">
        <v>100</v>
      </c>
      <c r="B101" s="74" t="inlineStr">
        <is>
          <t>Aeonium Purple</t>
        </is>
      </c>
      <c r="C101" s="74">
        <f>IF(Local!H101,"1","0")</f>
        <v/>
      </c>
      <c r="D101" s="75" t="n">
        <v>69</v>
      </c>
      <c r="E101" s="66" t="inlineStr">
        <is>
          <t>Aeonium arboreum</t>
        </is>
      </c>
      <c r="F101" s="76">
        <f>"public/sale_plants/"&amp;A101&amp;".jpg"</f>
        <v/>
      </c>
      <c r="G101" s="77" t="inlineStr">
        <is>
          <t>(2"-3")</t>
        </is>
      </c>
      <c r="H101" s="78" t="inlineStr">
        <is>
          <t>High</t>
        </is>
      </c>
      <c r="I101" s="66" t="inlineStr">
        <is>
          <t>Low</t>
        </is>
      </c>
      <c r="J101" s="66" t="inlineStr">
        <is>
          <t>Medium</t>
        </is>
      </c>
      <c r="K101" s="79" t="n">
        <v>79</v>
      </c>
      <c r="L101" s="80" t="inlineStr">
        <is>
          <t>Succulent</t>
        </is>
      </c>
      <c r="M101" s="80" t="n">
        <v>0</v>
      </c>
      <c r="N101" s="80" t="n">
        <v>0</v>
      </c>
      <c r="O101" s="81" t="n">
        <v>0</v>
      </c>
      <c r="P101" s="80" t="n">
        <v>0</v>
      </c>
      <c r="Q101" s="81" t="n">
        <v>1</v>
      </c>
      <c r="R101" s="81">
        <f>Local!D101</f>
        <v/>
      </c>
      <c r="S101" s="81">
        <f>Local!F101</f>
        <v/>
      </c>
      <c r="T101" s="81">
        <f>Local!G101</f>
        <v/>
      </c>
      <c r="U101" s="83" t="inlineStr">
        <is>
          <t>## About
Aeonium arboreum, commonly known as Tree Houseleek, is a beautiful succulent plant with rosettes of fleshy leaves arranged in a stunning circular pattern. This particular variety has gorgeous dark purple to almost black leaves that create a dramatic appearance. It originates from the Canary Islands and is well-loved by plant collectors for its striking look and easy care requirements.
## Origin
This succulent is native to the Canary Islands, specifically the mountainous regions where it grows naturally on rocky slopes and cliffs. It has adapted to survive in dry conditions with minimal water, making it an excellent choice for low-maintenance gardens and indoor plant collections.
## Temperature &amp; Humidity
- **Temperature Range:** 10Â°C to 35Â°C (ideal range is 18Â°C to 29Â°C)
- **Humidity:** Low to moderate humidity (30% to 50%). This plant does not need high humidity and can tolerate dry air conditions common in most Indian homes. During monsoon season, ensure good air circulation to prevent excess moisture around the plant.
## Growth
Aeonium arboreum grows as a small shrub with thick, woody stems that branch out as the plant matures. Each branch ends in a rosette of leaves that can grow 15 to 20 cm wide. The plant can reach a height of 60 to 90 cm when fully mature. Growth is moderate, with the plant being more active during cooler months (winter and early spring) and going semi-dormant during hot summer months. The stems become bare at the bottom as the plant grows taller, giving it a tree-like appearance, which is where it gets its name.
## Watering
- **Frequency:** Once every 10-14 days depending on season and weather conditions. During hot summer months, water once a week depending on other parameters. In winter or monsoon season, reduce to once every 2-3 weeks depending on other parameters.
- **Tips:** Always check if the soil is completely dry before watering. Water thoroughly until it drains out from the bottom, then allow the soil to dry completely before the next watering. Never let the plant sit in water as this can cause root rot. Reduce watering during summer dormancy and monsoon season. The leaves will wrinkle slightly when the plant needs water.
## Sunlight
- **Hours per day:** 4 to 6 hours
- **Type:** Bright indirect light with some direct morning or evening sun. Avoid harsh afternoon sun, especially during Indian summers (April-June), as it can scorch the dark leaves. In very hot climates, provide filtered light during peak afternoon hours.
## Care Tips
- Place in a location with good air circulation to prevent fungal issues during humid monsoon months
- Protect from heavy rain during monsoon as too much water can cause the plant to rot
- During peak summer (April-June), move to a shadier spot as the plant goes into dormancy
- The plant is more active and grows better during October to March in Indian climate
- Clean dust off leaves occasionally with a soft brush or cloth
- Remove any dead or dying lower leaves to keep the plant healthy
- Avoid sudden temperature changes or moving the plant frequently
## Growth Tips
- Use a well-draining cactus or succulent potting mix, or make your own by mixing regular potting soil with cocopeat and sand in equal parts
- Add perlite or small stones for extra drainage
- Repot every 2-3 years in spring, or when the plant becomes top-heavy
- Use a heavy pot to prevent the plant from tipping over as it grows taller
- Fertilize with a diluted liquid succulent fertilizer once a month during the growing season (October to March). Skip fertilizing during summer dormancy
- Propagate easily from stem cuttings - let the cut end dry for 2-3 days before planting
- The plant may produce yellow flower clusters on tall stalks in late winter or spring
## Common Problems
- **Leaf drop:** Usually caused by overwatering or poor drainage. Let soil dry out completely between waterings
- **Stretching or elongated growth:** Not enough light. Move to a brighter location
- **Brown or black spots on leaves:** Fungal infection due to excess moisture or poor air circulation during monsoon. Remove affected leaves and improve ventilation
- **Mealybugs:** Small white cottony pests that hide between leaves. Remove with cotton swab dipped in rubbing alcohol
- **Root rot:** Caused by overwatering or waterlogged soil. Reduce watering frequency and ensure good drainage
- **Pale or fading leaf color:** Too much direct harsh sunlight. Move to a location with filtered light
- **Shriveled leaves:** Underwatering. Increase watering frequency slightly</t>
        </is>
      </c>
      <c r="V101" s="98">
        <f>HYPERLINK("https://rosaryplanthouse.com/plant/"&amp;A101&amp;"-"&amp;SUBSTITUTE(LOWER(E101), " ", "-"))</f>
        <v/>
      </c>
      <c r="W101" t="inlineStr">
        <is>
          <t>🟢 Aeonium Purple (ID: 100)
🌟 **Meet the Stunning Aeonium arboreum!** 🌟 Are you ready to elevate your plant game? This beauty, also known as Tree Houseleek, boasts gorgeous dark purple leaves that are sure to catch every eye in the room! 
✨ **About:** Native to the breathtaking Canary Islands, the Aeonium Purple thrives in low-maintenance conditions, making it the perfect addition to any home or garden. Its striking rosettes and tree-like appearance will bring a touch of drama and elegance to your space.
🧠 **Key Details:**
- **Watering:** Low - Only every 10-14 days!
- **Sunlight:** Medium - Prefers bright indirect light.
- **Humidity:** Low to moderate - Tolerates dry air!
👉 Ready to add this unique succulent to your collection? **Link in bio!** 
#AeoniumPurple #SucculentLove #PlantAddict #IndoorPlants #LowMaintenance #PlantCare #SucculentGarden #HomeDecor #CanaryIslands #RosaryPlantHouse #PlantParenthood #GreenThumb #PlantLovers #Houseplants #SucculentCollection #PlantGoals</t>
        </is>
      </c>
    </row>
    <row r="102" ht="99.5" customHeight="1">
      <c r="A102" s="73" t="n">
        <v>101</v>
      </c>
      <c r="B102" s="74" t="inlineStr">
        <is>
          <t>Tiger sedum</t>
        </is>
      </c>
      <c r="C102" s="74">
        <f>IF(Local!H102,"1","0")</f>
        <v/>
      </c>
      <c r="D102" s="87" t="n">
        <v>100</v>
      </c>
      <c r="E102" s="66" t="inlineStr">
        <is>
          <t>Crassula exilis</t>
        </is>
      </c>
      <c r="F102" s="76">
        <f>"public/sale_plants/"&amp;A102&amp;".jpg"</f>
        <v/>
      </c>
      <c r="G102" s="77" t="inlineStr">
        <is>
          <t>(2"-3")</t>
        </is>
      </c>
      <c r="H102" s="78" t="inlineStr">
        <is>
          <t>High</t>
        </is>
      </c>
      <c r="I102" s="66" t="inlineStr">
        <is>
          <t>Low</t>
        </is>
      </c>
      <c r="J102" s="66" t="inlineStr">
        <is>
          <t>Medium</t>
        </is>
      </c>
      <c r="K102" s="79" t="n">
        <v>99</v>
      </c>
      <c r="L102" s="80" t="inlineStr">
        <is>
          <t>Sedum</t>
        </is>
      </c>
      <c r="M102" s="80" t="n">
        <v>0</v>
      </c>
      <c r="N102" s="80" t="n">
        <v>1</v>
      </c>
      <c r="O102" s="81" t="n">
        <v>0</v>
      </c>
      <c r="P102" s="80" t="n">
        <v>0</v>
      </c>
      <c r="Q102" s="81" t="n">
        <v>1</v>
      </c>
      <c r="R102" s="81">
        <f>Local!D102</f>
        <v/>
      </c>
      <c r="S102" s="81">
        <f>Local!F102</f>
        <v/>
      </c>
      <c r="T102" s="81">
        <f>Local!G102</f>
        <v/>
      </c>
      <c r="U102" s="83" t="inlineStr">
        <is>
          <t>## About
Crassula exilis is a beautiful miniature succulent that forms dense, cushion-like clusters of tiny leaves. This charming plant produces stunning pink to reddish flowers that appear at the tips of its branches, creating a spectacular display when in bloom. It is native to South Africa and belongs to the Crassula family.
## Origin
This plant originates from the Eastern Cape region of South Africa, where it grows naturally in rocky areas and mountainous terrain. In its native habitat, it thrives in well-draining soil and adapts well to dry conditions.
## Temperature &amp; Humidity
- **Temperature Range:** 15Â°C to 30Â°C
- **Humidity:** This plant prefers low to moderate humidity levels, typically between 30% to 50%. It is well-suited to the Indian climate but should be protected from extreme heat during peak summer months (above 40Â°C) and from frost during winter.
## Growth
Crassula exilis is a slow-growing, compact succulent that forms dense mounds or cushions. It typically grows to a height of 5-10 cm and can spread up to 15-20 cm across. The plant grows in a tight, clustering pattern with small, needle-like leaves that are green with reddish-brown tones. During the blooming season, it becomes covered with bright pink to magenta flowers, making it extremely attractive.
## Watering
- **Frequency:** Water once every two weeks depending on other parameters like season, pot size, and weather conditions. During the monsoon season, reduce watering frequency.
- **Tips:** Always allow the soil to dry out completely between waterings. Water less during winter months (once every three weeks or when soil is completely dry). Avoid getting water on the leaves and flowers. Use the "soak and dry" method - water thoroughly and let excess water drain completely. Overwatering is the most common cause of problems with this plant.
## Sunlight
- **Hours per day:** 4 to 6 hours
- **Type:** Bright indirect light or morning direct sunlight. In Indian conditions, provide morning sun and shade during harsh afternoon hours, especially in summer. Can tolerate partial shade but flowers best with adequate light.
## Care Tips
- Protect from intense afternoon sun during April to June in most parts of India
- During monsoon, keep the plant in a covered area to prevent excess moisture
- Ensure excellent air circulation around the plant to prevent fungal issues
- The plant can tolerate temperatures down to 10Â°C but should be brought indoors if frost is expected
- Reduce watering drastically during the rainy season
- Best grown in terracotta or clay pots that allow soil to breathe
- The pink flowers appear mainly in late winter to early spring
## Growth Tips
- Use a well-draining succulent or cactus potting mix (60% regular soil + 30% cocopeat + 10% perlite or sand)
- Add extra pumice or coarse sand to improve drainage
- Fertilize lightly once a month during the growing season (spring and autumn) with a diluted succulent fertilizer
- Use a fertilizer with lower nitrogen content to encourage flowering
- Repot every 2-3 years in spring, or when the plant outgrows its container
- Use shallow pots as this plant has a shallow root system
- Propagate easily from offsets or leaf cuttings during spring
## Common Problems
- **Root rot:** Caused by overwatering or poor drainage; leaves become mushy and translucent
- **Leggy growth:** Not enough sunlight; stems stretch and become weak
- **Brown, crispy leaves:** Too much direct harsh sunlight or underwatering
- **Mealybugs:** White cotton-like pests on leaves and stems; treat with neem oil or isopropyl alcohol
- **Fungal infections:** Common during monsoon due to high humidity; ensure good air circulation
- **No flowering:** Insufficient light or too much nitrogen fertilizer
- **Leaf drop:** Usually caused by sudden temperature changes or overwatering
- **Yellowing leaves:** Sign of overwatering or poor soil drainage</t>
        </is>
      </c>
      <c r="V102" s="98">
        <f>HYPERLINK("https://rosaryplanthouse.com/plant/"&amp;A102&amp;"-"&amp;SUBSTITUTE(LOWER(E102), " ", "-"))</f>
        <v/>
      </c>
      <c r="W102" t="inlineStr">
        <is>
          <t>🟢 Tiger Sedum (ID: 101)
🌿 Meet the charming Crassula exilis, also known as Tiger Sedum! This stunning miniature succulent is the perfect addition to any plant lover's collection. 
✨ With its dense, cushion-like clusters of tiny leaves and breathtaking pink to reddish flowers, this plant will steal the spotlight in your home or garden. Native to the rocky landscapes of South Africa, it thrives in well-draining soil and dry conditions, making it a resilient choice for indoor or outdoor spaces. 
🌱 **Key Details:**
- **Watering:** Low; water every two weeks, allowing the soil to dry out completely.
- **Sunlight:** Prefers 4-6 hours of bright indirect light or morning sun.
- **Humidity:** Thrives in low to moderate humidity levels (30%-50%).
👉 Ready to bring home this delightful beauty? Link in bio!
#TigerSedum #CrassulaExilis #SucculentLove #PlantParent #IndoorPlants #HomeDecor #GreenThumb #PlantGoals #SucculentCare #RosaryPlantHouse #PlantLovers #Gardening #FloweringPlants #PlantCollection #Houseplants #SucculentAddict</t>
        </is>
      </c>
    </row>
    <row r="103" ht="99.5" customHeight="1">
      <c r="A103" s="73" t="n">
        <v>102</v>
      </c>
      <c r="B103" s="74" t="inlineStr">
        <is>
          <t>Snake Long yellow border</t>
        </is>
      </c>
      <c r="C103" s="74">
        <f>IF(Local!H103,"1","0")</f>
        <v/>
      </c>
      <c r="D103" s="75" t="n">
        <v>99</v>
      </c>
      <c r="E103" s="66" t="inlineStr">
        <is>
          <t>Sansevieria zeylanica</t>
        </is>
      </c>
      <c r="F103" s="76">
        <f>"public/sale_plants/"&amp;A103&amp;".jpg"</f>
        <v/>
      </c>
      <c r="G103" s="77" t="inlineStr">
        <is>
          <t>(2"-3")</t>
        </is>
      </c>
      <c r="H103" s="78" t="inlineStr">
        <is>
          <t>Low</t>
        </is>
      </c>
      <c r="I103" s="66" t="inlineStr">
        <is>
          <t>Low</t>
        </is>
      </c>
      <c r="J103" s="66" t="inlineStr">
        <is>
          <t>Medium</t>
        </is>
      </c>
      <c r="K103" s="79" t="n">
        <v>99</v>
      </c>
      <c r="L103" s="80" t="inlineStr">
        <is>
          <t>Sansevieria</t>
        </is>
      </c>
      <c r="M103" s="80" t="n">
        <v>0</v>
      </c>
      <c r="N103" s="80" t="n">
        <v>0</v>
      </c>
      <c r="O103" s="81" t="n">
        <v>0</v>
      </c>
      <c r="P103" s="81" t="n">
        <v>1</v>
      </c>
      <c r="Q103" s="81">
        <f>IF(Local!I103=TRUE,1,0)</f>
        <v/>
      </c>
      <c r="R103" s="81">
        <f>Local!D103</f>
        <v/>
      </c>
      <c r="S103" s="81">
        <f>Local!F103</f>
        <v/>
      </c>
      <c r="T103" s="81">
        <f>Local!G103</f>
        <v/>
      </c>
      <c r="U103" s="83" t="inlineStr">
        <is>
          <t>## About
Sansevieria zeylanica, commonly known as Ceylon Bowstring Hemp, is a beautiful snake plant variety with striking dark green leaves that feature lighter green horizontal stripes and wavy patterns. This tough, air-purifying plant is perfect for beginners and busy plant owners who want a beautiful, low-maintenance addition to their home or office.
## Origin
This plant is native to Sri Lanka (formerly Ceylon) and parts of Southern India. It grows naturally in dry, rocky areas and has adapted to survive in harsh conditions with little water and varying light levels.
## Temperature &amp; Humidity
- **Temperature Range:** 15Â°C to 35Â°C (ideal range is 18Â°C to 30Â°C)
- **Humidity:** Very adaptable; thrives in low to moderate humidity levels (30% to 50%). Does not require high humidity and can handle dry indoor air very well, making it perfect for Indian homes with air conditioning.
## Growth
Sansevieria zeylanica grows upright with sword-shaped leaves that can reach 30 to 60 cm in height when mature. The plant grows slowly to moderately, sending up new leaves from the base. It spreads gradually by producing small offsets (pups) from underground rhizomes. The compact growth habit makes it ideal for tabletops, shelves, or floor planters. Mature plants can have 3 to 8 leaves per clump.
## Watering
- **Frequency:** Once every 10-14 days depending on season and weather conditions. During monsoon or winter, water once every 3 weeks depending on other parameters. In hot summer months, once a week depending on soil moisture.
- **Tips:** Always let the soil dry out completely between waterings. Water less in winter. Use the finger test - stick your finger 2 inches into the soil; if it feels dry, it's time to water. Avoid getting water on the leaves. Water at the base of the plant. Use well-draining soil and pots with drainage holes to prevent root rot.
## Sunlight
- **Hours per day:** 2 to 6 hours
- **Type:** Bright indirect light is best, but can tolerate low light conditions and even some direct morning sunlight. Avoid harsh afternoon sun which can scorch the leaves. Perfect for indoor spaces with windows facing east or north.
## Care Tips
- Very forgiving plant that tolerates neglect better than overcare
- Wipe leaves gently with a damp cloth once a month to remove dust and help the plant breathe
- Perfect for air-conditioned rooms and offices in India
- Can survive in low-light corners, making it ideal for Indian apartments
- Keep away from heavy monsoon rain if placed outdoors to avoid waterlogging
- Thrives in the hot Indian summer with minimal care
- Avoid moving the plant frequently once it settles in a spot
## Growth Tips
- **Soil:** Use a well-draining cactus or succulent mix. You can make your own by mixing regular potting soil with 40% coarse sand or perlite
- **Fertilizer:** Feed very lightly once every 2-3 months during growing season (spring and summer) with a diluted balanced liquid fertilizer (NPK 10-10-10) or organic compost tea. Avoid over-fertilizing
- **Repotting:** Repot only when the plant becomes root-bound, usually every 2-3 years. Choose a pot only slightly larger than the current one. Spring is the best time to repot
- **Propagation:** Easy to propagate through leaf cuttings or by dividing offsets (pups) from the mother plant
## Common Problems
- **Yellow or mushy leaves:** Overwatering and root rot. Let soil dry completely and reduce watering frequency
- **Brown leaf tips:** Under-watering, low humidity, or fluoride in tap water. Use filtered water if possible
- **Wrinkled or curling leaves:** Severe underwatering. Give the plant a thorough drink
- **Pale or faded leaves:** Too much direct sunlight. Move to a spot with indirect light
- **Very slow or no growth:** Normal for this plant, but could indicate lack of light or nutrients
- **Mealybugs or spider mites:** Rare but possible. Wipe leaves with neem oil solution if you spot pests
- **Falling over leaves:** Pot too small or plant needs support. Repot if root-bound</t>
        </is>
      </c>
      <c r="V103" s="98">
        <f>HYPERLINK("https://rosaryplanthouse.com/plant/"&amp;A103&amp;"-"&amp;SUBSTITUTE(LOWER(E103), " ", "-"))</f>
        <v/>
      </c>
      <c r="W103" t="inlineStr">
        <is>
          <t>🟢 Sansevieria Zeylanica (ID: 102)
🌿 Meet the stunning Snake Long Yellow Border! This beauty is not just a feast for the eyes; it’s a powerhouse of air purification! 🌱✨
With its striking dark green leaves adorned with lighter green horizontal stripes, the Sansevieria zeylanica is a perfect choice for both beginners and seasoned plant lovers. Its low-maintenance nature makes it the ideal companion for busy lifestyles and indoor spaces. 
**Key Details:**
- 🌞 Sunlight: Thrives in bright indirect light but tolerates low light conditions too!
- 💧 Watering: Just once every 10-14 days – perfect for those who forget to water!
- 🌡️ Temperature: Adapts well in a range of temperatures, making it perfect for Indian homes!
Don't miss out on adding this resilient beauty to your plant collection! 🌿💚 
👉 Link in bio for more info!
#SnakePlant #Sansevieria #IndoorPlants #PlantLovers #HomeDecor #AirPurifying #LowMaintenancePlants #PlantParent #GreenThumb #RosaryPlantHouse #Houseplants #PlantCare #CactusAndSucculents</t>
        </is>
      </c>
    </row>
    <row r="104" ht="99.5" customHeight="1">
      <c r="A104" s="73" t="n">
        <v>103</v>
      </c>
      <c r="B104" s="74" t="inlineStr">
        <is>
          <t>Blue stick</t>
        </is>
      </c>
      <c r="C104" s="74">
        <f>IF(Local!H104,"1","0")</f>
        <v/>
      </c>
      <c r="D104" s="75" t="n">
        <v>69</v>
      </c>
      <c r="E104" s="66" t="inlineStr">
        <is>
          <t>Senecio serpens</t>
        </is>
      </c>
      <c r="F104" s="76">
        <f>"public/sale_plants/"&amp;A104&amp;".jpg"</f>
        <v/>
      </c>
      <c r="G104" s="77" t="inlineStr">
        <is>
          <t>(2"-3")</t>
        </is>
      </c>
      <c r="H104" s="78" t="inlineStr">
        <is>
          <t>Moderate</t>
        </is>
      </c>
      <c r="I104" s="66" t="inlineStr">
        <is>
          <t>Low</t>
        </is>
      </c>
      <c r="J104" s="66" t="inlineStr">
        <is>
          <t>High</t>
        </is>
      </c>
      <c r="K104" s="79" t="n">
        <v>59</v>
      </c>
      <c r="L104" s="80" t="inlineStr">
        <is>
          <t>Succulent</t>
        </is>
      </c>
      <c r="M104" s="80" t="n">
        <v>0</v>
      </c>
      <c r="N104" s="80" t="n">
        <v>0</v>
      </c>
      <c r="O104" s="81" t="n">
        <v>0</v>
      </c>
      <c r="P104" s="80" t="n">
        <v>0</v>
      </c>
      <c r="Q104" s="81">
        <f>IF(Local!I104=TRUE,1,0)</f>
        <v/>
      </c>
      <c r="R104" s="81">
        <f>Local!D104</f>
        <v/>
      </c>
      <c r="S104" s="81">
        <f>Local!F104</f>
        <v/>
      </c>
      <c r="T104" s="81">
        <f>Local!G104</f>
        <v/>
      </c>
      <c r="U104" s="83" t="inlineStr">
        <is>
          <t>## About
Blue Chalksticks is a stunning succulent known for its unique blue-grey finger-like leaves that grow upright in a rosette pattern. This beautiful plant is popular among succulent lovers for its striking color and easy-going nature, making it perfect for beginners and experienced gardeners alike.
## Origin
Blue Chalksticks is native to South Africa, where it grows naturally in rocky, dry areas. It belongs to the Senecio family and thrives in arid conditions with plenty of sunshine. The plant has adapted well to various climates around the world, including Indian weather conditions.
## Temperature &amp; Humidity
- **Temperature Range:** 15Â°C to 35Â°C (can tolerate up to 40Â°C in Indian summers)
- **Humidity:** Low to moderate humidity (30% to 50%). This plant does well in dry conditions and doesn't need high humidity. It adapts well to both the dry summers and moderate monsoon humidity of India.
## Growth
Blue Chalksticks is a compact succulent that grows 15 to 25 cm tall and can spread up to 30 cm wide. The plant grows at a moderate pace and forms beautiful rosettes with cylindrical, chalky blue leaves. Each leaf is thick and fleshy, pointing upward like fingers. The plant may produce small white flowers during the growing season. It can be grown as a single plant or in clusters for a more dramatic effect.
## Watering
- **Frequency:** Once every 10-14 days depending on weather conditions. During hot Indian summers, you may need to water once a week. In monsoon season, reduce watering significantly or stop completely if there's good rainfall. In winter, water once every 2-3 weeks.
- **Tips:** Always check if the soil is completely dry before watering. Water thoroughly until water drains from the bottom, then let the soil dry completely. Avoid getting water on the leaves as this can wash away the beautiful powdery coating. Never let the plant sit in waterlogged soil. During monsoon, keep the plant under a shed or covered area to prevent overwatering from rain.
## Sunlight
- **Hours per day:** 4 to 6 hours of bright sunlight
- **Type:** Direct morning sunlight is best. In Indian climate, give it direct sunlight during early morning (6 AM to 10 AM) and bright indirect light for the rest of the day. Protect from harsh afternoon sun during peak summer (12 PM to 3 PM) as it can scorch the leaves, especially in North and Central India.
## Care Tips
- Keep the plant in a well-ventilated area to prevent fungal problems during humid monsoon months
- Handle carefully as the leaves can break easily and the blue coating can rub off
- Move the plant to a covered area during heavy monsoon rains to avoid overwatering
- In summer, if temperatures go above 40Â°C, provide some afternoon shade
- Clean dust gently with a soft brush rather than wiping, to preserve the chalky blue coating
- The plant is drought-tolerant, making it perfect for busy plant parents
- During winter in North India, protect from frost if temperatures drop below 10Â°C
## Growth Tips
- **Soil:** Use well-draining cactus or succulent mix. Add 40% cocopeat, 30% garden soil, and 30% perlite or sand for best results
- **Fertilizer:** Feed with diluted liquid succulent fertilizer once every 2-3 months during the growing season (spring and autumn). Avoid fertilizing during monsoon and winter
- **Repotting:** Repot once every 2 years in spring. Choose a pot only slightly larger than the current one
- **Propagation:** Very easy to propagate from leaf or stem cuttings. Let cuttings dry for 2-3 days before planting
- Add a layer of small pebbles or gravel on top of the soil for better drainage and aesthetic appeal
## Common Problems
- **Yellowing or mushy leaves:** This is a sign of overwatering. Reduce watering frequency immediately and check for root rot
- **Brown or scorched leaf tips:** Too much direct harsh sunlight, especially afternoon sun. Move to a location with filtered light during peak hours
- **Leggy growth with loss of blue color:** Not enough sunlight. Move the plant to a brighter location
- **Mealybugs (white cotton-like spots):** Common pest in Indian climate. Remove with cotton swabs dipped in rubbing alcohol or neem oil solution
- **Leaf drop:** Natural shedding of lower leaves as the plant grows, but excessive leaf drop can indicate stress from temperature extremes or watering issues
- **Fungal infections during monsoon:** Keep the plant in a well-ventilated, covered area and avoid overhead watering</t>
        </is>
      </c>
      <c r="V104" s="98">
        <f>HYPERLINK("https://rosaryplanthouse.com/plant/"&amp;A104&amp;"-"&amp;SUBSTITUTE(LOWER(E104), " ", "-"))</f>
        <v/>
      </c>
      <c r="W104" t="inlineStr">
        <is>
          <t>🟢 Senecio Serpens (ID: 103)  
🌿 Meet the stunning Blue Stick, your new succulent obsession! 🌿  
This exquisite plant features unique blue-grey finger-like leaves, growing upright in a charming rosette pattern. Perfect for both novice and seasoned plant parents, the Blue Stick thrives in bright sunlight and low watering conditions, making it a fantastic addition to any home or garden!  
✨ **Key Details:**  
- **Watering:** Low, every 10-14 days 🌧️  
- **Sunlight:** 4-6 hours of bright, direct morning light ☀️  
- **Temperature:** Thrives in 15°C to 35°C, can tolerate up to 40°C 🌡️  
- **Humidity:** Low to moderate, adaptable to dry conditions 🌬️  
Ready to bring home your very own Blue Stick? 🌱 Click the 'Link in bio' to shop now!  
#RosaryPlantHouse #SucculentLove #BlueStick #SenecioSerpens #IndoorPlants #PlantParenthood #PlantCare #SucculentCare #GreenThumb #Houseplants #GardeningJoy #PlantOfTheDay #SucculentCollection #PlantAddict 🌿✨</t>
        </is>
      </c>
    </row>
    <row r="105" ht="99.5" customHeight="1">
      <c r="A105" s="73" t="n">
        <v>104</v>
      </c>
      <c r="B105" s="74" t="inlineStr">
        <is>
          <t>Christmas cactus</t>
        </is>
      </c>
      <c r="C105" s="74">
        <f>IF(Local!H105,"1","0")</f>
        <v/>
      </c>
      <c r="D105" s="75" t="n">
        <v>69</v>
      </c>
      <c r="E105" s="66" t="inlineStr">
        <is>
          <t>Cylindropuntia leptocaulis</t>
        </is>
      </c>
      <c r="F105" s="76">
        <f>"public/sale_plants/"&amp;A105&amp;".jpg"</f>
        <v/>
      </c>
      <c r="G105" s="77" t="inlineStr">
        <is>
          <t>(2"-3")</t>
        </is>
      </c>
      <c r="H105" s="78" t="inlineStr">
        <is>
          <t>Low</t>
        </is>
      </c>
      <c r="I105" s="66" t="inlineStr">
        <is>
          <t>Low</t>
        </is>
      </c>
      <c r="J105" s="66" t="inlineStr">
        <is>
          <t>High</t>
        </is>
      </c>
      <c r="K105" s="79" t="n">
        <v>69</v>
      </c>
      <c r="L105" s="80" t="inlineStr">
        <is>
          <t>Cactus</t>
        </is>
      </c>
      <c r="M105" s="80" t="n">
        <v>0</v>
      </c>
      <c r="N105" s="80" t="n">
        <v>0</v>
      </c>
      <c r="O105" s="81" t="n">
        <v>0</v>
      </c>
      <c r="P105" s="80" t="n">
        <v>0</v>
      </c>
      <c r="Q105" s="81">
        <f>IF(Local!I105=TRUE,1,0)</f>
        <v/>
      </c>
      <c r="R105" s="81">
        <f>Local!D105</f>
        <v/>
      </c>
      <c r="S105" s="81">
        <f>Local!F105</f>
        <v/>
      </c>
      <c r="T105" s="81">
        <f>Local!G105</f>
        <v/>
      </c>
      <c r="U105" s="83" t="inlineStr">
        <is>
          <t>## About
The Christmas Cactus shown here is a unique and interesting cactus variety with finger-like, cylindrical green stems that grow upright. This plant is called Christmas Cactus because it often produces bright flowers during the winter holiday season, making it a festive addition to any plant collection.
## Origin
This type of cactus originates from the arid and semi-arid regions of the Americas, particularly Mexico and parts of the southwestern United States. It naturally grows in desert landscapes where it has adapted to survive in harsh, dry conditions with minimal water and high temperatures.
## Temperature &amp; Humidity
- **Temperature Range:** 15Â°C to 35Â°C
- **Humidity:** Low to moderate humidity (30% to 50%). This plant is well-adapted to dry conditions and does not require high humidity. It thrives in the typical Indian climate, especially in drier regions.
## Growth
This cactus grows slowly and develops multiple cylindrical stems that branch out from the base. It can reach a height of 30 to 60 centimeters when mature. The stems are green and may have small bumps or areoles along their length. Growth is compact and upright, making it suitable for small pots and tabletop displays. It rarely spreads wide and maintains a neat, clustered appearance.
## Watering
- **Frequency:** Once every two to three weeks depending on season and weather conditions. Water less frequently during monsoon and winter months.
- **Tips:** Allow the soil to dry out completely between waterings. Overwatering is the most common mistake with cacti. Water deeply but infrequently. In summer, you may water once every 10 to 14 days. In winter, reduce watering to once a month or even less. Always ensure the pot has drainage holes to prevent root rot.
## Sunlight
- **Hours per day:** 4 to 6 hours
- **Type:** Direct sunlight is ideal. This cactus loves bright, direct light and will thrive when placed in a sunny spot. It can tolerate some indirect light but grows best with good sun exposure.
## Care Tips
- Place the plant in a bright location where it receives direct morning or afternoon sunlight
- Protect from heavy monsoon rains as excessive moisture can cause rot
- During extremely hot Indian summers (above 40Â°C), provide some afternoon shade to prevent sunburn
- Use a well-draining cactus or succulent soil mix
- Keep the plant in a terracotta pot for better air circulation and moisture control
- Avoid placing near air conditioner vents or in very humid bathrooms
## Growth Tips
- Use a cactus or succulent potting mix, or create your own by mixing regular soil with coarse sand and perlite in equal parts
- Feed with a diluted cactus fertilizer once during the growing season (spring and early summer)
- Repot only when the plant outgrows its container, usually every 2 to 3 years
- Use gloves when handling as some varieties may have tiny spines that can irritate skin
- Propagate by carefully cutting a stem segment and allowing it to dry for a few days before planting in dry soil
## Common Problems
- **Yellowing or soft stems:** Usually caused by overwatering or poor drainage. Reduce watering frequency and ensure pot has drainage holes
- **Shriveling stems:** Sign of underwatering. While cacti are drought-tolerant, they still need water. Increase watering slightly
- **No flowers:** Lack of sunlight or insufficient cold period. Ensure the plant gets enough light and cooler temperatures in winter to trigger blooming
- **Brown spots or patches:** Could be sunburn from sudden exposure to intense sunlight, or fungal infection from excess moisture
- **Pests:** Watch for mealybugs and scale insects. Remove with cotton swabs dipped in rubbing alcohol
- **Root rot:** Black or mushy roots indicate rot from overwatering. This is often fatal, so prevention through proper watering is key</t>
        </is>
      </c>
      <c r="V105" s="98">
        <f>HYPERLINK("https://rosaryplanthouse.com/plant/"&amp;A105&amp;"-"&amp;SUBSTITUTE(LOWER(E105), " ", "-"))</f>
        <v/>
      </c>
      <c r="W105" t="inlineStr">
        <is>
          <t>🟢 Christmas Cactus (ID: 104)
✨ Bring the holiday spirit indoors with our stunning Christmas Cactus! This unique cactus features finger-like, cylindrical green stems that thrive in bright sunlight, often rewarding you with vibrant blooms during the winter season. 🌸
🌵 **About**: Originating from the arid regions of the Americas, the Christmas Cactus is perfect for those who appreciate a low-maintenance plant that adds a festive touch to any space. 
🌞 **Key Details**:
- **Watering**: Low - Water every 2-3 weeks; allow soil to dry out completely.
- **Sunlight**: High - Prefers 4-6 hours of direct sunlight daily.
- **Care Tips**: Use well-draining cactus soil, protect from excessive moisture, and provide afternoon shade in extreme heat.
👉 Ready to add this festive beauty to your collection? **Link in bio!**
#ChristmasCactus #CactusLovers #IndoorPlants #PlantParent #PlantCare #SucculentLove #RosaryPlantHouse #GreenThumb #HomeDecor #PlantAddict #HouseplantClub 🌿✨</t>
        </is>
      </c>
    </row>
    <row r="106" ht="99.5" customHeight="1">
      <c r="A106" s="73" t="n">
        <v>105</v>
      </c>
      <c r="B106" s="74" t="inlineStr">
        <is>
          <t>Iris</t>
        </is>
      </c>
      <c r="C106" s="74">
        <f>IF(Local!H106,"1","0")</f>
        <v/>
      </c>
      <c r="D106" s="75" t="n">
        <v>39</v>
      </c>
      <c r="E106" s="66" t="inlineStr">
        <is>
          <t>Chlorophytum comosum 'Variegatum'</t>
        </is>
      </c>
      <c r="F106" s="76">
        <f>"public/sale_plants/"&amp;A106&amp;".jpg"</f>
        <v/>
      </c>
      <c r="G106" s="77" t="inlineStr">
        <is>
          <t>(2"-3")</t>
        </is>
      </c>
      <c r="H106" s="78" t="inlineStr">
        <is>
          <t>Low</t>
        </is>
      </c>
      <c r="I106" s="66" t="inlineStr">
        <is>
          <t>Medium</t>
        </is>
      </c>
      <c r="J106" s="66" t="inlineStr">
        <is>
          <t>Medium</t>
        </is>
      </c>
      <c r="K106" s="79" t="n">
        <v>49</v>
      </c>
      <c r="L106" s="80" t="inlineStr">
        <is>
          <t>Others</t>
        </is>
      </c>
      <c r="M106" s="80" t="n">
        <v>0</v>
      </c>
      <c r="N106" s="80" t="n">
        <v>0</v>
      </c>
      <c r="O106" s="81" t="n">
        <v>0</v>
      </c>
      <c r="P106" s="81" t="n">
        <v>0</v>
      </c>
      <c r="Q106" s="81">
        <f>IF(Local!I106=TRUE,1,0)</f>
        <v/>
      </c>
      <c r="R106" s="81">
        <f>Local!D106</f>
        <v/>
      </c>
      <c r="S106" s="81">
        <f>Local!F106</f>
        <v/>
      </c>
      <c r="T106" s="81">
        <f>Local!G106</f>
        <v/>
      </c>
      <c r="U106" s="83" t="inlineStr">
        <is>
          <t>## About
The Spider Plant, also called Airplane Plant or Ribbon Plant, is one of the most popular and easy-to-grow houseplants in the world. This variegated variety features beautiful green leaves with striking white or cream stripes along the edges, creating an eye-catching display that brightens any space.
## Origin
Spider Plants are native to tropical and southern Africa, particularly South Africa. They naturally grow in warm, humid environments on forest floors where they receive filtered sunlight through tree canopies. Today, they are grown worldwide as ornamental houseplants.
## Temperature &amp; Humidity
- **Temperature Range:** 18Â°C to 32Â°C
- **Humidity:** Spider Plants prefer moderate to high humidity levels (40% to 60%). They adapt well to Indian climate conditions and can tolerate varying humidity levels, though they thrive best in moderate humidity.
## Growth
Spider Plants are fast-growing and can reach a height of 30 to 45 cm with a similar spread. The long, arching leaves grow from the center in a rosette pattern. The plant produces long stems called runners or stolons that develop small plantlets (baby spider plants) at their ends, which dangle down like spiders on a web. These plantlets can be easily propagated to grow new plants.
## Watering
- **Frequency:** Once a week depending on season and weather conditions. During hot summer months, you may need to water twice a week depending on soil dryness.
- **Tips:** Water when the top 2-3 cm of soil feels dry to touch. Spider Plants are sensitive to fluoride and chlorine in tap water, which can cause brown leaf tips. Use filtered or rainwater if possible, or let tap water sit overnight before using. Ensure good drainage to prevent root rot. Reduce watering in winter months.
## Sunlight
- **Hours per day:** 4 to 6 hours
- **Type:** Bright indirect light or filtered light. Can tolerate some direct morning sunlight but avoid harsh afternoon sun which can scorch the leaves.
## Care Tips
- Perfect for beginners as they are very forgiving plants
- Ideal for Indian homes as they tolerate a wide range of temperatures
- Trim brown or yellow leaves regularly to maintain appearance
- Works well as an air-purifying plant, removing toxins from indoor air
- Can be grown in hanging baskets to showcase the trailing plantlets
- Adapts well to monsoon season but ensure proper drainage
- In hot Indian summers, keep away from direct afternoon sun
- Mist the leaves occasionally during dry weather to increase humidity
## Growth Tips
- Use well-draining potting mix with peat, perlite, and regular garden soil
- Feed with diluted liquid fertilizer once a month during growing season (spring and summer)
- Avoid over-fertilizing as this can cause brown leaf tips
- Repot every 1-2 years or when roots become pot-bound, preferably in spring
- Spider Plants prefer being slightly root-bound, so don't use too large a pot
- Propagate easily by planting the small plantlets that grow on runners
- Prune dead or damaged leaves at the base to encourage new growth
## Common Problems
- **Brown leaf tips:** Usually caused by fluoride in water, over-fertilizing, or low humidity
- **Yellow leaves:** Result of overwatering or poor drainage leading to root problems
- **Pale leaves:** Indicate too much direct sunlight or nutrient deficiency
- **Root rot:** Caused by overwatering or poor drainage in soil
- **Spider mites:** Small pests that create fine webs on leaves, common in dry conditions
- **Mealybugs:** White cottony pests found on leaves and stems, treat with neem oil
- **Wilting leaves:** Usually due to underwatering or extreme temperature stress
- **Slow growth:** Can indicate poor lighting, nutrient deficiency, or being too root-bound</t>
        </is>
      </c>
      <c r="V106" s="98">
        <f>HYPERLINK("https://rosaryplanthouse.com/plant/"&amp;A106&amp;"-"&amp;SUBSTITUTE(LOWER(E106), " ", "-"))</f>
        <v/>
      </c>
      <c r="W106" t="inlineStr">
        <is>
          <t>🟢 Chlorophytum comosum 'Variegatum' (ID: 105)  
🌿 Ready to elevate your indoor garden? Meet the stunning Spider Plant, a beloved choice for plant lovers everywhere! 🌱✨  
This variegated beauty showcases lush green leaves adorned with striking white and cream stripes, making it a vibrant addition to any space. Not only does it look fantastic, but it's also a breeze to care for—perfect for beginners and seasoned plant parents alike! 🌎💚  
**Key Details:**  
- 🏡 **Light Needs:** Bright indirect light, can tolerate some morning sun  
- 💧 **Watering:** Once a week, adjust based on season  
- 🌬️ **Humidity:** Prefers moderate to high humidity levels  
- 🌱 **Growth:** Fast-growing with adorable baby plantlets to propagate  
Don't miss out on adding this air-purifying gem to your collection! 🌟🌱 Check the link in bio for more details!  
#SpiderPlant #ChlorophytumComosum #IndoorPlants #Houseplants #PlantCare #HomeDecor #GreenThumb #PlantLovers #AirPurifying #Gardening #PlantGoals #PlantParent #RosaryPlantHouse</t>
        </is>
      </c>
    </row>
    <row r="107" ht="99.5" customHeight="1">
      <c r="A107" s="73" t="n">
        <v>106</v>
      </c>
      <c r="B107" s="74" t="inlineStr">
        <is>
          <t>Snake Draft Green</t>
        </is>
      </c>
      <c r="C107" s="74">
        <f>IF(Local!H107,"1","0")</f>
        <v/>
      </c>
      <c r="D107" s="75" t="n">
        <v>49</v>
      </c>
      <c r="E107" s="66" t="inlineStr">
        <is>
          <t>Sansevieria trifasciata 'Compacta'</t>
        </is>
      </c>
      <c r="F107" s="76">
        <f>"public/sale_plants/"&amp;A107&amp;".jpg"</f>
        <v/>
      </c>
      <c r="G107" s="77" t="inlineStr">
        <is>
          <t>(2"-3")</t>
        </is>
      </c>
      <c r="H107" s="78" t="inlineStr">
        <is>
          <t>Low</t>
        </is>
      </c>
      <c r="I107" s="66" t="inlineStr">
        <is>
          <t>Low</t>
        </is>
      </c>
      <c r="J107" s="66" t="inlineStr">
        <is>
          <t>Low</t>
        </is>
      </c>
      <c r="K107" s="79" t="n">
        <v>69</v>
      </c>
      <c r="L107" s="80" t="inlineStr">
        <is>
          <t>Sansevieria</t>
        </is>
      </c>
      <c r="M107" s="80" t="n">
        <v>0</v>
      </c>
      <c r="N107" s="80" t="n">
        <v>0</v>
      </c>
      <c r="O107" s="81" t="n">
        <v>0</v>
      </c>
      <c r="P107" s="80" t="n">
        <v>1</v>
      </c>
      <c r="Q107" s="81">
        <f>IF(Local!I107=TRUE,1,0)</f>
        <v/>
      </c>
      <c r="R107" s="81">
        <f>Local!D107</f>
        <v/>
      </c>
      <c r="S107" s="81">
        <f>Local!F107</f>
        <v/>
      </c>
      <c r="T107" s="81">
        <f>Local!G107</f>
        <v/>
      </c>
      <c r="U107" s="83" t="inlineStr">
        <is>
          <t>## About
The Dwarf Snake Plant, also known as Sansevieria Compacta, is a compact variety of the popular Snake Plant. This beautiful indoor plant features thick, sword-shaped leaves arranged in a tight rosette pattern with attractive horizontal banding and variegated patterns in shades of green and silver. It is one of the easiest and most forgiving houseplants, making it perfect for beginners and busy plant parents.
## Origin
This plant originates from tropical West Africa, particularly Nigeria and the Congo region. It naturally grows in dry, rocky habitats where it has adapted to survive long periods without water. The compact variety has been cultivated for indoor gardening due to its smaller size and attractive appearance.
## Temperature &amp; Humidity
- **Temperature Range:** 15Â°C to 35Â°C (ideal range 18Â°C to 30Â°C)
- **Humidity:** Low to moderate humidity (30% to 50%). This plant is highly tolerant of dry air and does well in typical Indian home conditions. It does not require any special humidity arrangements and can handle both air-conditioned rooms and naturally humid environments.
## Growth
The Dwarf Snake Plant is a slow-growing succulent that typically reaches a height of 15 to 25 cm, making it much smaller than regular snake plants. The leaves grow in a compact, spiral rosette formation from the center, creating a beautiful architectural shape. It spreads slowly by producing offsets or pups from the base. Growth is slower during winter months and picks up during the warmer seasons. This plant maintains its compact form throughout its life, making it ideal for small spaces, desks, and shelves.
## Watering
- **Frequency:** Once every two to three weeks depending on season, weather, and pot size. Water less frequently in winter and monsoon.
- **Tips:** Allow the soil to dry out completely between waterings. Check the soil by inserting your finger 2-3 cm deepâ€”water only when it feels completely dry. Overwatering is the most common mistake with this plant. During Indian summers, you may need to water once every 10-14 days. In monsoon and winter, reduce to once every 3-4 weeks. Always water at the base and avoid getting water in the center of the rosette as this can cause rot. Use pots with drainage holes.
## Sunlight
- **Hours per day:** 2 to 4 hours of indirect light, though it can survive in very low light conditions
- **Type:** Bright indirect light is ideal, but it tolerates low light very well. Avoid harsh direct afternoon sun which can scorch the leaves. Can thrive under artificial lighting, making it perfect for offices and rooms without windows.
## Care Tips
- **Perfect for Indian homes:** This plant adapts very well to Indian climate conditions, both in air-conditioned rooms and natural environments
- **Air purifying:** Known to filter indoor air and remove toxins, making it a healthy addition to your home
- **Pet caution:** Mildly toxic to pets if ingested, so keep away from curious cats and dogs
- **Dust regularly:** Wipe leaves with a damp cloth every 2-3 weeks to keep them clean and help the plant breathe
- **Minimal maintenance:** This is one of the most low-maintenance plants availableâ€”perfect if you travel frequently
- **Heat tolerant:** Handles Indian summer heat very well when kept indoors
- **No special feeding needed:** Fertilizer is optional; the plant grows well without it
## Growth Tips
- **Soil:** Use a well-draining succulent or cactus mix. You can make your own by mixing regular potting soil with 50% coarse sand or perlite
- **Fertilizer:** Feed sparinglyâ€”once every 2-3 months during the growing season (March to September) with a diluted balanced liquid fertilizer. Over-fertilizing can damage the plant
- **Repotting:** Repot only when the plant becomes root-bound, typically every 2-3 years. Choose a pot only slightly larger than the current one
- **Propagation:** Easily propagated by division when repotting. Separate the pups with roots attached and plant in separate pots
- **Pot selection:** Use terracotta or clay pots which allow better air circulation and faster soil drying
## Common Problems
- **Soft, mushy leaves:** Caused by overwatering or root rot. Reduce watering frequency immediately and check roots for rot
- **Brown leaf tips:** Usually due to tap water containing fluoride or chlorine. Use filtered or stored water instead
- **Yellowing leaves:** Sign of overwatering or poor drainage. Let soil dry completely and improve drainage
- **Wrinkled leaves:** Indication of underwatering. While drought-tolerant, the plant still needs water occasionally
- **Slow or no growth:** Normal behavior as this is a slow-growing plant. Also common during cooler months
- **Pests:** Generally pest-resistant, but occasionally affected by mealybugs or spider mites. Wipe with neem oil solution if spotted
- **Leaf falling over:** Can happen if planted in too large a pot or if soil stays wet too long. Ensure proper pot size and drainage</t>
        </is>
      </c>
      <c r="V107" s="98">
        <f>HYPERLINK("https://rosaryplanthouse.com/plant/"&amp;A107&amp;"-"&amp;SUBSTITUTE(LOWER(E107), " ", "-"))</f>
        <v/>
      </c>
      <c r="W107" t="inlineStr">
        <is>
          <t>🟢 Sansevieria trifasciata 'Compacta' (ID: 106)
🌿 Meet the Dwarf Snake Plant, your new indoor companion! This stunning plant features thick, sword-shaped leaves in a beautiful rosette pattern, perfect for adding a touch of greenery to any space. 
✨ The Sansevieria Compacta is not only visually appealing but also one of the easiest houseplants to care for—ideal for both beginners and busy plant parents. With its low maintenance needs, it thrives in various indoor conditions, making it a must-have for every home! 
🌱 **Key Details:**  
- **Watering:** Low frequency; allow soil to dry out completely between waterings.  
- **Sunlight:** Thrives in low to indirect light—perfect for those cozy corners!  
- **Air Purifying:** Helps filter indoor air and remove toxins.  
- **Pet Caution:** Mildly toxic to pets; keep away from curious paws.  
- **Heat Tolerant:** Adapts well to warm Indian summers.  
📲 Ready to bring this beauty home? Check the 'Link in bio' for more info! 
#DwarfSnakePlant #Sansevieria #IndoorPlants #PlantParent #Houseplants #LowMaintenance #AirPurifyingPlants #PlantLovers #GreenHome #RosaryPlantHouse</t>
        </is>
      </c>
    </row>
    <row r="108" ht="99.5" customHeight="1">
      <c r="A108" s="73" t="n">
        <v>107</v>
      </c>
      <c r="B108" s="74" t="inlineStr">
        <is>
          <t>Rough Sedum</t>
        </is>
      </c>
      <c r="C108" s="74">
        <f>IF(Local!H108,"1","0")</f>
        <v/>
      </c>
      <c r="D108" s="75" t="n">
        <v>69</v>
      </c>
      <c r="E108" s="66" t="inlineStr">
        <is>
          <t>Delosperma echinatum</t>
        </is>
      </c>
      <c r="F108" s="76">
        <f>"public/sale_plants/"&amp;A108&amp;".jpg"</f>
        <v/>
      </c>
      <c r="G108" s="77" t="inlineStr">
        <is>
          <t>(2"-3")</t>
        </is>
      </c>
      <c r="H108" s="78" t="inlineStr">
        <is>
          <t>Moderate</t>
        </is>
      </c>
      <c r="I108" s="66" t="inlineStr">
        <is>
          <t>Low</t>
        </is>
      </c>
      <c r="J108" s="66" t="inlineStr">
        <is>
          <t>High</t>
        </is>
      </c>
      <c r="K108" s="79" t="n">
        <v>69</v>
      </c>
      <c r="L108" s="80" t="inlineStr">
        <is>
          <t>Succulent</t>
        </is>
      </c>
      <c r="M108" s="80" t="n">
        <v>0</v>
      </c>
      <c r="N108" s="80" t="n">
        <v>1</v>
      </c>
      <c r="O108" s="81" t="n">
        <v>0</v>
      </c>
      <c r="P108" s="80" t="n">
        <v>0</v>
      </c>
      <c r="Q108" s="81">
        <f>IF(Local!I108=TRUE,1,0)</f>
        <v/>
      </c>
      <c r="R108" s="81">
        <f>Local!D108</f>
        <v/>
      </c>
      <c r="S108" s="81">
        <f>Local!F108</f>
        <v/>
      </c>
      <c r="T108" s="81">
        <f>Local!G108</f>
        <v/>
      </c>
      <c r="U108" s="83" t="inlineStr">
        <is>
          <t>## About
The Pickle Plant is a small, unique succulent with thick, bumpy leaves covered in tiny white hairs that give it a fuzzy appearance. It produces cheerful bright yellow daisy-like flowers that bloom during warmer months, making it a delightful addition to any succulent collection.
## Origin
This plant is native to South Africa, particularly growing in rocky areas and dry regions. It belongs to the Aizoaceae family, which includes many popular ice plants and living stones. In its natural habitat, it grows in well-drained sandy or rocky soil with minimal rainfall.
## Temperature &amp; Humidity
- **Temperature Range:** 15Â°C to 35Â°C
- **Humidity:** Low to moderate humidity (30% to 50%). This plant is drought-tolerant and prefers dry conditions. It can handle the hot, dry summers common in many parts of India but should be protected from extreme cold below 10Â°C.
## Growth
The Pickle Plant grows in a compact, clumping manner and typically reaches about 10-15 cm in height and can spread to about 30 cm wide. It grows at a moderate pace during the growing season (spring and summer). The plant produces small cylindrical leaves that are covered with fine white bristles, giving them a fuzzy, pickle-like appearance. It tends to branch out from the base, creating a dense mat over time.
## Watering
- **Frequency:** Once every two weeks depending on season and weather conditions. During monsoon or winter, reduce watering to once every three to four weeks.
- **Tips:** Always allow the soil to dry out completely between waterings. Water thoroughly but ensure excess water drains out completely. Avoid getting water on the leaves as the fuzzy coating can trap moisture and lead to rot. During winter dormancy, water even less frequently. Overwatering is the most common cause of problems with this plant.
## Sunlight
- **Hours per day:** 4 to 6 hours
- **Type:** Direct sunlight is best. The plant needs bright, direct light to maintain compact growth and produce flowers. In extremely hot Indian summers (above 40Â°C), provide some afternoon shade to prevent leaf burn. Morning sun is ideal.
## Care Tips
- Place in the sunniest spot available, such as a south-facing windowsill or outdoor location
- Use a well-draining cactus or succulent soil mix to prevent water retention
- Ensure pots have drainage holes to avoid waterlogging
- During Indian monsoon season, move the plant to a covered area or reduce watering significantly
- Protect from frost during winter in northern regions
- Remove spent flowers to encourage more blooms
- The plant can tolerate the heat of Indian summers well but watch for sunburn in extreme conditions
## Growth Tips
- Use a commercial cactus/succulent mix or create your own with regular potting soil, coarse sand, and perlite in equal parts
- Feed with a diluted succulent fertilizer once a month during the growing season (March to September)
- Repot every 2-3 years in spring when the plant becomes root-bound or outgrows its container
- Propagate easily from stem cuttings â€“ allow cuttings to dry for 2-3 days before planting
- Add a layer of small pebbles or gravel on top of the soil for better drainage and aesthetic appeal
## Common Problems
- **Yellow, mushy leaves:** Sign of overwatering or poor drainage. Reduce watering frequency and check soil drainage
- **Stretched, leggy growth:** Not enough sunlight. Move to a brighter location with more direct sun
- **No flowers:** Insufficient light or over-fertilizing with nitrogen. Ensure adequate sunlight and use low-nitrogen fertilizer
- **Mealybugs:** White cottony pests that hide between leaves. Remove with rubbing alcohol on a cotton swab
- **Root rot:** Caused by excessive watering or poor drainage. May require repotting in fresh, dry soil
- **Shriveled leaves:** Natural in extreme heat or under-watering. This is usually not a problem unless severe
- **Leaf drop:** Can occur due to sudden temperature changes or overwatering</t>
        </is>
      </c>
      <c r="V108" s="98">
        <f>HYPERLINK("https://rosaryplanthouse.com/plant/"&amp;A108&amp;"-"&amp;SUBSTITUTE(LOWER(E108), " ", "-"))</f>
        <v/>
      </c>
      <c r="W108" t="inlineStr">
        <is>
          <t>🟢 Delosperma echinatum (ID: 107)
🌱 Meet the Rough Sedum, your new favorite succulent! This charming plant, also known as the Pickle Plant, will add a delightful touch to your collection with its unique fuzzy leaves and cheerful yellow blooms. 
✨ **About:** Originating from the rocky landscapes of South Africa, this drought-tolerant beauty thrives in bright, direct sunlight and minimal watering. Its compact growth and stunning appearance make it a must-have for succulent enthusiasts!
🔑 **Key Details:**
- **Watering:** Low (once every two weeks)
- **Sunlight:** High (4-6 hours of direct light)
- **Care Tips:** Perfect for sunny spots; use well-draining soil.
👉 Ready to bring home this unique succulent? Check it out! Link in bio.
#SucculentLove #RoughSedum #PicklePlant #PlantParent #IndoorGardening #PlantCollection #SucculentCare #HousePlants #GreenThumbs #RosaryPlantHouse #PlantAddict #GardenGoals #SouthAfricanPlants</t>
        </is>
      </c>
    </row>
    <row r="109" ht="99.5" customHeight="1">
      <c r="A109" s="73" t="n">
        <v>108</v>
      </c>
      <c r="B109" s="74" t="inlineStr">
        <is>
          <t>Jade Verigated</t>
        </is>
      </c>
      <c r="C109" s="74">
        <f>IF(Local!H109,"1","0")</f>
        <v/>
      </c>
      <c r="D109" s="75" t="n">
        <v>49</v>
      </c>
      <c r="E109" s="66" t="inlineStr">
        <is>
          <t>Crassula ovata 'Variegata'</t>
        </is>
      </c>
      <c r="F109" s="76">
        <f>"public/sale_plants/"&amp;A109&amp;".jpg"</f>
        <v/>
      </c>
      <c r="G109" s="77" t="inlineStr">
        <is>
          <t>(2"-3")</t>
        </is>
      </c>
      <c r="H109" s="78" t="inlineStr">
        <is>
          <t>Low</t>
        </is>
      </c>
      <c r="I109" s="66" t="inlineStr">
        <is>
          <t>Low</t>
        </is>
      </c>
      <c r="J109" s="66" t="inlineStr">
        <is>
          <t>Medium</t>
        </is>
      </c>
      <c r="K109" s="79" t="n">
        <v>69</v>
      </c>
      <c r="L109" s="80" t="inlineStr">
        <is>
          <t>Jade</t>
        </is>
      </c>
      <c r="M109" s="80" t="n">
        <v>0</v>
      </c>
      <c r="N109" s="80" t="n">
        <v>0</v>
      </c>
      <c r="O109" s="81" t="n">
        <v>0</v>
      </c>
      <c r="P109" s="81" t="n">
        <v>0</v>
      </c>
      <c r="Q109" s="81">
        <f>IF(Local!I109=TRUE,1,0)</f>
        <v/>
      </c>
      <c r="R109" s="81">
        <f>Local!D109</f>
        <v/>
      </c>
      <c r="S109" s="81">
        <f>Local!F109</f>
        <v/>
      </c>
      <c r="T109" s="81">
        <f>Local!G109</f>
        <v/>
      </c>
      <c r="U109" s="83" t="inlineStr">
        <is>
          <t>## About
The Variegated Jade Plant is a beautiful variety of the classic jade plant with stunning cream and green colored leaves. This succulent is popular among plant lovers for its unique color pattern and easy care requirements. It grows slowly and can be kept both indoors and outdoors in Indian homes.
## Origin
This plant is originally from South Africa and Mozambique. It grows naturally in dry, rocky areas where water is scarce. The variegated form is a cultivated variety that has been bred for its attractive leaf colors.
## Temperature &amp; Humidity
- **Temperature Range:** 15Â°C to 35Â°C
- **Humidity:** This plant prefers low to moderate humidity levels, typically between 30% to 50%. It can tolerate the dry conditions common in many Indian homes and does not need extra humidity.
## Growth
The Variegated Jade Plant is a slow-growing succulent that can eventually reach 30 to 60 cm in height when grown in a pot. It has a compact, bushy growth habit with thick, fleshy stems that become woody as the plant matures. The leaves are round or oval-shaped with beautiful cream, yellow, and green variegation. Some leaves may have pink or red edges, especially when exposed to bright light. The plant can spread about 20 to 40 cm wide.
## Watering
- **Frequency:** Once every two weeks depending on season and weather conditions. In summer, it may need watering slightly more often, while in winter, reduce watering to once every three weeks.
- **Tips:** Always let the soil dry out completely between waterings. Water thoroughly until water drains from the bottom, then empty the saucer. Overwatering is the most common cause of problems with jade plants. The leaves will start to shrivel slightly when the plant needs water. Reduce watering during monsoon season and winter months.
## Sunlight
- **Hours per day:** 4 to 6 hours
- **Type:** Bright indirect light is best, with 2-3 hours of gentle direct morning or evening sunlight. Avoid harsh afternoon sun which can burn the variegated leaves. The plant can tolerate some shade but the colors will be more vibrant with adequate light.
## Care Tips
- Place in a bright spot near an east or west-facing window for best color development
- Protect from intense afternoon sun during Indian summers (April to June)
- During monsoon season, reduce watering significantly and ensure good air circulation
- Wipe dust off leaves occasionally with a soft, damp cloth
- Rotate the pot every few weeks for even growth
- Avoid sudden temperature changes or cold drafts
- This plant is pet-toxic, so keep away from cats and dogs
## Growth Tips
- Use a well-draining succulent or cactus potting mix, or make your own by mixing regular soil with cocopeat and perlite or sand in equal parts
- Add fertilizer only during the growing season (spring and early autumn). Use a balanced liquid fertilizer diluted to half strength once every 4-6 weeks
- Repot every 2-3 years or when the plant becomes root-bound. Choose a pot only slightly larger than the current one
- Use terracotta or clay pots which allow the soil to dry faster
- Ensure the pot has drainage holes to prevent water logging
- Prune leggy growth to maintain a compact shape
## Common Problems
- **Leaf drop:** Usually caused by overwatering, underwatering, or sudden temperature changes
- **Soft, mushy stems:** Sign of root rot from overwatering. Reduce watering immediately
- **Yellowing leaves:** Often due to overwatering or poor drainage
- **Brown spots on leaves:** Can be caused by sunburn from too much direct harsh sunlight
- **Slow or no growth:** May need more light or nutrients during growing season
- **Mealybugs:** Small white cotton-like pests that appear on leaves and stems. Remove with rubbing alcohol on a cotton swab
- **Loss of variegation:** Insufficient light can cause leaves to turn completely green. Move to a brighter location
- **Shriveled leaves:** Sign the plant needs water. Water thoroughly</t>
        </is>
      </c>
      <c r="V109" s="98">
        <f>HYPERLINK("https://rosaryplanthouse.com/plant/"&amp;A109&amp;"-"&amp;SUBSTITUTE(LOWER(E109), " ", "-"))</f>
        <v/>
      </c>
      <c r="W109" t="inlineStr">
        <is>
          <t>🟢 Crassula ovata 'Variegata' (ID: 108)
🌿 Meet the stunning Variegated Jade Plant! This eye-catching succulent brings a unique twist to the classic jade with its beautiful cream and green leaves. Perfect for both indoor and outdoor settings, it's a must-have for plant lovers looking to add a splash of color to their collection!
✨ **About the Plant:** Originating from the dry, rocky landscapes of South Africa and Mozambique, this slow-growing beauty thrives in low to moderate humidity and is incredibly easy to care for. With its compact, bushy growth and vibrant variegated leaves, it's sure to brighten up any space!
🔑 **Key Details:**
- **Watering:** Low, only every 2-3 weeks
- **Sunlight:** Prefers bright, indirect light for vibrant colors
- **Care Tips:** Rotate regularly and keep away from pets
👉 Ready to welcome this gorgeous plant into your home? **Link in bio!**
#JadePlant #VariegatedJade #SucculentLove #IndoorPlants #PlantAddict #PlantParent #GreenThumb #HomeDecor #RosaryPlantHouse #PlantOfTheDay #SucculentCare #Houseplants #PlantLovers #PlantGoals 🌱</t>
        </is>
      </c>
    </row>
    <row r="110" ht="99.5" customHeight="1">
      <c r="A110" s="73" t="n">
        <v>109</v>
      </c>
      <c r="B110" s="74" t="inlineStr">
        <is>
          <t>Donkey Tail</t>
        </is>
      </c>
      <c r="C110" s="74">
        <f>IF(Local!H110,"1","0")</f>
        <v/>
      </c>
      <c r="D110" s="75" t="n">
        <v>69</v>
      </c>
      <c r="E110" s="66" t="inlineStr">
        <is>
          <t>Sedum morganianum</t>
        </is>
      </c>
      <c r="F110" s="76">
        <f>"public/sale_plants/"&amp;A110&amp;".jpg"</f>
        <v/>
      </c>
      <c r="G110" s="77" t="inlineStr">
        <is>
          <t>(2"-3")</t>
        </is>
      </c>
      <c r="H110" s="78" t="inlineStr">
        <is>
          <t>Moderate</t>
        </is>
      </c>
      <c r="I110" s="66" t="inlineStr">
        <is>
          <t>Low</t>
        </is>
      </c>
      <c r="J110" s="66" t="inlineStr">
        <is>
          <t>Medium</t>
        </is>
      </c>
      <c r="K110" s="79" t="n">
        <v>69</v>
      </c>
      <c r="L110" s="80" t="inlineStr">
        <is>
          <t>Succulent</t>
        </is>
      </c>
      <c r="M110" s="80" t="n">
        <v>0</v>
      </c>
      <c r="N110" s="80" t="n">
        <v>1</v>
      </c>
      <c r="O110" s="81" t="n">
        <v>0</v>
      </c>
      <c r="P110" s="80" t="n">
        <v>0</v>
      </c>
      <c r="Q110" s="81" t="n">
        <v>1</v>
      </c>
      <c r="R110" s="81">
        <f>Local!D110</f>
        <v/>
      </c>
      <c r="S110" s="81">
        <f>Local!F110</f>
        <v/>
      </c>
      <c r="T110" s="81">
        <f>Local!G110</f>
        <v/>
      </c>
      <c r="U110" s="83" t="inlineStr">
        <is>
          <t>## About
Donkey Tail, also known as Burro's Tail, is a beautiful trailing succulent with thick, fleshy leaves that overlap like beads on a string. This charming plant originates from Mexico and Honduras and is loved for its cascading stems that can grow quite long, making it perfect for hanging baskets.
## Origin
Native to southern Mexico and Honduras, Sedum morganianum grows naturally on rocky cliffs and steep slopes. In its natural habitat, it enjoys warm temperatures and well-draining conditions with occasional rainfall.
## Temperature &amp; Humidity
- **Temperature Range:** 18Â°C to 30Â°C (can tolerate up to 35Â°C in Indian summers)
- **Humidity:** Low to moderate humidity (30% to 50%). This succulent is quite tolerant of dry air, making it suitable for most Indian homes. It can handle the dry seasons well but should be protected from excessive monsoon moisture.
## Growth
Donkey Tail grows slowly and its trailing stems can reach lengths of 60 cm to 120 cm over several years. The plant grows in a cascading manner with thick, plump, blue-green leaves densely packed along the stems. Each leaf is tear-drop shaped and covered with a powdery coating. The stems are quite fragile, and leaves can fall off easily if handled roughly, so place it where it won't be disturbed often.
## Watering
- **Frequency:** Once every 10-14 days depending on season and weather conditions. During hot Indian summers (April-June), you may need to water once a week, while in winter and monsoon, reduce to once every 2-3 weeks.
- **Tips:** Always water thoroughly until water drains from the bottom, then let the soil dry completely before watering again. The fleshy leaves store water, so this plant is very forgiving if you forget to water. Overwatering is more dangerous than underwatering. Reduce watering significantly during monsoon season.
## Sunlight
- **Hours per day:** 4 to 6 hours
- **Type:** Bright indirect light or morning direct sunlight. In Indian conditions, morning sun (6 AM to 10 AM) is ideal. Protect from harsh afternoon sun during summer months (12 PM to 4 PM) as it can cause sunburn on the leaves. A spot near an east-facing window or a covered balcony with bright filtered light works perfectly.
## Care Tips
- Handle the plant very gently as the leaves fall off easily when touched
- Avoid placing it in high-traffic areas where people might brush against it
- Protect from heavy monsoon rains - bring indoors or under a shelter during heavy downpours
- In extremely hot Indian summers (above 40Â°C), move to a slightly shadier spot
- Keep away from air conditioner vents that blow directly on the plant
- The powdery coating on leaves is natural protection - avoid touching or washing it off
- During winter months, the plant may go dormant and need even less water
## Growth Tips
- Use well-draining cactus or succulent potting mix, or make your own by mixing regular soil with cocopeat and perlite or sand in equal parts
- Ensure the pot has drainage holes to prevent water logging
- Fertilize sparingly - use a diluted liquid succulent fertilizer once every 2-3 months during the growing season (spring and early summer)
- Repot only when necessary (every 2-3 years) as the plant prefers being slightly root-bound
- Use a hanging basket or tall pot to allow stems to trail freely
- Propagate easily from stem cuttings or fallen leaves - let them dry for 2-3 days before placing on soil
## Common Problems
- **Shriveled, wrinkled leaves:** Usually means the plant needs water, though this is rare as the plant is drought-tolerant
- **Mushy, translucent leaves:** Sign of overwatering or root rot - reduce watering immediately and check if soil is draining properly
- **Leaves falling off easily:** Can be due to overwatering, underwatering, or physical disturbance - handle with care
- **Brown or black spots:** Fungal infection from excessive moisture, especially during monsoon - improve air circulation and reduce watering
- **Pale or yellowing leaves:** Too much direct harsh sunlight - move to a spot with filtered light
- **Stretched, sparse growth:** Not enough light - move to a brighter location
- **Mealybugs:** White cottony pests that hide between leaves - remove with cotton swabs dipped in rubbing alcohol
- **Root rot:** Caused by poor drainage or overwatering - use well-draining soil and pots with holes</t>
        </is>
      </c>
      <c r="V110" s="98">
        <f>HYPERLINK("https://rosaryplanthouse.com/plant/"&amp;A110&amp;"-"&amp;SUBSTITUTE(LOWER(E110), " ", "-"))</f>
        <v/>
      </c>
      <c r="W110" t="inlineStr">
        <is>
          <t>🟢 Sedum Morganianum (ID: 109)
🌿 Meet the enchanting Donkey Tail! This stunning trailing succulent is a true showstopper, perfect for adding a touch of greenery to your space. 
✨ With its thick, fleshy leaves that cascade gracefully down, the Donkey Tail is not just a plant; it's a statement piece! Originating from the sun-soaked cliffs of Mexico and Honduras, it thrives in bright indirect light and is a breeze to care for. 
🌱 **Key Details:**
- **Watering:** Low maintenance; water every 10-14 days.
- **Sunlight:** Prefers 4-6 hours of bright indirect light.
- **Growth:** Slow-growing with a beautiful cascading effect.
🌼 Ready to bring home this lovely succulent? 🌍 Check the link in bio! 
#DonkeyTail #SedumMorganianum #SucculentLove #HangingPlants #IndoorGardening #PlantParent #GreenThumb #HomeDecor #PlantLovers #RosaryPlantHouse #SucculentCare #NatureLovers #PlantAddict #HouseplantClub #PlantGoals</t>
        </is>
      </c>
    </row>
    <row r="111" ht="99.5" customHeight="1">
      <c r="A111" s="73" t="n">
        <v>110</v>
      </c>
      <c r="B111" s="74" t="inlineStr">
        <is>
          <t>Super Donkey Tail</t>
        </is>
      </c>
      <c r="C111" s="74">
        <f>IF(Local!H111,"1","0")</f>
        <v/>
      </c>
      <c r="D111" s="75" t="n">
        <v>69</v>
      </c>
      <c r="E111" s="66" t="inlineStr">
        <is>
          <t>Sedeveria 'Super Donkey Tail'</t>
        </is>
      </c>
      <c r="F111" s="76">
        <f>"public/sale_plants/"&amp;A111&amp;".jpg"</f>
        <v/>
      </c>
      <c r="G111" s="77" t="inlineStr">
        <is>
          <t>(2"-3")</t>
        </is>
      </c>
      <c r="H111" s="78" t="inlineStr">
        <is>
          <t>Moderate</t>
        </is>
      </c>
      <c r="I111" s="66" t="inlineStr">
        <is>
          <t>Low</t>
        </is>
      </c>
      <c r="J111" s="66" t="inlineStr">
        <is>
          <t>Medium</t>
        </is>
      </c>
      <c r="K111" s="79" t="n">
        <v>89</v>
      </c>
      <c r="L111" s="80" t="inlineStr">
        <is>
          <t>Succulent</t>
        </is>
      </c>
      <c r="M111" s="80" t="n">
        <v>0</v>
      </c>
      <c r="N111" s="80" t="n">
        <v>0</v>
      </c>
      <c r="O111" s="81" t="n">
        <v>0</v>
      </c>
      <c r="P111" s="80" t="n">
        <v>0</v>
      </c>
      <c r="Q111" s="81" t="n">
        <v>1</v>
      </c>
      <c r="R111" s="81">
        <f>Local!D111</f>
        <v/>
      </c>
      <c r="S111" s="81">
        <f>Local!F111</f>
        <v/>
      </c>
      <c r="T111" s="81">
        <f>Local!G111</f>
        <v/>
      </c>
      <c r="U111" s="83" t="inlineStr">
        <is>
          <t>## About
Super Donkey Tail is a beautiful hybrid succulent that combines the best features of Sedum and Echeveria plants. This attractive plant forms dense rosettes of plump, blue-green leaves that eventually trail downward, making it perfect for hanging baskets and elevated containers. It's a popular choice among succulent lovers in India for its easy care and stunning appearance.
## Origin
This plant is a hybrid cross between Sedum morganianum (Burro's Tail) and an Echeveria species. While the parent plants originate from Mexico and Central America, this particular hybrid has been cultivated by plant breeders. It inherits the trailing habit from Sedum and the rosette formation from Echeveria, creating a unique and attractive succulent.
## Temperature &amp; Humidity
- **Temperature Range:** 15Â°C to 35Â°C
- **Humidity:** Low to moderate humidity (30% to 50%). This plant prefers dry conditions and does not require high humidity. It adapts well to most Indian climates, though it may struggle in extremely humid monsoon conditions without proper air circulation.
## Growth
Super Donkey Tail starts as a compact rosette and gradually develops trailing stems as it matures. The plant can grow 30-45 cm in length when the stems trail down. Each stem is densely packed with thick, fleshy, cylindrical leaves that point upward and outward from the center. Growth is moderate to slow, especially in the cooler months. The blue-green color intensifies with bright light, and leaf tips may develop a pinkish blush when stressed (which is normal and attractive).
## Watering
- **Frequency:** Once every 10-14 days depending on season and weather conditions. Water less frequently during monsoon and winter, and slightly more often during hot summer months.
- **Tips:** Always allow the soil to dry completely between waterings. Water thoroughly until it drains from the bottom, then discard excess water from the saucer. During Indian summers, check soil moisture before watering. In monsoon season, reduce watering significantly. The thick leaves store water, so the plant is very drought-tolerant. Overwatering is the biggest threat to this plant.
## Sunlight
- **Hours per day:** 4 to 6 hours
- **Type:** Bright indirect light with some direct morning sunlight is ideal. In Indian conditions, give it direct morning sun (before 10 AM) and bright shade during harsh afternoon hours. Too much direct afternoon sun in peak summer can cause leaf burn, while too little light will cause the plant to lose its compact form and stretch out.
## Care Tips
- Place in a spot with good air circulation to prevent fungal issues, especially during monsoon
- Avoid getting water on the leaves as the powdery coating (farina) can be damaged and won't grow back
- Handle gently as the leaves fall off easily when touched or bumped
- Protect from heavy monsoon rains by moving under a covered area or indoors
- During Indian summers above 40Â°C, provide afternoon shade to prevent sunburn
- Keep away from cold drafts in winter, especially in North India where temperatures can drop significantly
## Growth Tips
- Use a well-draining succulent or cactus mix; you can make your own by mixing regular potting soil with cocopeat, perlite, and sand in equal parts
- Add a layer of small stones or grit on top of the soil for better drainage and aesthetics
- Fertilize once every 2-3 months during the growing season (spring and early summer) with a diluted balanced liquid fertilizer or specialized succulent fertilizer
- Repot every 2-3 years or when the plant outgrows its container; choose a pot only slightly larger than the previous one
- Use terracotta or clay pots which allow better air circulation and help soil dry faster
- Propagate easily from leaves or stem cuttings during spring or early summer
## Common Problems
- **Leaf drop:** Usually caused by overwatering, underwatering, or rough handling. The leaves are fragile and detach easily
- **Rotting stems or mushy leaves:** Sign of overwatering or poor drainage. Reduce watering immediately and check if roots are rotting
- **Stretching (etiolation):** Not getting enough light. Move to a brighter location with more indirect sunlight
- **Shriveled leaves:** Underwatering. Give the plant a thorough drink and adjust watering schedule
- **Mealybugs:** White cottony pests that hide between leaves. Remove with cotton swabs dipped in rubbing alcohol
- **Fungal spots:** Common during humid monsoon season. Improve air circulation and avoid overhead watering
- **Pale or yellowing leaves:** Could indicate too much direct harsh sunlight or nutrient deficiency</t>
        </is>
      </c>
      <c r="V111" s="98">
        <f>HYPERLINK("https://rosaryplanthouse.com/plant/"&amp;A111&amp;"-"&amp;SUBSTITUTE(LOWER(E111), " ", "-"))</f>
        <v/>
      </c>
      <c r="W111" t="inlineStr">
        <is>
          <t>🟢 Sedeveria 'Super Donkey Tail' (ID: 110)
🌿 Meet the Super Donkey Tail, your new favorite succulent! This stunning hybrid is a perfect blend of Sedum and Echeveria, showcasing plump, blue-green leaves that gracefully trail downwards. Ideal for hanging baskets, it’s a must-have for every succulent enthusiast! 
✨ **Key Details:**
- Low watering needs: Just once every 10-14 days! 💧
- Thrives in bright indirect light with a splash of morning sunshine. ☀️
- Enjoys moderate temperatures and low humidity.
Want to add this beauty to your collection? 🌱 Link in bio!
#SuperDonkeyTail #SucculentLove #PlantParenthood #IndoorPlants #PlantAddict #GreenThumb #RosaryPlantHouse #SucculentCare #HouseplantClub #PlantLovers #GardeningJoy #PlantGoals</t>
        </is>
      </c>
    </row>
    <row r="112" ht="99.5" customHeight="1">
      <c r="A112" s="73" t="n">
        <v>111</v>
      </c>
      <c r="B112" s="74" t="inlineStr">
        <is>
          <t>String of tears</t>
        </is>
      </c>
      <c r="C112" s="74">
        <f>IF(Local!H112,"1","0")</f>
        <v/>
      </c>
      <c r="D112" s="79" t="n">
        <v>79</v>
      </c>
      <c r="E112" s="66" t="inlineStr">
        <is>
          <t>Senecio herreianus</t>
        </is>
      </c>
      <c r="F112" s="76">
        <f>"public/sale_plants/"&amp;A112&amp;".jpg"</f>
        <v/>
      </c>
      <c r="G112" s="77" t="inlineStr">
        <is>
          <t>(2"-3")</t>
        </is>
      </c>
      <c r="H112" s="78" t="inlineStr">
        <is>
          <t>Low</t>
        </is>
      </c>
      <c r="I112" s="66" t="inlineStr">
        <is>
          <t>Low</t>
        </is>
      </c>
      <c r="J112" s="66" t="inlineStr">
        <is>
          <t>Medium</t>
        </is>
      </c>
      <c r="K112" s="79" t="n">
        <v>79</v>
      </c>
      <c r="L112" s="80" t="inlineStr">
        <is>
          <t>Succulent</t>
        </is>
      </c>
      <c r="M112" s="80" t="n">
        <v>0</v>
      </c>
      <c r="N112" s="80" t="n">
        <v>0</v>
      </c>
      <c r="O112" s="81" t="n">
        <v>0</v>
      </c>
      <c r="P112" s="81" t="n">
        <v>0</v>
      </c>
      <c r="Q112" s="81">
        <f>IF(Local!I112=TRUE,1,0)</f>
        <v/>
      </c>
      <c r="R112" s="81">
        <f>Local!D112</f>
        <v/>
      </c>
      <c r="S112" s="81">
        <f>Local!F112</f>
        <v/>
      </c>
      <c r="T112" s="81">
        <f>Local!G112</f>
        <v/>
      </c>
      <c r="U112" s="83" t="inlineStr">
        <is>
          <t>## About
String of Tears is a beautiful trailing succulent with unique teardrop-shaped or oval leaves that hang gracefully from thin stems. This charming plant is perfect for hanging baskets and adds a lovely cascading effect to any indoor space. It belongs to the Senecio family and is loved for its easy care and attractive appearance.
## Origin
This plant is native to South Africa, where it grows in dry, rocky areas. It is adapted to survive in harsh conditions with little water and plenty of sunshine. The natural habitat of String of Tears makes it well-suited for Indian homes, especially in regions with warm and dry climates.
## Temperature &amp; Humidity
- **Temperature Range:** 18Â°C to 30Â°C
- **Humidity:** This plant prefers low to moderate humidity levels, around 30% to 50%. It does not like very humid conditions and can develop problems if the air is too moist. In Indian climates, it adapts well to both coastal and dry regions, but ensure good air circulation during monsoon season.
## Growth
String of Tears is a slow to moderate grower. The stems can grow up to 60 to 90 cm long, creating beautiful cascading trails. The teardrop-shaped leaves are fleshy and store water, which helps the plant survive dry periods. It grows densely when healthy and can fill out a hanging basket nicely over time. This plant spreads horizontally and trails downward, making it ideal for elevated displays.
## Watering
- **Frequency:** Once every 10-14 days depending on season and weather conditions. In summer, you may need to water more frequently, while in winter, reduce watering.
- **Tips:** Always check if the soil is completely dry before watering. Overwatering is the biggest enemy of this plant. Water thoroughly but allow excess water to drain out completely. During monsoon season in India, reduce watering frequency as humidity is higher. Use the "soak and dry" method - water deeply and then let the soil dry out completely before the next watering.
## Sunlight
- **Hours per day:** 4 to 6 hours
- **Type:** Bright indirect light is best, but it can tolerate a few hours of direct morning sunlight. Avoid harsh afternoon sun, especially in Indian summers, as it can burn the delicate leaves. East-facing windows or filtered light through a curtain works perfectly. If kept outdoors, place in a spot with morning sun and afternoon shade.
## Care Tips
- Keep the plant in a well-ventilated area to prevent fungal issues during humid monsoon months
- Rotate the pot occasionally to ensure even growth on all sides
- Remove any dead or dried stems regularly to keep the plant healthy and attractive
- During Indian summers (April-June), protect from intense afternoon heat
- In winter months, reduce watering significantly as the plant goes into a semi-dormant state
- Avoid misting the leaves as this succulent does not need extra humidity
- Keep away from areas with temperature fluctuations like near air conditioners or heaters
## Growth Tips
- Use a well-draining soil mix made of regular potting soil, cocopeat, and perlite or sand in equal parts
- Add small pieces of charcoal to the soil to prevent root rot
- Fertilize only during the growing season (spring and summer) with a diluted succulent fertilizer once a month
- Do not fertilize during winter or monsoon season
- Repot every 2-3 years or when the plant becomes root-bound
- Choose a pot with drainage holes - terracotta pots work best as they allow soil to dry faster
- Propagation is easy through stem cuttings - simply cut a healthy stem and plant in soil
## Common Problems
- **Shriveled leaves:** Caused by underwatering or too much direct sun. Increase watering slightly and move to filtered light
- **Yellowing and mushy leaves:** Sign of overwatering and root rot. Reduce watering immediately and check roots for damage
- **Leggy growth with gaps between leaves:** Not enough light. Move the plant to a brighter location
- **Pests like mealybugs and aphids:** Common in humid conditions. Wipe leaves with neem oil solution
- **Brown, crispy tips:** Usually caused by very low humidity or fertilizer burn. Do not over-fertilize
- **Stem rot:** Happens when water sits on stems or in humid, poorly ventilated conditions. Ensure good air flow</t>
        </is>
      </c>
      <c r="V112" s="98">
        <f>HYPERLINK("https://rosaryplanthouse.com/plant/"&amp;A112&amp;"-"&amp;SUBSTITUTE(LOWER(E112), " ", "-"))</f>
        <v/>
      </c>
      <c r="W112" t="inlineStr">
        <is>
          <t>🟢 String of Tears (ID: 111)
🌿 Get ready to be captivated by the enchanting beauty of the String of Tears! This trailing succulent features unique teardrop-shaped leaves that elegantly cascade from its delicate stems, making it a stunning addition to any indoor space. 
🌱 About this beauty: Native to the sun-kissed landscapes of South Africa, the String of Tears thrives in low maintenance environments, adapting perfectly to Indian homes, especially in warm and dry climates. 
✨ **Key Details:**
- **Watering:** Low frequency (every 10-14 days)
- **Sunlight:** Prefers bright indirect light (4-6 hours daily)
- **Humidity:** Low to moderate (30%-50%)
👉 Discover the magic of this charming succulent! Link in bio. 
#StringOfTears #SenecioHerreianus #SucculentLove #IndoorPlants #PlantParents #HomeDecor #GreenThumb #PlantCare #EcommercePlants #RosaryPlantHouse</t>
        </is>
      </c>
    </row>
    <row r="113" ht="99.5" customHeight="1">
      <c r="A113" s="73" t="n">
        <v>112</v>
      </c>
      <c r="B113" s="74" t="inlineStr">
        <is>
          <t>lizard's tail</t>
        </is>
      </c>
      <c r="C113" s="74">
        <f>IF(Local!H113,"1","0")</f>
        <v/>
      </c>
      <c r="D113" s="87" t="n">
        <v>100</v>
      </c>
      <c r="E113" s="66" t="inlineStr">
        <is>
          <t>Crassula muscosa</t>
        </is>
      </c>
      <c r="F113" s="76">
        <f>"public/sale_plants/"&amp;A113&amp;".jpg"</f>
        <v/>
      </c>
      <c r="G113" s="77" t="inlineStr">
        <is>
          <t>(2"-3")</t>
        </is>
      </c>
      <c r="H113" s="78" t="inlineStr">
        <is>
          <t>Moderate</t>
        </is>
      </c>
      <c r="I113" s="66" t="inlineStr">
        <is>
          <t>Low</t>
        </is>
      </c>
      <c r="J113" s="66" t="inlineStr">
        <is>
          <t>Medium</t>
        </is>
      </c>
      <c r="K113" s="79" t="n">
        <v>69</v>
      </c>
      <c r="L113" s="80" t="inlineStr">
        <is>
          <t>Crassula</t>
        </is>
      </c>
      <c r="M113" s="80" t="n">
        <v>0</v>
      </c>
      <c r="N113" s="80" t="n">
        <v>0</v>
      </c>
      <c r="O113" s="81" t="n">
        <v>0</v>
      </c>
      <c r="P113" s="80" t="n">
        <v>0</v>
      </c>
      <c r="Q113" s="81">
        <f>IF(Local!I113=TRUE,1,0)</f>
        <v/>
      </c>
      <c r="R113" s="81">
        <f>Local!D113</f>
        <v/>
      </c>
      <c r="S113" s="81">
        <f>Local!F113</f>
        <v/>
      </c>
      <c r="T113" s="81">
        <f>Local!G113</f>
        <v/>
      </c>
      <c r="U113" s="83" t="inlineStr">
        <is>
          <t>## About
Crassula muscosa, commonly known as Lizard's Tail or Watch Chain Plant, is a unique succulent with thin, branching stems covered in tiny, scale-like leaves arranged in four neat rows. This charming plant from South Africa is popular among succulent collectors for its unusual texture and compact growth habit.
## Origin
This plant is native to South Africa, particularly the Eastern Cape and Western Cape regions. It grows naturally in rocky areas and thrives in dry, warm climates. The plant has adapted to survive in poor soil conditions with minimal water, making it perfect for hot Indian climates.
## Temperature &amp; Humidity
- **Temperature Range:** 15Â°C to 35Â°C (can tolerate up to 40Â°C in Indian summers)
- **Humidity:** Low to moderate (30% to 50%). This plant prefers dry conditions and does not need high humidity. It adapts very well to typical Indian indoor and outdoor humidity levels.
## Growth
Crassula muscosa is a slow to moderate grower that typically reaches 15-30 cm in height. The plant grows upright initially, then the stems may droop slightly as they mature, creating a bushy appearance. Each stem is densely packed with tiny overlapping leaves that look like scales, giving it a chain-like or reptilian appearance. The plant can spread to about 20-30 cm wide and forms attractive clumps over time. It's compact and perfect for small pots and dish gardens.
## Watering
- **Frequency:** Water once every 10-15 days depending on season and weather conditions. In summer, you may need to water once a week, while in monsoon and winter, reduce to once in 2-3 weeks.
- **Tips:** Always check if the soil is completely dry before watering. Water thoroughly until it drains from the bottom, then let the soil dry out completely. Avoid getting water on the leaves as it can cause rot. Reduce watering significantly during the monsoon season. Overwatering is the biggest killer of this plant.
## Sunlight
- **Hours per day:** 4 to 6 hours
- **Type:** Bright indirect light or morning direct sunlight. Can handle some direct sun, especially morning sun, but protect from harsh afternoon sun in peak Indian summer (April-June) which can scorch the leaves. Bright filtered light works best indoors.
## Care Tips
- Keep the plant in a well-ventilated area to prevent fungal issues, especially during humid monsoon months
- Rotate the pot every few weeks to ensure even growth on all sides
- Remove any dead or dried stems from the base to keep the plant healthy
- During monsoon, move the plant under a roof or indoors to protect from excessive rain
- This plant is perfect for beginners as it's very forgiving and low-maintenance
- Can be kept on windowsills, balconies, or any bright spot indoors
- Avoid placing near air conditioner vents or in areas with cold drafts
## Growth Tips
- Use a well-draining succulent or cactus soil mix. You can make your own by mixing regular potting soil with cocopeat and perlite or sand in equal parts
- Add small pebbles or gravel at the bottom of the pot for extra drainage
- Fertilize very lightly once every 2-3 months during the growing season (spring and autumn) with a diluted succulent fertilizer
- Repot every 2-3 years or when the plant becomes root-bound, preferably in early spring
- Use terracotta or clay pots which allow better air circulation and moisture evaporation
- Propagate easily from stem cuttings - just cut a 5-7 cm stem, let it dry for 2 days, then plant in dry soil
## Common Problems
- **Yellowing or mushy stems:** Sign of overwatering or root rot. Reduce watering immediately and check for drainage
- **Shriveled, dry leaves:** Underwatering. The plant needs a good drink
- **Leggy, stretched growth:** Not enough light. Move to a brighter location
- **Brown, crispy leaves:** Too much direct harsh sunlight or heat stress. Provide some shade during peak afternoon hours
- **Mealybugs (white cotton-like pests):** Common in humid conditions. Remove with cotton swabs dipped in rubbing alcohol or neem oil solution
- **Stem rot at base:** Poor air circulation combined with high humidity or overwatering. Ensure good ventilation and reduce watering
- **Slow growth:** Normal for this plant, but can also indicate need for repotting or lack of nutrients</t>
        </is>
      </c>
      <c r="V113" s="98">
        <f>HYPERLINK("https://rosaryplanthouse.com/plant/"&amp;A113&amp;"-"&amp;SUBSTITUTE(LOWER(E113), " ", "-"))</f>
        <v/>
      </c>
      <c r="W113" t="inlineStr">
        <is>
          <t>🟢 Crassula muscosa (ID: 112)  
🌿 Ready to add a touch of the wild to your collection? Meet the Lizard's Tail, a captivating succulent that will charm any plant lover!  
This unique beauty features thin, branching stems adorned with tiny scale-like leaves, creating a visually stunning reptilian effect. Native to South Africa, Crassula muscosa thrives in dry, warm climates, making it a perfect low-maintenance companion for your indoor or outdoor space!  
✨ **Key Details:**  
- **Watering:** Low; water every 10-15 days  
- **Sunlight:** Prefers bright indirect light or morning sun  
- **Care Level:** Beginner-friendly and forgiving  
Don't miss out on this eye-catching addition to your plant family! 🌱  
👉 Link in bio!  
#CrassulaMuscosa #LizardsTail #SucculentLove #PlantCollector #IndoorPlants #GreenThumb #PlantCare #SucculentCare #RosaryPlantHouse #PlantAddict #HousePlants #PlantParents #SucculentGarden #HomeDecor #NatureLovers #PlantObsessed</t>
        </is>
      </c>
    </row>
    <row r="114" ht="99.5" customHeight="1">
      <c r="A114" s="73" t="n">
        <v>113</v>
      </c>
      <c r="B114" s="74" t="inlineStr">
        <is>
          <t>Syngonium yellow</t>
        </is>
      </c>
      <c r="C114" s="74">
        <f>IF(Local!H114,"1","0")</f>
        <v/>
      </c>
      <c r="D114" s="79" t="n">
        <v>89</v>
      </c>
      <c r="E114" s="66" t="inlineStr">
        <is>
          <t>Syngonium podophyllum 'Golden Yellow'</t>
        </is>
      </c>
      <c r="F114" s="76">
        <f>"public/sale_plants/"&amp;A114&amp;".jpg"</f>
        <v/>
      </c>
      <c r="G114" s="77" t="inlineStr">
        <is>
          <t>(2"-3")</t>
        </is>
      </c>
      <c r="H114" s="78" t="inlineStr">
        <is>
          <t>High</t>
        </is>
      </c>
      <c r="I114" s="66" t="inlineStr">
        <is>
          <t>Medium</t>
        </is>
      </c>
      <c r="J114" s="66" t="inlineStr">
        <is>
          <t>Medium</t>
        </is>
      </c>
      <c r="K114" s="79" t="n">
        <v>69</v>
      </c>
      <c r="L114" s="80" t="inlineStr">
        <is>
          <t>Others</t>
        </is>
      </c>
      <c r="M114" s="80" t="n">
        <v>0</v>
      </c>
      <c r="N114" s="80" t="n">
        <v>0</v>
      </c>
      <c r="O114" s="81" t="n">
        <v>0</v>
      </c>
      <c r="P114" s="80" t="n">
        <v>0</v>
      </c>
      <c r="Q114" s="81">
        <f>IF(Local!I114=TRUE,1,0)</f>
        <v/>
      </c>
      <c r="R114" s="81">
        <f>Local!D114</f>
        <v/>
      </c>
      <c r="S114" s="81">
        <f>Local!F114</f>
        <v/>
      </c>
      <c r="T114" s="81">
        <f>Local!G114</f>
        <v/>
      </c>
      <c r="U114" s="83" t="inlineStr">
        <is>
          <t>## About
The Golden Yellow Syngonium is a stunning tropical foliage plant known for its bright golden-yellow and green variegated arrow-shaped leaves. This beautiful variety is a cultivar of the popular Syngonium podophyllum and is loved by plant enthusiasts for its vibrant color that adds a cheerful touch to any indoor space.
## Origin
Native to tropical rainforests of Central and South America, including Mexico, Brazil, and Bolivia. This particular golden variety has been cultivated for its unique bright yellow coloration, making it a favorite among collectors and home gardeners across India.
## Temperature &amp; Humidity
- **Temperature Range:** 18Â°C to 30Â°C (ideal range for Indian homes)
- **Humidity:** Prefers 50% to 70% humidity. This plant thrives in the naturally humid conditions found in many Indian homes, especially during monsoon season. In drier months or air-conditioned rooms, occasional misting helps maintain healthy foliage.
## Growth
This is a moderate to fast-growing plant that can reach 30 to 90 cm indoors when grown in a pot. Young plants have a compact, bushy growth habit with upright stems. As the plant matures, it develops a climbing or trailing nature and can be trained on a moss pole or allowed to cascade from a hanging basket. The leaves start small and grow larger as the plant matures. In Indian climate conditions with proper care, expect new leaves every few weeks during the growing season (spring and summer).
## Watering
- **Frequency:** Once or twice a week depending on season, temperature, and humidity levels. Water more frequently during hot summer months and reduce during cooler winter months.
- **Tips:** Check the top 2-3 cm of soil before watering. Water thoroughly until water drains from the bottom, but never let the plant sit in waterlogged soil. Use room-temperature water. During monsoon, reduce watering frequency as humidity is naturally high. Yellow leaves can indicate overwatering, while brown crispy edges mean underwatering.
## Sunlight
- **Hours per day:** 4 to 6 hours of bright, indirect light
- **Type:** Bright indirect or filtered light works best. Avoid harsh direct afternoon sun which can scorch the beautiful yellow leaves and cause them to turn brown. Morning sun for 1-2 hours is acceptable. Can tolerate lower light but may lose some of its vibrant yellow coloration.
## Care Tips
- Place near an east or north-facing window for best light in Indian homes
- Rotate the pot every few weeks for even growth on all sides
- Wipe leaves gently with a damp cloth monthly to remove dust and keep them shiny
- During hot Indian summers (April-June), increase humidity by misting or using a pebble tray
- Prune leggy stems to encourage bushier growth
- Provide support like a moss stick or trellis if you want it to climb
- Keep away from direct air conditioner or fan drafts
- The plant is mildly toxic if ingested, so keep away from pets and children
## Growth Tips
- **Soil:** Use well-draining potting mix. A combination of regular potting soil, cocopeat, and perlite or sand (2:1:1 ratio) works perfectly
- **Fertilizer:** Feed with balanced liquid fertilizer (NPK 20:20:20) diluted to half strength once a month during growing season (March to October). Reduce or stop feeding during winter months
- **Repotting:** Repot every 1-2 years or when roots start coming out of drainage holes. Best time is early spring (February-March)
- Propagate easily through stem cuttings in water or soil during warm months
## Common Problems
- **Yellow leaves:** Usually caused by overwatering or poor drainage. Ensure pot has drainage holes and soil dries slightly between waterings
- **Brown leaf tips or edges:** Low humidity or underwatering. Increase misting frequency or use a humidifier
- **Leggy growth with small leaves:** Insufficient light. Move to a brighter location
- **Loss of yellow variegation:** Too little light causes the plant to produce more green chlorophyll. Increase indirect light exposure
- **Pests:** Watch for spider mites (especially in dry conditions), mealybugs, and aphids. Treat with neem oil spray
- **Root rot:** Caused by overwatering and poor drainage. Reduce watering frequency and improve soil drainage</t>
        </is>
      </c>
      <c r="V114" s="98">
        <f>HYPERLINK("https://rosaryplanthouse.com/plant/"&amp;A114&amp;"-"&amp;SUBSTITUTE(LOWER(E114), " ", "-"))</f>
        <v/>
      </c>
      <c r="W114" t="inlineStr">
        <is>
          <t>🟢 Syngonium podophyllum 'Golden Yellow' (ID: 113)
✨ Brighten up your indoor jungle with the stunning Syngonium yellow! 🌿 This tropical beauty boasts vibrant golden-yellow and green variegated leaves that are sure to add a cheerful touch to any space. 🌞
🌱 **About:** Native to the lush rainforests of Central and South America, this captivating cultivar is a favorite among plant lovers for its eye-catching color and easy care. Watch it thrive and grow, bringing life to your home!
📝 **Key Details:**
- 🌡️ **Temperature:** 18°C to 30°C
- 💧 **Watering:** Medium, once or twice a week
- ☀️ **Sunlight:** Prefers 4 to 6 hours of bright, indirect light
👉 Ready to bring home this beauty? Discover more through the **Link in bio**! 
#Syngonium #IndoorPlants #PlantLovers #HomeDecor #PlantParent #GreenThumb #HousePlantClub #TropicalPlants #PlantGoals #RosaryPlantHouse #GoldenYellow #PlantCare #GardenInspiration #PlantCollection 🌿✨</t>
        </is>
      </c>
    </row>
    <row r="115" ht="99.5" customHeight="1">
      <c r="A115" s="73" t="n">
        <v>114</v>
      </c>
      <c r="B115" s="74" t="inlineStr">
        <is>
          <t>Syngonium green</t>
        </is>
      </c>
      <c r="C115" s="74">
        <f>IF(Local!H115,"1","0")</f>
        <v/>
      </c>
      <c r="D115" s="75" t="n">
        <v>59</v>
      </c>
      <c r="E115" s="66" t="inlineStr">
        <is>
          <t>Syngonium podophyllum 'Golden Green'</t>
        </is>
      </c>
      <c r="F115" s="76">
        <f>"public/sale_plants/"&amp;A115&amp;".jpg"</f>
        <v/>
      </c>
      <c r="G115" s="77" t="inlineStr">
        <is>
          <t>(2"-3")</t>
        </is>
      </c>
      <c r="H115" s="78" t="inlineStr">
        <is>
          <t>High</t>
        </is>
      </c>
      <c r="I115" s="66" t="inlineStr">
        <is>
          <t>Medium</t>
        </is>
      </c>
      <c r="J115" s="66" t="inlineStr">
        <is>
          <t>Medium</t>
        </is>
      </c>
      <c r="K115" s="79" t="n">
        <v>69</v>
      </c>
      <c r="L115" s="80" t="inlineStr">
        <is>
          <t>Others</t>
        </is>
      </c>
      <c r="M115" s="80" t="n">
        <v>0</v>
      </c>
      <c r="N115" s="80" t="n">
        <v>0</v>
      </c>
      <c r="O115" s="81" t="n">
        <v>0</v>
      </c>
      <c r="P115" s="81" t="n">
        <v>0</v>
      </c>
      <c r="Q115" s="81">
        <f>IF(Local!I115=TRUE,1,0)</f>
        <v/>
      </c>
      <c r="R115" s="81">
        <f>Local!D115</f>
        <v/>
      </c>
      <c r="S115" s="81">
        <f>Local!F115</f>
        <v/>
      </c>
      <c r="T115" s="81">
        <f>Local!G115</f>
        <v/>
      </c>
      <c r="U115" s="83" t="inlineStr">
        <is>
          <t>## About
The Golden Green Syngonium is a beautiful indoor plant with bright yellow-green arrow-shaped leaves that add a fresh, vibrant look to any space. This variety of Syngonium is loved for its easy care and stunning golden foliage that brightens up indoor corners. It is a climbing or trailing plant that works well in pots, hanging baskets, or with a support pole.
## Origin
Syngonium podophyllum is native to the tropical rainforests of Central and South America, including countries like Mexico, Brazil, and Bolivia. In its natural habitat, it grows as a climbing vine on trees and thrives in warm, humid conditions under the forest canopy.
## Temperature &amp; Humidity
- **Temperature Range:** 18Â°C to 30Â°C
- **Humidity:** Prefers moderate to high humidity levels between 50% to 70%. The plant adapts well to typical Indian indoor humidity but appreciates occasional misting during dry seasons or in air-conditioned rooms.
## Growth
The Golden Green Syngonium is a moderate to fast-growing plant. Young plants have compact, arrow-shaped leaves, but as the plant matures, the leaves become larger and may develop lobes. It can grow up to 1 to 2 feet in height when kept in a pot, and if allowed to climb with support, it can reach 3 to 6 feet. The plant naturally trails or climbs, making it perfect for hanging baskets or training on moss poles.
## Watering
- **Frequency:** Once or twice a week depending on season, weather conditions, and indoor temperature.
- **Tips:** Water when the top 1-2 inches of soil feel dry to the touch. In the Indian summer months (March to June), you may need to water more frequently, while in winter (December to February), reduce watering. Always ensure the pot has drainage holes to prevent waterlogging. Use room-temperature water and avoid letting the plant sit in water.
## Sunlight
- **Hours per day:** 4 to 6 hours
- **Type:** Bright indirect light or filtered sunlight. The Golden Green variety does well near east or north-facing windows. Avoid harsh direct afternoon sun, which can scorch the delicate golden leaves. Too little light will cause the vibrant color to fade and the plant to become leggy.
## Care Tips
- **Keep away from direct afternoon sun** to prevent leaf burn, especially during Indian summers.
- **Mist the leaves** once or twice a week during dry months to maintain humidity.
- **Wipe the leaves gently** with a damp cloth to remove dust and keep them shiny.
- **Rotate the plant** every few weeks for even growth on all sides.
- **Prune regularly** to encourage bushier growth and remove any yellow or damaged leaves.
- **Use a moss pole or support** if you want the plant to climb upward instead of trailing.
## Growth Tips
- **Soil:** Use a well-draining potting mix. A mixture of regular potting soil, cocopeat, and perlite or sand works well. Good drainage is essential.
- **Fertilizer:** Feed with a balanced liquid fertilizer (NPK 10:10:10 or 20:20:20) diluted to half strength once a month during the growing season (spring and summer). Reduce feeding in winter.
- **Repotting:** Repot every 1 to 2 years or when the plant becomes root-bound. Choose a pot that is 1-2 inches larger in diameter. Spring is the best time to repot.
- **Propagation:** Easily propagated by stem cuttings in water or soil. Take a cutting with at least 2-3 nodes and place in water until roots develop.
## Common Problems
- **Yellow leaves:** Usually caused by overwatering or poor drainage. Let the soil dry out between waterings.
- **Brown leaf tips:** Often due to low humidity, fluoride in tap water, or under-watering. Increase humidity and use filtered water if possible.
- **Leggy growth:** Caused by insufficient light. Move the plant to a brighter spot with indirect sunlight.
- **Fading color:** The golden-green color may turn dull green if the plant does not receive enough light.
- **Pests:** Watch out for spider mites, mealybugs, and aphids, especially in dry conditions. Wipe leaves regularly and treat with neem oil spray if needed.
- **Root rot:** Happens when the plant is overwatered or the pot lacks drainage. Always check soil moisture before watering.</t>
        </is>
      </c>
      <c r="V115" s="98">
        <f>HYPERLINK("https://rosaryplanthouse.com/plant/"&amp;A115&amp;"-"&amp;SUBSTITUTE(LOWER(E115), " ", "-"))</f>
        <v/>
      </c>
      <c r="W115" t="inlineStr">
        <is>
          <t>🟢 Syngonium podophyllum 'Golden Green' (ID: 114)
✨ Brighten your space with the stunning Syngonium Green! 🌿 This beautiful indoor plant features vibrant yellow-green arrow-shaped leaves that bring a fresh, lively touch to any corner of your home. Perfect for both novice and experienced plant enthusiasts, it thrives with minimal care!
🌱 **Key Details:**
- **Watering:** Medium; once or twice a week
- **Sunlight:** Medium; bright indirect light or filtered sunlight
- **Humidity:** Prefers moderate to high humidity (50%-70%)
Ready to add this gorgeous greenery to your collection? 🌟 **Link in bio** to explore more!
#Syngonium #IndoorPlants #PlantLovers #HomeDecor #GreenThumb #PlantGoals #HousePlants #PlantParent #RosaryPlantHouse #GoldenGreen #NatureLover #PlantCare #HouseplantJoy #BotanicalBeauty</t>
        </is>
      </c>
    </row>
    <row r="116" ht="99.5" customHeight="1">
      <c r="A116" s="73" t="n">
        <v>115</v>
      </c>
      <c r="B116" s="74" t="inlineStr">
        <is>
          <t>Peace lily</t>
        </is>
      </c>
      <c r="C116" s="74">
        <f>IF(Local!H116,"1","0")</f>
        <v/>
      </c>
      <c r="D116" s="75" t="n">
        <v>69</v>
      </c>
      <c r="E116" s="66" t="inlineStr">
        <is>
          <t>Spathiphyllum wallisii</t>
        </is>
      </c>
      <c r="F116" s="76">
        <f>"public/sale_plants/"&amp;A116&amp;".jpg"</f>
        <v/>
      </c>
      <c r="G116" s="77" t="inlineStr">
        <is>
          <t>(3"-4")</t>
        </is>
      </c>
      <c r="H116" s="78" t="inlineStr">
        <is>
          <t>High</t>
        </is>
      </c>
      <c r="I116" s="66" t="inlineStr">
        <is>
          <t>Medium</t>
        </is>
      </c>
      <c r="J116" s="66" t="inlineStr">
        <is>
          <t>Low</t>
        </is>
      </c>
      <c r="K116" s="79" t="n">
        <v>79</v>
      </c>
      <c r="L116" s="80" t="inlineStr">
        <is>
          <t>Others</t>
        </is>
      </c>
      <c r="M116" s="80" t="n">
        <v>0</v>
      </c>
      <c r="N116" s="80" t="n">
        <v>0</v>
      </c>
      <c r="O116" s="81" t="n">
        <v>0</v>
      </c>
      <c r="P116" s="80" t="n">
        <v>0</v>
      </c>
      <c r="Q116" s="81">
        <f>IF(Local!I116=TRUE,1,0)</f>
        <v/>
      </c>
      <c r="R116" s="81">
        <f>Local!D116</f>
        <v/>
      </c>
      <c r="S116" s="81">
        <f>Local!F116</f>
        <v/>
      </c>
      <c r="T116" s="81">
        <f>Local!G116</f>
        <v/>
      </c>
      <c r="U116" s="83" t="inlineStr">
        <is>
          <t>## About
The Peace Lily is a beautiful indoor plant known for its elegant white flowers and glossy green leaves. It is one of the most popular houseplants in India because it can grow well in low light and helps clean the air inside your home.
## Origin
Peace Lily originally comes from the tropical rainforests of Central and South America, particularly Colombia and Venezuela. It grows naturally on the forest floor where it receives filtered sunlight through the tree canopy.
## Temperature &amp; Humidity
- **Temperature Range:** 18Â°C to 30Â°C
- **Humidity:** Peace Lily loves humidity and prefers 50% to 70% humidity levels. It does well in Indian homes, especially during monsoon season. In dry weather, you can mist the leaves or place the pot on a tray with pebbles and water to increase humidity.
## Growth
Peace Lily is a medium-sized plant that usually grows 30 to 60 cm tall indoors, though some varieties can reach up to 90 cm. It has a clumping growth habit, meaning it produces multiple stems from the base. The plant grows at a moderate pace and produces beautiful white spathes (the white petal-like part) that surround a yellow spadix (the finger-like center). These blooms can last for several weeks.
## Watering
- **Frequency:** Once a week depending on season and weather conditions. In summer and hot weather, you may need to water twice a week depending on other parameters.
- **Tips:** Peace Lily will tell you when it needs water by drooping its leaves slightly. Water thoroughly until water drains from the bottom, but do not let the pot sit in water. Use room temperature water. The plant prefers slightly moist soil but not soggy. Reduce watering in winter months.
## Sunlight
- **Hours per day:** 2 to 4 hours
- **Type:** Bright indirect or filtered light. Avoid direct sunlight as it can burn the leaves. Peace Lily does very well in shaded corners and rooms with windows that don't get direct sun.
## Care Tips
- Keep the leaves clean by wiping them with a damp cloth to remove dust and help the plant breathe better
- Place the plant away from direct air conditioner or fan drafts
- Remove old yellow leaves and spent flowers to encourage new growth
- Peace Lily is sensitive to chlorine and fluoride in tap water, so let water sit overnight before using or use filtered water
- The plant works well in Indian bathrooms and kitchens where humidity is naturally higher
- Keep away from children and pets as the plant is toxic if eaten
## Growth Tips
- Use well-draining potting soil mixed with some compost or coco peat for good moisture retention
- Feed with a balanced liquid fertilizer diluted to half strength once a month during growing season (spring and summer)
- Repot every 1 to 2 years or when roots start coming out of drainage holes
- Choose a pot that is only slightly larger than the current one when repotting
- Best time to repot is early spring before the active growing season begins
- Peace Lily prefers to be slightly root-bound and blooms better in this condition
## Common Problems
- **Yellow leaves:** Usually caused by overwatering or too much direct sunlight. Check soil moisture before watering again
- **Brown leaf tips:** Caused by low humidity, fluoride in water, or underwatering. Increase humidity and use filtered water
- **No flowers:** Plant may not be getting enough light or may need fertilizer. Move to a brighter spot with indirect light
- **Drooping leaves:** Most common reason is the plant needs water. Water thoroughly and it should perk up within hours. If soil is wet and plant is drooping, it may be root rot from overwatering
- **Spider mites and mealybugs:** Can attack in dry conditions. Wipe leaves regularly and spray with neem oil solution if you see pests
- **Root rot:** Caused by overwatering and poor drainage. Ensure pot has drainage holes and soil is not constantly wet</t>
        </is>
      </c>
      <c r="V116" s="98">
        <f>HYPERLINK("https://rosaryplanthouse.com/plant/"&amp;A116&amp;"-"&amp;SUBSTITUTE(LOWER(E116), " ", "-"))</f>
        <v/>
      </c>
      <c r="W116" t="inlineStr">
        <is>
          <t>🌿 Spathiphyllum wallisii (ID: 115)
✨ Bring tranquility to your space with the exquisite Peace Lily! 🌼 This stunning indoor plant is not just a visual delight; it's also a powerful air purifier, making it a must-have for any home. 
🌱 **About:** Known for its elegant white flowers and glossy green leaves, the Peace Lily thrives in low light conditions, making it perfect for those cozy corners in your home. Originally hailing from the lush rainforests of Central and South America, it brings a touch of tropical paradise indoors.
🔑 **Key Details:**
- 🌞 **Light:** Prefers bright indirect light 
- 💧 **Watering:** Once a week, or when leaves droop
- 🌡️ **Humidity:** Loves humidity, ideal for Indian homes
Ready to elevate your indoor garden? Click the link in bio to learn more! 
#PeaceLily #IndoorPlants #PlantLove #HomeDecor #AirPurifyingPlants #HousePlants #PlantParent #GreenThumb #BotanicalBeauty #RosaryPlantHouse</t>
        </is>
      </c>
    </row>
    <row r="117" ht="99.5" customHeight="1">
      <c r="A117" s="73" t="n">
        <v>116</v>
      </c>
      <c r="B117" s="74" t="inlineStr">
        <is>
          <t>Aloe brown</t>
        </is>
      </c>
      <c r="C117" s="74">
        <f>IF(Local!H117,"1","0")</f>
        <v/>
      </c>
      <c r="D117" s="75" t="n">
        <v>79</v>
      </c>
      <c r="E117" s="66" t="inlineStr">
        <is>
          <t>Aloe Ã— spinosissima (Aloe Brown)</t>
        </is>
      </c>
      <c r="F117" s="76">
        <f>"public/sale_plants/"&amp;A117&amp;".jpg"</f>
        <v/>
      </c>
      <c r="G117" s="77" t="inlineStr">
        <is>
          <t>(2"-3")</t>
        </is>
      </c>
      <c r="H117" s="78" t="inlineStr">
        <is>
          <t>Low</t>
        </is>
      </c>
      <c r="I117" s="66" t="inlineStr">
        <is>
          <t>Low</t>
        </is>
      </c>
      <c r="J117" s="66" t="inlineStr">
        <is>
          <t>High</t>
        </is>
      </c>
      <c r="K117" s="79" t="n">
        <v>69</v>
      </c>
      <c r="L117" s="80" t="inlineStr">
        <is>
          <t>Aloe</t>
        </is>
      </c>
      <c r="M117" s="80" t="n">
        <v>0</v>
      </c>
      <c r="N117" s="80" t="n">
        <v>0</v>
      </c>
      <c r="O117" s="81" t="n">
        <v>0</v>
      </c>
      <c r="P117" s="80" t="n">
        <v>1</v>
      </c>
      <c r="Q117" s="81" t="n">
        <v>1</v>
      </c>
      <c r="R117" s="81">
        <f>Local!D117</f>
        <v/>
      </c>
      <c r="S117" s="81">
        <f>Local!F117</f>
        <v/>
      </c>
      <c r="T117" s="81">
        <f>Local!G117</f>
        <v/>
      </c>
      <c r="U117" s="83" t="inlineStr">
        <is>
          <t>## About
The Brown Aloe is a striking succulent plant with unique brownish-green leaves covered in tiny white spots and spines along the edges. This hybrid aloe variety is popular among succulent collectors for its unusual coloring and compact rosette form. It is well-suited to Indian climate conditions and makes an excellent choice for both beginners and experienced plant enthusiasts.
## Origin
This is a hybrid aloe variety, likely developed from crossing different aloe species. Aloe plants originally come from arid regions of Africa, Madagascar, and the Arabian Peninsula. They are adapted to hot, dry conditions with minimal rainfall, which makes them perfectly suited for many parts of India.
## Temperature &amp; Humidity
- **Temperature Range:** 15Â°C to 40Â°C (tolerates Indian summers very well)
- **Humidity:** Low to moderate humidity (30% to 50%). This plant thrives in dry conditions and does not require high humidity. It can handle the dry heat of Indian summers without any problems.
## Growth
Brown Aloe grows in a compact rosette pattern with leaves spreading outward from the center. The plant typically reaches 15-25 cm in height and about 20-30 cm in width when mature. It is a slow to moderate grower, taking several years to reach full size. The plant produces offsets (baby plants) around the base, which can be separated and planted to create new plants. The unique brownish tint on the leaves becomes more pronounced with sun exposure.
## Watering
- **Frequency:** Once every two weeks depending on season and weather conditions. Water less in monsoon and winter, slightly more in peak summer if soil dries out completely.
- **Tips:** Always check if the soil is completely dry before watering. Stick your finger 2-3 cm into the soil - if it feels dry, water thoroughly until water drains from the bottom. Never let the plant sit in waterlogged soil. Reduce watering during monsoon season. Water early morning or evening, never during harsh afternoon sun.
## Sunlight
- **Hours per day:** 4 to 6 hours
- **Type:** Bright direct sunlight or very bright indirect light. Morning sun is ideal. Can tolerate some afternoon sun once established, but protect from intense midday summer sun in hottest months (April-June). The brownish color develops best with good sun exposure.
## Care Tips
- Place in a location with excellent air circulation to prevent fungal issues during humid monsoon months
- Protect from heavy rain during monsoon as excessive moisture can cause root rot
- Can be kept outdoors year-round in most parts of India
- Also thrives indoors on a sunny windowsill (south or west facing)
- Wipe dust off leaves occasionally with a soft, dry cloth
- Avoid touching the spines on leaf edges
- Remove any dead or dried leaves from the base to keep plant healthy
## Growth Tips
- Use well-draining soil mix: combine regular potting soil with cocopeat and perlite or sand (ratio 1:1:1)
- Add small pieces of charcoal to soil mix to prevent root rot
- Terra cotta or clay pots work best as they allow soil to dry faster
- Fertilize only during growing season (March to October) with diluted succulent fertilizer once every 2-3 months
- Repot every 2-3 years in spring when plant outgrows its pot
- Choose a pot only slightly larger than current one - aloes prefer being slightly root-bound
- Propagate by separating offsets (pups) during repotting
## Common Problems
- **Yellow, mushy leaves:** Overwatering or poor drainage. Reduce water frequency and check drainage holes
- **Brown, dried leaf tips:** Underwatering during hot summer months or too much direct harsh sun
- **Pale, stretched leaves:** Not getting enough sunlight. Move to brighter location
- **Mealybugs (white cottony spots):** Common pest. Remove with cotton swab dipped in rubbing alcohol
- **Root rot:** Caused by overwatering or waterlogged soil during monsoon. Use well-draining soil and proper drainage
- **Slow growth:** Normal for this plant. Can also indicate lack of nutrients - fertilize lightly during growing season
- **Leaf spots:** Fungal infection from excessive moisture. Improve air circulation and avoid wetting leaves while watering</t>
        </is>
      </c>
      <c r="V117" s="98">
        <f>HYPERLINK("https://rosaryplanthouse.com/plant/"&amp;A117&amp;"-"&amp;SUBSTITUTE(LOWER(E117), " ", "-"))</f>
        <v/>
      </c>
      <c r="W117" t="inlineStr">
        <is>
          <t>🟢 Aloe × spinosissima (ID: 116)  
🌵 Meet the stunning Aloe Brown, your new favorite succulent! This unique beauty boasts brownish-green leaves adorned with tiny white spots and spines, making it a must-have for any plant collection. Perfect for both beginners and seasoned plant enthusiasts, the Aloe Brown thrives in the Indian climate, bringing a touch of the wild to your home.  
✨ **Key Details:**  
- **Watering:** Low—only once every two weeks!  
- **Sunlight:** Loves bright direct sunlight (4 to 6 hours a day).  
- **Care:** Ideal for indoor spaces or sunny windowsills, plus it’s easy to propagate!  
Ready to add this gorgeous plant to your collection? 🌿✨ Check out the link in bio!  
#AloeBrown #SucculentLove #PlantEnthusiasts #HomeDecor #IndoorPlants #RosaryPlantHouse #PlantParent #GreenThumb #PlantCollecting #SucculentCare #Houseplants #PlantLovers #SucculentAddict #IndoorGardening #EcoFriendlyDecor</t>
        </is>
      </c>
    </row>
    <row r="118" ht="99.5" customHeight="1">
      <c r="A118" s="73" t="n">
        <v>117</v>
      </c>
      <c r="B118" s="74" t="inlineStr">
        <is>
          <t>jelly bean</t>
        </is>
      </c>
      <c r="C118" s="74">
        <f>IF(Local!H118,"1","0")</f>
        <v/>
      </c>
      <c r="D118" s="75" t="n">
        <v>99</v>
      </c>
      <c r="E118" s="66" t="inlineStr">
        <is>
          <t>Sedum rubrotinctum</t>
        </is>
      </c>
      <c r="F118" s="76">
        <f>"public/sale_plants/"&amp;A118&amp;".jpg"</f>
        <v/>
      </c>
      <c r="G118" s="77" t="inlineStr">
        <is>
          <t>(2"-3")</t>
        </is>
      </c>
      <c r="H118" s="78" t="inlineStr">
        <is>
          <t>High</t>
        </is>
      </c>
      <c r="I118" s="66" t="inlineStr">
        <is>
          <t>Low</t>
        </is>
      </c>
      <c r="J118" s="66" t="inlineStr">
        <is>
          <t>High</t>
        </is>
      </c>
      <c r="K118" s="79" t="n">
        <v>69</v>
      </c>
      <c r="L118" s="80" t="inlineStr">
        <is>
          <t>Succulent</t>
        </is>
      </c>
      <c r="M118" s="80" t="n">
        <v>0</v>
      </c>
      <c r="N118" s="80" t="n">
        <v>1</v>
      </c>
      <c r="O118" s="81" t="n">
        <v>0</v>
      </c>
      <c r="P118" s="81" t="n">
        <v>0</v>
      </c>
      <c r="Q118" s="81">
        <f>IF(Local!I118=TRUE,1,0)</f>
        <v/>
      </c>
      <c r="R118" s="81">
        <f>Local!D118</f>
        <v/>
      </c>
      <c r="S118" s="81">
        <f>Local!F118</f>
        <v/>
      </c>
      <c r="T118" s="81">
        <f>Local!G118</f>
        <v/>
      </c>
      <c r="U118" s="83" t="inlineStr">
        <is>
          <t>## About
The Jelly Bean Plant is a charming succulent with plump, bean-shaped leaves that look like colorful jelly beans. This cute plant gets its name from its distinctive chubby leaves that turn reddish-pink or bronze when exposed to bright sunlight. It's a popular choice for beginners and experienced gardeners alike because of its easy care requirements and adorable appearance.
## Origin
Sedum rubrotinctum is native to Mexico, where it grows in warm, dry climates with plenty of sunshine. It belongs to the Crassulaceae family and thrives in rocky, well-draining environments. This plant has adapted to survive in areas with low rainfall and intense sunlight, making it perfect for Indian climates.
## Temperature &amp; Humidity
- **Temperature Range:** 15Â°C to 35Â°C
- **Humidity:** Low to moderate humidity (30% to 50%). This plant prefers drier conditions and does not require high humidity. It can tolerate the hot, dry summers commonly found in most parts of India.
## Growth
The Jelly Bean Plant grows in a compact, bushy form and typically reaches 15 to 20 cm in height. It spreads slowly and can grow up to 30 cm wide over time. The plant produces multiple stems that branch out, creating a dense cluster of bean-shaped leaves. Growth is moderate, and the plant can fill out a pot nicely within a year or two. Individual leaves can easily fall off and propagate into new plants.
## Watering
- **Frequency:** Once every two weeks depending on season and weather conditions. Water less during monsoon and winter months.
- **Tips:** Allow the soil to dry out completely between waterings. During the hot Indian summer (April to June), you may need to water once a week. In monsoon season, reduce watering significantly or stop altogether if the plant is outdoors. Always water at the base of the plant, avoiding the leaves. Overwatering is the most common cause of problems with this plant.
## Sunlight
- **Hours per day:** 4 to 6 hours
- **Type:** Direct sunlight is best. The more sun exposure, the more vibrant the red and pink coloring on the leaves. In extreme summer heat (above 40Â°C), provide some afternoon shade to prevent leaf burn. Can tolerate bright indirect light indoors, but colors will be less vibrant and the plant will remain mostly green.
## Care Tips
- Place in the brightest spot available, preferably a sunny windowsill or balcony
- Protect from heavy monsoon rains as too much water can cause root rot
- In North India, bring indoors during winter if temperatures drop below 10Â°C
- Remove dead or dried leaves regularly to keep the plant tidy
- The plant is non-toxic and safe around children and pets
- Individual leaves fall off easily, but this is normal and they can be used for propagation
- Clean dust from leaves occasionally with a soft brush
## Growth Tips
- Use a well-draining cactus or succulent soil mix with added perlite or cocopeat
- Add sand or small gravel to regular potting soil if using homemade mix (50% soil, 30% sand, 20% perlite)
- Fertilize once every 2-3 months during growing season (spring and summer) with diluted liquid fertilizer or specialized succulent fertilizer
- Repot every 2 years or when the plant outgrows its pot
- Use terracotta or clay pots with drainage holes as they help soil dry faster
- Propagate easily by placing fallen leaves on dry soil; they will root in 2-3 weeks
- Prune leggy stems to encourage bushier growth
## Common Problems
- **Yellowing, mushy leaves:** Caused by overwatering or poor drainage. Reduce watering frequency immediately
- **Leaves falling off excessively:** Normal to some extent, but excessive dropping can indicate overwatering or underwatering stress
- **Stretching and pale green color:** Not enough sunlight. Move to a brighter location
- **Shriveled, wrinkled leaves:** Underwatering. Give the plant a good drink
- **Brown spots on leaves:** Sunburn from sudden exposure to intense sun, or fungal issues from high humidity
- **Mealybugs:** White cottony pests on leaves and stems. Remove with cotton swab dipped in rubbing alcohol
- **Root rot:** Black, mushy roots caused by overwatering. May need to cut healthy parts and repot in fresh, dry soil</t>
        </is>
      </c>
      <c r="V118" s="98">
        <f>HYPERLINK("https://rosaryplanthouse.com/plant/"&amp;A118&amp;"-"&amp;SUBSTITUTE(LOWER(E118), " ", "-"))</f>
        <v/>
      </c>
      <c r="W118" t="inlineStr">
        <is>
          <t>🟢 Sedum rubrotinctum (ID: 117)  
🌱 Meet the Jelly Bean Plant – your new succulent obsession! With its adorable, plump leaves that resemble colorful jelly beans, this charming plant brings a sprinkle of joy to any space. 🌈  
🥰 Native to sunny Mexico, the Jelly Bean Plant thrives in bright sunlight and requires minimal care. Perfect for both seasoned gardeners and beginners, it’s the ideal addition to your indoor or outdoor collection!  
🌞 **Key Details:**  
- **Sunlight:** Direct sunlight for vibrant colors 🌞  
- **Watering:** Low; allow soil to dry out between waterings 💧  
- **Care:** Non-toxic and safe for kids and pets 🐾  
✨ Ready to brighten up your home with this delightful succulent? Don’t miss out – check out the link in bio!  
#JellyBeanPlant #SucculentLove #IndoorGardening #PlantParents #GreenThumb #RosaryPlantHouse #PlantAddict #HomeDecor #SucculentCare #PlantObsessed #NatureLovers #HappyPlants</t>
        </is>
      </c>
    </row>
    <row r="119" ht="99.5" customHeight="1">
      <c r="A119" s="73" t="n">
        <v>118</v>
      </c>
      <c r="B119" s="74" t="inlineStr">
        <is>
          <t>woolly lavender</t>
        </is>
      </c>
      <c r="C119" s="74">
        <f>IF(Local!H119,"1","0")</f>
        <v/>
      </c>
      <c r="D119" s="87" t="n">
        <v>100</v>
      </c>
      <c r="E119" s="66" t="inlineStr">
        <is>
          <t>Lavandula lanata</t>
        </is>
      </c>
      <c r="F119" s="76">
        <f>"public/sale_plants/"&amp;A119&amp;".jpg"</f>
        <v/>
      </c>
      <c r="G119" s="77" t="inlineStr">
        <is>
          <t>(2"-3")</t>
        </is>
      </c>
      <c r="H119" s="78" t="inlineStr">
        <is>
          <t>Moderate</t>
        </is>
      </c>
      <c r="I119" s="66" t="inlineStr">
        <is>
          <t>Low</t>
        </is>
      </c>
      <c r="J119" s="66" t="inlineStr">
        <is>
          <t>High</t>
        </is>
      </c>
      <c r="K119" s="79" t="n">
        <v>99</v>
      </c>
      <c r="L119" s="80" t="inlineStr">
        <is>
          <t>Succulent</t>
        </is>
      </c>
      <c r="M119" s="80" t="n">
        <v>0</v>
      </c>
      <c r="N119" s="80" t="n">
        <v>0</v>
      </c>
      <c r="O119" s="81" t="n">
        <v>0</v>
      </c>
      <c r="P119" s="80" t="n">
        <v>0</v>
      </c>
      <c r="Q119" s="81">
        <f>IF(Local!I119=TRUE,1,0)</f>
        <v/>
      </c>
      <c r="R119" s="81">
        <f>Local!D119</f>
        <v/>
      </c>
      <c r="S119" s="81">
        <f>Local!F119</f>
        <v/>
      </c>
      <c r="T119" s="81">
        <f>Local!G119</f>
        <v/>
      </c>
      <c r="U119" s="83" t="inlineStr">
        <is>
          <t>## About
Woolly Lavender is a beautiful and unique variety of lavender known for its soft, silvery-white fuzzy leaves that look like they are covered in wool. This Mediterranean herb is not only attractive but also produces fragrant purple flowers that attract butterflies and bees.
## Origin
Woolly Lavender is native to the mountains of southern Spain, particularly the Sierra Nevada region. It grows naturally in rocky, mountainous areas with excellent drainage and plenty of sunshine. This plant has adapted to survive in dry, harsh conditions with poor soil.
## Temperature &amp; Humidity
- **Temperature Range:** 15Â°C to 35Â°C (can tolerate brief periods down to 5Â°C)
- **Humidity:** Prefers low to moderate humidity (30% to 50%). This plant does not like high humidity and thrives in drier conditions, making it suitable for many parts of India with hot, dry climates.
## Growth
Woolly Lavender grows as a compact, bushy shrub that typically reaches 30 to 60 cm in height and spreads about 40 to 60 cm wide. It has a moderate growth rate and develops a rounded, mounding shape. The distinctive woolly, silver-grey foliage creates a soft, textured appearance year-round. The leaves are covered with dense, soft hairs that give them their characteristic fuzzy texture and help the plant conserve water in hot, dry conditions.
## Watering
- **Frequency:** Once every 10-14 days depending on season and weather conditions. Water less in monsoon and winter, slightly more in peak summer.
- **Tips:** Allow the soil to dry out completely between waterings. Woolly Lavender is very drought-tolerant once established and prefers to stay on the dry side. Overwatering is the most common cause of problems with this plant. Water at the base of the plant and avoid getting water on the fuzzy leaves, as they can trap moisture and lead to fungal issues. During monsoon, protect from excessive rain or ensure excellent drainage.
## Sunlight
- **Hours per day:** 6 to 8 hours minimum
- **Type:** Direct sunlight is essential. This plant absolutely needs full sun to thrive and will not do well in shade or with only indirect light.
## Care Tips
- Needs very well-draining soil; add plenty of sand, perlite, or gravel to prevent waterlogging
- Does best in areas with good air circulation to prevent fungal problems
- Protect from heavy monsoon rains by providing shelter or growing in covered areas
- Prune lightly after flowering to maintain shape and encourage bushier growth
- Avoid using heavy fertilizers as this plant prefers lean, poor soil conditions
- Best suited for hot, dry regions of India; may struggle in very humid coastal areas
- The woolly leaves should not be handled too much as the oils can affect the protective coating
## Growth Tips
- **Soil:** Use a very well-draining mix with sand, perlite, or pumice. A cactus/succulent mix works well
- **Fertilizer:** Feed sparingly, only once or twice during the growing season (spring and early summer) with a balanced, diluted fertilizer. Too much fertilizer reduces fragrance and can harm the plant
- **Repotting:** Repot every 2-3 years in spring if growing in containers. Choose pots with excellent drainage holes
- **Propagation:** Can be grown from cuttings taken in spring or early summer, or from seeds (though seeds are slow)
- **Mulching:** Use gravel or stone mulch around the base rather than organic mulch to prevent moisture retention
## Common Problems
- **Root rot:** Caused by overwatering or poor drainage. Leaves turn brown and plant wilts despite wet soil
- **Fungal diseases:** High humidity and water on leaves can cause fungal spots and mold. Ensure good air circulation
- **Leggy growth:** Insufficient sunlight causes the plant to stretch and lose its compact shape
- **Yellowing leaves:** Often a sign of too much water or poor drainage
- **Leaf drop:** Can occur due to sudden temperature changes or transplant shock
- **Poor flowering:** Usually caused by insufficient sunlight, too much fertilizer, or lack of pruning
- **Pest issues:** Generally pest-resistant, but may occasionally attract aphids or whiteflies in stressed conditions</t>
        </is>
      </c>
      <c r="V119" s="98">
        <f>HYPERLINK("https://rosaryplanthouse.com/plant/"&amp;A119&amp;"-"&amp;SUBSTITUTE(LOWER(E119), " ", "-"))</f>
        <v/>
      </c>
      <c r="W119" t="inlineStr">
        <is>
          <t>🟢 Woolly Lavender (ID: 118)
🌿✨ Embrace the enchanting charm of Woolly Lavender! This unique Mediterranean beauty is not just a feast for the eyes but also a magnet for butterflies and bees. 🌼🐝
With its soft, silvery-white fuzzy leaves that resemble wool, this compact shrub thrives in sunny, dry conditions, making it the perfect addition to your garden or balcony. Its stunning purple flowers will fill your space with delightful fragrance and natural allure. 🌞💜
**Key Details:**
- 🌱 **Watering:** Low; allow soil to dry out completely between waterings
- ☀️ **Sunlight:** Needs 6-8 hours of direct sunlight daily
- 🌬️ **Humidity:** Prefers low to moderate humidity; thrives in drier conditions
Ready to bring home this lovely addition? 🌟 Click the 'Link in bio' to learn more!
#WoollyLavender #LavandulaLanata #SucculentLove #PlantGoals #GardenInspiration #HomeGardening #PlantParenthood #NatureLovers #FloralBeauty #ButterflyGarden #RosaryPlantHouse</t>
        </is>
      </c>
    </row>
    <row r="120" ht="99.5" customHeight="1">
      <c r="A120" s="73" t="n">
        <v>119</v>
      </c>
      <c r="B120" s="74" t="inlineStr">
        <is>
          <t>African violet</t>
        </is>
      </c>
      <c r="C120" s="74">
        <f>IF(Local!H120,"1","0")</f>
        <v/>
      </c>
      <c r="D120" s="75" t="n">
        <v>89</v>
      </c>
      <c r="E120" s="66" t="inlineStr">
        <is>
          <t>Saintpaulia ionantha</t>
        </is>
      </c>
      <c r="F120" s="76">
        <f>"public/sale_plants/"&amp;A120&amp;".jpg"</f>
        <v/>
      </c>
      <c r="G120" s="77" t="inlineStr">
        <is>
          <t>(2"-3")</t>
        </is>
      </c>
      <c r="H120" s="78" t="inlineStr">
        <is>
          <t>High</t>
        </is>
      </c>
      <c r="I120" s="66" t="inlineStr">
        <is>
          <t>Medium</t>
        </is>
      </c>
      <c r="J120" s="66" t="inlineStr">
        <is>
          <t>Medium</t>
        </is>
      </c>
      <c r="K120" s="79" t="n">
        <v>149</v>
      </c>
      <c r="L120" s="80" t="inlineStr">
        <is>
          <t>Others</t>
        </is>
      </c>
      <c r="M120" s="80" t="n">
        <v>0</v>
      </c>
      <c r="N120" s="80" t="n">
        <v>0</v>
      </c>
      <c r="O120" s="81" t="n">
        <v>0</v>
      </c>
      <c r="P120" s="80" t="n">
        <v>0</v>
      </c>
      <c r="Q120" s="81">
        <f>IF(Local!I120=TRUE,1,0)</f>
        <v/>
      </c>
      <c r="R120" s="81">
        <f>Local!D120</f>
        <v/>
      </c>
      <c r="S120" s="81">
        <f>Local!F120</f>
        <v/>
      </c>
      <c r="T120" s="81">
        <f>Local!G120</f>
        <v/>
      </c>
      <c r="U120" s="83" t="inlineStr">
        <is>
          <t>## About
African Violet is a charming flowering houseplant loved for its beautiful flowers that come in shades of pink, purple, white, and blue. This compact plant with fuzzy leaves is one of the most popular indoor flowering plants worldwide and can bloom almost year-round with proper care.
## Origin
African Violets are native to the tropical rainforests of Tanzania and Kenya in East Africa. They naturally grow on rocks and in crevices under the shade of larger trees, which explains why they prefer indirect light and moderate humidity.
## Temperature &amp; Humidity
- **Temperature Range:** 18Â°C to 24Â°C (ideal room temperature)
- **Humidity:** 50% to 60% humidity is preferred. They appreciate moderate to high humidity but can adapt to normal indoor conditions. In dry Indian climates, especially during summers, placing the pot on a pebble tray with water can help increase humidity around the plant.
## Growth
African Violets are compact plants that typically grow 15-20 cm tall and wide. They form a rosette of fuzzy, rounded leaves with flower clusters rising from the center. Growth is moderate and the plant stays relatively small, making it perfect for windowsills, tables, and small spaces. They are not fast growers but with good care can produce flowers continuously throughout the year.
## Watering
- **Frequency:** About twice a week depending on season, humidity, and pot size. Check the soil before wateringâ€”water when the top layer feels slightly dry.
- **Tips:** Always water from the bottom or at the soil level. Avoid getting water on the fuzzy leaves as this can cause brown spots and rot. Use room temperature water, as cold water can shock the plant and cause leaf spots. Bottom watering by placing the pot in a tray of water for 15-20 minutes works very well. Ensure good drainage to prevent root rot.
## Sunlight
- **Hours per day:** 8 to 12 hours of bright light
- **Type:** Bright indirect light or filtered light. Never place in direct harsh sunlight as it can burn the delicate leaves. An east-facing window or a few feet away from a bright window is ideal. In Indian homes, they do well under bright artificial light too.
## Care Tips
- Keep away from direct afternoon sun, especially during harsh Indian summers
- Maintain consistent room temperature; avoid placing near air conditioners or heaters where temperature fluctuates
- Remove dead flowers and leaves regularly to encourage more blooming
- Clean dusty leaves gently with a soft, dry brushâ€”never wet the leaves
- Rotate the pot weekly for even growth on all sides
- During monsoon season, reduce watering frequency as humidity is naturally high
## Growth Tips
- Use well-draining, light potting mix specially made for African Violets, or mix regular potting soil with perlite and peat moss
- Feed with a balanced liquid fertilizer diluted to half strength every 2-3 weeks during growing season
- Use fertilizer with slightly higher phosphorus content to promote more blooms
- Repot once a year or when the plant becomes root-bound, preferably in spring
- Choose shallow pots as African Violets have shallow root systems
- Propagate easily from healthy leaf cuttings placed in water or soil
## Common Problems
- **Brown spots on leaves:** Usually caused by cold water touching the leaves or direct sunlight burning them
- **No flowers:** Insufficient light is the most common reason. Move to a brighter location with indirect light
- **Yellow leaves:** Often a sign of overwatering or poor drainage. Check roots for rot
- **Drooping leaves:** Can indicate underwatering or root problems from overwatering
- **Powdery mildew:** White powdery coating on leaves due to high humidity with poor air circulation
- **Mealy bugs and aphids:** Small white cottony pests or tiny insects on leaves and flowers. Treat with neem oil solution
- **Crown rot:** Center of plant turns brown and mushy due to water sitting in the crown or overwatering</t>
        </is>
      </c>
      <c r="V120" s="98">
        <f>HYPERLINK("https://rosaryplanthouse.com/plant/"&amp;A120&amp;"-"&amp;SUBSTITUTE(LOWER(E120), " ", "-"))</f>
        <v/>
      </c>
      <c r="W120" t="inlineStr">
        <is>
          <t>🟢 African Violet (ID: 119)  
🌸 Bring a burst of color into your home with the enchanting African Violet! 🌿 This lovely houseplant is adored for its stunning blooms in shades of pink, purple, white, and blue—perfect for brightening up any space.
✨ **About the Plant:**  
Originating from the lush tropical rainforests of Tanzania and Kenya, the African Violet thrives in moderate humidity and indirect light. With its compact size and fuzzy leaves, it's an ideal choice for windowsills and cozy nooks.
🌼 **Key Details:**  
- **Watering:** Medium - Water when topsoil is slightly dry  
- **Sunlight:** Medium - Prefers bright indirect light  
- **Temperature:** 18°C to 24°C is ideal  
- **Humidity:** 50-60% preferred  
🌱 Ready to add this charming plant to your collection? Check out the details! Link in bio.  
#AfricanViolet #Houseplant #IndoorPlants #PlantLovers #PlantParenthood #HomeDecor #GreenThumb #FloweringPlants #PlantCare #RosaryPlantHouse #PlantAddict #NatureLovers #TropicalPlants #PlantLife #BloomingBeauty</t>
        </is>
      </c>
    </row>
    <row r="121" ht="99.5" customHeight="1">
      <c r="A121" s="73" t="n">
        <v>120</v>
      </c>
      <c r="B121" s="74" t="inlineStr">
        <is>
          <t>Peperomia var green</t>
        </is>
      </c>
      <c r="C121" s="74">
        <f>IF(Local!H121,"1","0")</f>
        <v/>
      </c>
      <c r="D121" s="75" t="n">
        <v>69</v>
      </c>
      <c r="E121" s="66" t="inlineStr">
        <is>
          <t>Peperomia obtusifolia 'Variegata'</t>
        </is>
      </c>
      <c r="F121" s="76">
        <f>"public/sale_plants/"&amp;A121&amp;".jpg"</f>
        <v/>
      </c>
      <c r="G121" s="77" t="inlineStr">
        <is>
          <t>(2"-3")</t>
        </is>
      </c>
      <c r="H121" s="78" t="inlineStr">
        <is>
          <t>Low</t>
        </is>
      </c>
      <c r="I121" s="66" t="inlineStr">
        <is>
          <t>Low</t>
        </is>
      </c>
      <c r="J121" s="66" t="inlineStr">
        <is>
          <t>Medium</t>
        </is>
      </c>
      <c r="K121" s="79" t="n">
        <v>69</v>
      </c>
      <c r="L121" s="80" t="inlineStr">
        <is>
          <t>Peperomia</t>
        </is>
      </c>
      <c r="M121" s="80" t="n">
        <v>0</v>
      </c>
      <c r="N121" s="80" t="n">
        <v>0</v>
      </c>
      <c r="O121" s="81" t="n">
        <v>0</v>
      </c>
      <c r="P121" s="81" t="n">
        <v>1</v>
      </c>
      <c r="Q121" s="81">
        <f>IF(Local!I121=TRUE,1,0)</f>
        <v/>
      </c>
      <c r="R121" s="81">
        <f>Local!D121</f>
        <v/>
      </c>
      <c r="S121" s="81">
        <f>Local!F121</f>
        <v/>
      </c>
      <c r="T121" s="81">
        <f>Local!G121</f>
        <v/>
      </c>
      <c r="U121" s="83" t="inlineStr">
        <is>
          <t>## About
The Variegated Baby Rubber Plant is a beautiful indoor houseplant with thick, glossy leaves that feature stunning green and creamy-yellow variegation. This compact plant is perfect for beginners and adds a pop of color to any indoor space. It is easy to care for and can tolerate some neglect, making it ideal for busy plant lovers.
## Origin
This plant is native to Central and South America, particularly found in tropical regions of Mexico, Florida, and the Caribbean. In its natural habitat, it grows as an understory plant in humid forests, which explains its love for warm temperatures and moderate humidity.
## Temperature &amp; Humidity
- **Temperature Range:** 18Â°C to 27Â°C
- **Humidity:** This plant prefers humidity levels between 40% to 60%. It can adapt to average indoor humidity in most Indian homes, but will appreciate occasional misting during hot and dry months, especially in North Indian summers.
## Growth
The Variegated Baby Rubber Plant is a slow to moderate grower that typically reaches a height of 20 to 30 cm when grown indoors. It has an upright, bushy growth habit with thick, succulent-like leaves arranged alternately on short stems. The plant stays compact and neat, making it perfect for desks, shelves, and small spaces. The variegated leaves make each plant unique, with different patterns of green and cream coloring.
## Watering
- **Frequency:** Once a week depending on other parameters like season, temperature, and pot size. During monsoon and winter, reduce watering to once every 10-14 days.
- **Tips:** Water only when the top 2-3 cm of soil feels dry to touch. This plant has thick, fleshy leaves that store water, so it is more tolerant of underwatering than overwatering. Always water at the base of the plant and avoid wetting the leaves. Use pots with drainage holes to prevent water logging. In Indian summers, you may need to water slightly more frequently, while in winter and monsoon, reduce the frequency significantly.
## Sunlight
- **Hours per day:** 4 to 6 hours
- **Type:** Bright indirect light or filtered sunlight. This plant thrives best near east or north-facing windows where it receives gentle morning sunlight or bright ambient light throughout the day. Avoid harsh direct afternoon sun which can scorch the beautiful variegated leaves and cause brown patches.
## Care Tips
- Keep the plant away from direct hot afternoon sun, especially during Indian summers (April to June)
- Wipe the glossy leaves with a damp cloth once every two weeks to remove dust and keep them shiny
- Avoid placing near air conditioners or fans where cold drafts can stress the plant
- During winter months (December to February), reduce watering and avoid fertilizing
- The plant does well in Indian monsoon humidity but ensure good air circulation to prevent fungal issues
- Rotate the pot every few weeks so all sides get equal light exposure
- This plant is pet-friendly and non-toxic, making it safe for homes with cats and dogs
## Growth Tips
- Use well-draining potting mix made with equal parts cocopeat, perlite, and regular potting soil
- Add a handful of vermicompost or organic compost for nutrients
- Fertilize once a month during the growing season (March to October) with a balanced liquid fertilizer diluted to half strength
- Repot every 2 to 3 years or when the plant becomes root-bound, preferably during spring
- Propagate easily through stem cuttings placed in water or directly in moist soil
- Prune leggy stems to encourage bushier growth
- Use terracotta or clay pots which allow better air circulation to the roots
## Common Problems
- **Yellow leaves:** Usually caused by overwatering. Check if soil is too wet and reduce watering frequency
- **Brown leaf tips:** Indicates low humidity or over-fertilization. Mist the plant occasionally and reduce fertilizer dose
- **Dropping leaves:** Can happen due to sudden temperature changes, overwatering, or underwatering. Maintain consistent care
- **Leggy growth with faded variegation:** Sign of insufficient light. Move the plant to a brighter spot with more indirect sunlight
- **Mealybugs and spider mites:** These pests can appear in dry conditions. Wipe leaves with neem oil solution every 15 days as prevention
- **Root rot:** Caused by waterlogged soil and poor drainage. Always ensure pots have drainage holes and soil dries between waterings
- **Crispy, curled leaves:** Usually due to underwatering or very low humidity. Increase watering slightly and mist during dry months</t>
        </is>
      </c>
      <c r="V121" s="98">
        <f>HYPERLINK("https://rosaryplanthouse.com/plant/"&amp;A121&amp;"-"&amp;SUBSTITUTE(LOWER(E121), " ", "-"))</f>
        <v/>
      </c>
      <c r="W121" t="inlineStr">
        <is>
          <t>🟢 Peperomia obtusifolia 'Variegata' (ID: 120)
🌿 Bring vibrant life into your home with the stunning Peperomia obtusifolia 'Variegata'! This charming indoor plant features thick, glossy leaves adorned with a beautiful mix of green and creamy-yellow variegation, perfect for adding a splash of color to any nook. 
✨ Easy to care for and incredibly tolerant, this beauty is ideal for busy plant lovers and beginners alike! With its compact size and unique leaf patterns, it makes a fabulous addition to your desk, shelf, or small space.
🌱 **Key Details:**
- 🌞 Sunlight: Thrives in bright indirect light; perfect near east or north-facing windows.
- 💧 Watering: Low; water once a week and only when the top 2-3 cm of soil is dry.
- 🌡️ Humidity: Prefers moderate humidity (40%-60%); occasional misting will keep it happy!
👉 Ready to welcome this beauty into your home? Check out the link in bio for more!
#Peperomia #IndoorPlants #PlantLovers #HomeDecor #GreenThumb #Houseplants #PlantCare #VariegatedPlants #PlantParent #RosaryPlantHouse #IndoorGardening #NatureLovers #PlantCollection #Botanical #PlantAddict #HouseplantClub</t>
        </is>
      </c>
    </row>
    <row r="122" ht="99.5" customHeight="1">
      <c r="A122" s="73" t="n">
        <v>121</v>
      </c>
      <c r="B122" s="74" t="inlineStr">
        <is>
          <t>Pep thick green</t>
        </is>
      </c>
      <c r="C122" s="74">
        <f>IF(Local!H122,"1","0")</f>
        <v/>
      </c>
      <c r="D122" s="75" t="n">
        <v>59</v>
      </c>
      <c r="E122" s="66" t="inlineStr">
        <is>
          <t>Peperomia obtusifolia</t>
        </is>
      </c>
      <c r="F122" s="76">
        <f>"public/sale_plants/"&amp;A122&amp;".jpg"</f>
        <v/>
      </c>
      <c r="G122" s="77" t="inlineStr">
        <is>
          <t>(2"-3")</t>
        </is>
      </c>
      <c r="H122" s="78" t="inlineStr">
        <is>
          <t>Low</t>
        </is>
      </c>
      <c r="I122" s="66" t="inlineStr">
        <is>
          <t>Low</t>
        </is>
      </c>
      <c r="J122" s="66" t="inlineStr">
        <is>
          <t>Medium</t>
        </is>
      </c>
      <c r="K122" s="79" t="n">
        <v>99</v>
      </c>
      <c r="L122" s="80" t="inlineStr">
        <is>
          <t>Peperomia</t>
        </is>
      </c>
      <c r="M122" s="80" t="n">
        <v>0</v>
      </c>
      <c r="N122" s="80" t="n">
        <v>0</v>
      </c>
      <c r="O122" s="81" t="n">
        <v>0</v>
      </c>
      <c r="P122" s="80" t="n">
        <v>1</v>
      </c>
      <c r="Q122" s="81">
        <f>IF(Local!I122=TRUE,1,0)</f>
        <v/>
      </c>
      <c r="R122" s="81">
        <f>Local!D122</f>
        <v/>
      </c>
      <c r="S122" s="81">
        <f>Local!F122</f>
        <v/>
      </c>
      <c r="T122" s="81">
        <f>Local!G122</f>
        <v/>
      </c>
      <c r="U122" s="83" t="inlineStr">
        <is>
          <t>## About
The Baby Rubber Plant is a popular indoor plant known for its thick, glossy, green leaves that look like rubber. It is a compact and easy-to-care-for plant that is perfect for beginners and fits well in any home or office space.
## Origin
This plant originally comes from the tropical regions of Central America, South America, and the Caribbean. It naturally grows in warm, humid forests where it thrives under the canopy of larger trees.
## Temperature &amp; Humidity
- **Temperature Range:** 18Â°C to 30Â°C
- **Humidity:** This plant prefers moderate to high humidity levels, around 40% to 60%. It can tolerate normal household humidity but grows better when humidity is slightly higher, which is common in many parts of India during the monsoon season.
## Growth
The Baby Rubber Plant is a slow-growing, compact plant that typically reaches a height of 25 to 30 centimeters indoors. It has a bushy growth habit with thick stems and fleshy leaves. The plant grows upright and maintains a neat, rounded shape without much effort. It is ideal for small spaces like desks, shelves, or windowsills.
## Watering
- **Frequency:** Once a week depending on other parameters like season, temperature, and pot size. During monsoon or cooler months, you may need to water less frequently.
- **Tips:** Always check the top 2-3 cm of soil before watering. Water only when the soil feels dry to touch. Overwatering can cause root rot, so it is better to underwater than overwater. Make sure the pot has drainage holes to prevent water from collecting at the bottom.
## Sunlight
- **Hours per day:** 4 to 6 hours
- **Type:** Bright indirect light is best. The plant can tolerate low light conditions but may grow slower. Avoid direct harsh sunlight, especially during the hot Indian summer afternoons, as it can burn the leaves. A spot near a north or east-facing window works well.
## Care Tips
- Wipe the leaves gently with a damp cloth every few weeks to remove dust and keep them shiny.
- Rotate the pot every few weeks so all sides of the plant receive equal light.
- Avoid placing the plant near air conditioners or fans, as sudden temperature changes can stress it.
- The plant does well in Indian homes and adapts easily to indoor conditions.
- Keep it away from cold drafts during winter months in northern India.
## Growth Tips
- Use well-draining potting soil. A mix of regular potting soil with some perlite or cocopeat works well.
- Feed the plant with a balanced liquid fertilizer diluted to half strength once a month during the growing season (spring and summer).
- Repot the plant every 2 to 3 years or when it outgrows its pot. Choose a pot that is only slightly larger than the current one.
- Prune any yellow or damaged leaves to encourage healthy growth.
## Common Problems
- **Yellow leaves:** Usually caused by overwatering or poor drainage. Reduce watering frequency and ensure the pot has proper drainage.
- **Drooping leaves:** This can happen due to underwatering or too much direct sunlight. Adjust watering schedule and move the plant to a shadier spot.
- **Brown leaf tips:** Often a sign of low humidity or inconsistent watering. Try increasing humidity by misting the plant or placing it on a pebble tray with water.
- **Pests:** The plant is generally pest-resistant but can occasionally attract mealybugs or spider mites. Wipe leaves with neem oil solution if you notice pests.
- **Leggy growth:** Caused by insufficient light. Move the plant to a brighter location with indirect light.</t>
        </is>
      </c>
      <c r="V122" s="98">
        <f>HYPERLINK("https://rosaryplanthouse.com/plant/"&amp;A122&amp;"-"&amp;SUBSTITUTE(LOWER(E122), " ", "-"))</f>
        <v/>
      </c>
      <c r="W122" t="inlineStr">
        <is>
          <t>🟢 Peperomia obtusifolia (ID: 121)  
🌿 Bring a touch of lush elegance into your home with the Baby Rubber Plant! This charming indoor plant features thick, glossy leaves that add a vibrant pop of green to any space. Perfect for beginners, it thrives with minimal care!
✨ **About:** The Peperomia obtusifolia is a slow-growing beauty from the tropical regions of Central and South America. Its compact nature and bushy growth habit make it ideal for desks, shelves, or cozy window sills.  
🌱 **Key Details:**  
- **Watering:** Low; water once a week when the topsoil feels dry.  
- **Sunlight:** Prefers medium, bright indirect light for 4 to 6 hours daily.  
- **Humidity:** Thrives in moderate to high humidity (40% to 60%).  
👉 Ready to welcome this beauty into your home? Check the link in bio!  
#Peperomia #IndoorPlants #PlantLovers #HousePlants #GreenThumb #PlantParent #HomeDecor #PlantCare #TropicalPlants #RosaryPlantHouse #PlantAddict</t>
        </is>
      </c>
    </row>
    <row r="123" ht="99.5" customHeight="1">
      <c r="A123" s="73" t="n">
        <v>122</v>
      </c>
      <c r="B123" s="74" t="inlineStr">
        <is>
          <t>Pep thick green</t>
        </is>
      </c>
      <c r="C123" s="74">
        <f>IF(Local!H123,"1","0")</f>
        <v/>
      </c>
      <c r="D123" s="75" t="n">
        <v>59</v>
      </c>
      <c r="E123" s="66" t="inlineStr">
        <is>
          <t>Peperomia obtusifolia</t>
        </is>
      </c>
      <c r="F123" s="76">
        <f>"public/sale_plants/"&amp;A123&amp;".jpg"</f>
        <v/>
      </c>
      <c r="G123" s="77" t="inlineStr">
        <is>
          <t>(2"-3")</t>
        </is>
      </c>
      <c r="H123" s="78" t="inlineStr">
        <is>
          <t>Low</t>
        </is>
      </c>
      <c r="I123" s="66" t="inlineStr">
        <is>
          <t>Low</t>
        </is>
      </c>
      <c r="J123" s="66" t="inlineStr">
        <is>
          <t>Medium</t>
        </is>
      </c>
      <c r="K123" s="79" t="n">
        <v>99</v>
      </c>
      <c r="L123" s="80" t="inlineStr">
        <is>
          <t>Peperomia</t>
        </is>
      </c>
      <c r="M123" s="80" t="n">
        <v>0</v>
      </c>
      <c r="N123" s="80" t="n">
        <v>0</v>
      </c>
      <c r="O123" s="81" t="n">
        <v>0</v>
      </c>
      <c r="P123" s="80" t="n">
        <v>1</v>
      </c>
      <c r="Q123" s="81">
        <f>IF(Local!I123=TRUE,1,0)</f>
        <v/>
      </c>
      <c r="R123" s="81">
        <f>Local!D123</f>
        <v/>
      </c>
      <c r="S123" s="81">
        <f>Local!F123</f>
        <v/>
      </c>
      <c r="T123" s="81">
        <f>Local!G123</f>
        <v/>
      </c>
      <c r="U123" s="83" t="inlineStr">
        <is>
          <t>## About
Peperomia obtusifolia, commonly known as Baby Rubber Plant, is a popular indoor plant loved for its thick, glossy, spoon-shaped leaves. This compact plant is perfect for beginners and small spaces. Despite its name, it is not related to the rubber tree but gets its nickname from its rubbery, shiny leaves.
## Origin
This plant is native to Central America, South America, and the Caribbean regions. It naturally grows as an understory plant in tropical forests where it receives filtered light through the tree canopy. It thrives in warm, humid environments similar to the tropical and subtropical regions of India.
## Temperature &amp; Humidity
- **Temperature Range:** 18Â°C to 30Â°C
- **Humidity:** Prefers moderate to high humidity levels between 40% to 60%. The plant can tolerate normal household humidity but grows better with slightly higher moisture in the air, making it ideal for Indian coastal regions and monsoon climates.
## Growth
Peperomia obtusifolia is a slow-growing, compact plant that typically reaches 15 to 30 centimeters in height and spread. It has an upright, bushy growth habit with thick, fleshy stems. The leaves are thick, waxy, and can range from deep green to variegated patterns with cream or yellow edges. This plant stays small and neat, making it perfect for desks, shelves, and tabletops.
## Watering
- **Frequency:** Once a week depending on season and weather conditions. During monsoon and winter, reduce to once every 10-14 days.
- **Tips:** Allow the top 2-3 centimeters of soil to dry out completely before watering again. The thick leaves store water, so the plant is quite drought-tolerant. Overwatering is the biggest mistake with this plant. Always check soil moisture before watering. Use room-temperature water and avoid wetting the leaves to prevent fungal issues.
## Sunlight
- **Hours per day:** 4 to 6 hours
- **Type:** Bright indirect or filtered light. This plant does best near an east or north-facing window in Indian homes. Avoid harsh direct afternoon sunlight, especially during summer months, as it can scorch the leaves. Can also tolerate low light conditions but growth will be slower.
## Care Tips
- Keep away from cold drafts and air conditioning vents as sudden temperature changes can stress the plant
- Wipe the glossy leaves with a damp cloth once every two weeks to remove dust and keep them shiny
- During hot Indian summers (April-June), increase humidity by misting occasionally or placing a water tray nearby
- Rotate the pot every few weeks to ensure even growth on all sides
- This plant is pet-friendly and non-toxic, making it safe for homes with cats and dogs
- Monsoon season requires extra careâ€”reduce watering frequency as soil stays moist longer
## Growth Tips
- Use well-draining potting mix with perlite, cocopeat, and regular potting soil in equal parts
- Repot only when the plant becomes root-bound, usually once every 2-3 years
- Use a pot only slightly larger than the current one, as Peperomia prefers being slightly root-bound
- Feed with a balanced liquid fertilizer diluted to half strength once a month during the growing season (March to October)
- Avoid fertilizing during winter months (November to February)
- Pruning is minimalâ€”just remove any dead or yellowing leaves to maintain appearance
- Propagation is easy through stem or leaf cuttings placed in water or soil
## Common Problems
- **Yellow leaves:** Usually caused by overwatering. Let soil dry out more between waterings
- **Drooping or wrinkled leaves:** Sign of underwatering. The fleshy leaves will lose their firmness when thirsty
- **Brown leaf tips:** Low humidity or inconsistent watering schedule
- **Leaf drop:** Sudden temperature changes, cold drafts, or root rot from overwatering
- **Pale or faded leaves:** Too much direct sunlight. Move to a location with filtered light
- **Mealybugs and spider mites:** Check undersides of leaves regularly. Wipe with neem oil solution if pests appear
- **Root rot:** Caused by waterlogged soil or poor drainage. Always use pots with drainage holes
- **Slow growth:** Normal for this plant, but can also indicate insufficient light or nutrients</t>
        </is>
      </c>
      <c r="V123" s="98">
        <f>HYPERLINK("https://rosaryplanthouse.com/plant/"&amp;A123&amp;"-"&amp;SUBSTITUTE(LOWER(E123), " ", "-"))</f>
        <v/>
      </c>
      <c r="W123" t="inlineStr">
        <is>
          <t>🟢 Peperomia obtusifolia (ID: 122)
🌱 Meet your new favorite indoor companion: the Baby Rubber Plant! This little gem is perfect for plant enthusiasts and beginners alike, bringing a touch of lush greenery to any small space. 
✨ **About**: With its thick, glossy, spoon-shaped leaves, the Peperomia obtusifolia is not only visually appealing but also super easy to care for. This slow-growing beauty thrives in medium light and adds a vibrant pop to desks, shelves, and tabletops. 
🌿 **Key Details**: 
- **Watering**: Low maintenance, just once a week!
- **Sunlight**: Prefers 4-6 hours of bright, indirect light. 
- **Humidity**: Loves a cozy, humid environment but can adapt to normal household conditions. 
👉 Ready to bring home this stylish plant? Check the link in bio! 
#Peperomia #IndoorPlants #PlantLovers #HousePlants #PlantParent #GreenThumb #HomeDecor #IndoorGarden #RosaryPlantHouse #PlantCare #BabyRubberPlant #PlantsofInstagram #HyggeHome #NatureLovers #EcoFriendly</t>
        </is>
      </c>
    </row>
    <row r="124" ht="99.5" customHeight="1">
      <c r="A124" s="73" t="n">
        <v>123</v>
      </c>
      <c r="B124" s="74" t="inlineStr">
        <is>
          <t>Pep thick var white</t>
        </is>
      </c>
      <c r="C124" s="74">
        <f>IF(Local!H124,"1","0")</f>
        <v/>
      </c>
      <c r="D124" s="75" t="n">
        <v>79</v>
      </c>
      <c r="E124" s="66" t="inlineStr">
        <is>
          <t>Peperomia obtusifolia 'Variegata'</t>
        </is>
      </c>
      <c r="F124" s="76">
        <f>"public/sale_plants/"&amp;A124&amp;".jpg"</f>
        <v/>
      </c>
      <c r="G124" s="77" t="inlineStr">
        <is>
          <t>(2"-3")</t>
        </is>
      </c>
      <c r="H124" s="78" t="inlineStr">
        <is>
          <t>Low</t>
        </is>
      </c>
      <c r="I124" s="66" t="inlineStr">
        <is>
          <t>Low</t>
        </is>
      </c>
      <c r="J124" s="66" t="inlineStr">
        <is>
          <t>Medium</t>
        </is>
      </c>
      <c r="K124" s="79" t="n">
        <v>99</v>
      </c>
      <c r="L124" s="80" t="inlineStr">
        <is>
          <t>Peperomia</t>
        </is>
      </c>
      <c r="M124" s="80" t="n">
        <v>0</v>
      </c>
      <c r="N124" s="80" t="n">
        <v>0</v>
      </c>
      <c r="O124" s="81" t="n">
        <v>0</v>
      </c>
      <c r="P124" s="81" t="n">
        <v>1</v>
      </c>
      <c r="Q124" s="81">
        <f>IF(Local!I124=TRUE,1,0)</f>
        <v/>
      </c>
      <c r="R124" s="81">
        <f>Local!D124</f>
        <v/>
      </c>
      <c r="S124" s="81">
        <f>Local!F124</f>
        <v/>
      </c>
      <c r="T124" s="81">
        <f>Local!G124</f>
        <v/>
      </c>
      <c r="U124" s="83" t="inlineStr">
        <is>
          <t>## About
The Variegated Baby Rubber Plant is a stunning ornamental houseplant known for its thick, glossy leaves with beautiful cream, green, and pink-red edges. This compact plant is perfect for indoor spaces and adds a pop of color to any corner of your home. It is easy to care for and ideal for beginners.
## Origin
This plant is native to Central and South America, particularly regions of Mexico, Florida, and the Caribbean. It naturally grows in tropical and subtropical forests where it thrives under the canopy of larger trees in warm, humid conditions.
## Temperature &amp; Humidity
- **Temperature Range:** 18Â°C to 30Â°C (ideal for most Indian homes)
- **Humidity:** Prefers moderate to high humidity levels between 40% to 60%. However, it can adapt to normal household humidity. In dry seasons, occasional misting can help maintain leaf health and vibrant colors.
## Growth
This is a slow to moderate-growing plant that typically reaches a height of 15 to 25 cm indoors. It has a compact, bushy growth habit with thick, fleshy leaves that grow in a rosette pattern. The plant stays relatively small, making it perfect for tabletops, shelves, and small plant stands. The variegated leaves display cream or white centers with green margins and beautiful pink to red edges, especially when exposed to bright light.
## Watering
- **Frequency:** Once a week depending on season and weather conditions. In winter or monsoon, reduce frequency to once every 10-14 days.
- **Tips:** Water only when the top 2-3 cm of soil feels dry to touch. This plant has thick, succulent-like leaves that store water, so it is more tolerant of underwatering than overwatering. Always ensure the pot has drainage holes. Avoid letting the plant sit in water as this can cause root rot. Use room-temperature water for best results.
## Sunlight
- **Hours per day:** 3 to 5 hours
- **Type:** Bright indirect or filtered light. Avoid harsh direct afternoon sun, which can scorch the delicate variegated leaves. A spot near an east or north-facing window is ideal. Can tolerate low light but variegation may fade, and growth will slow down.
## Care Tips
- Keep the plant in a bright spot indoors to maintain vibrant pink and cream variegation.
- Wipe leaves gently with a damp cloth every few weeks to remove dust and enhance photosynthesis.
- Protect from cold drafts and sudden temperature changes, especially during winter months.
- In Indian summers, ensure the plant is not exposed to direct harsh sun between 11 AM to 4 PM.
- Mist the plant occasionally during hot, dry months (April-June) to maintain humidity.
- Avoid overwatering during monsoon season as humidity is already high.
## Growth Tips
- **Soil:** Use a well-draining potting mix. A combination of regular potting soil, cocopeat, and perlite (or sand) in equal parts works well.
- **Fertilizer:** Feed once a month during the growing season (spring and summer) with a balanced liquid fertilizer diluted to half strength. Reduce feeding during monsoon and stop in winter.
- **Repotting:** Repot every 1.5 to 2 years or when the plant becomes root-bound. Choose a pot only slightly larger than the current one. Spring is the best time to repot.
- **Propagation:** Easily propagated through stem or leaf cuttings placed in water or moist soil.
## Common Problems
- **Yellowing leaves:** Usually caused by overwatering. Check the soil moisture and reduce watering frequency.
- **Drooping or wilting leaves:** Sign of underwatering or root rot. Check the roots and adjust watering accordingly.
- **Fading variegation:** Insufficient light. Move the plant to a brighter location with indirect sunlight.
- **Brown leaf edges:** Low humidity or over-fertilization. Increase humidity and flush the soil if too much fertilizer was used.
- **Pests:** Occasionally affected by mealybugs or spider mites. Wipe leaves with neem oil solution to prevent and treat infestations.
- **Leggy growth:** Not enough light. Provide brighter indirect light and prune to encourage bushier growth.</t>
        </is>
      </c>
      <c r="V124" s="98">
        <f>HYPERLINK("https://rosaryplanthouse.com/plant/"&amp;A124&amp;"-"&amp;SUBSTITUTE(LOWER(E124), " ", "-"))</f>
        <v/>
      </c>
      <c r="W124" t="inlineStr">
        <is>
          <t>🟢 Peperomia obtusifolia 'Variegata' (ID: 123)
🌿 Elevate your indoor garden with the stunning Variegated Baby Rubber Plant! 🪴✨
This eye-catching beauty features thick, glossy leaves adorned with cream, green, and pink-red edges, perfect for adding a splash of color to any cozy corner of your home. Ideal for plant beginners, this compact gem thrives with minimal care, making it a must-have for your indoor oasis.
🌱 **Key Details:**
- **Light:** 3-5 hours of bright indirect light ☀️
- **Watering:** Low maintenance - water when the topsoil is dry 💧
- **Humidity:** Adapts well but loves moderate to high humidity levels 🌬️
Ready to bring this beauty home? 🌈💚 Check out the link in bio!
#Peperomia #IndoorPlants #HouseplantClub #PlantParent #GreenThumb #HomeDecor #PlantLovers #VariegatedPlants #RosaryPlantHouse #PlantAddict</t>
        </is>
      </c>
    </row>
    <row r="125" ht="99.5" customHeight="1">
      <c r="A125" s="73" t="n">
        <v>124</v>
      </c>
      <c r="B125" s="74" t="inlineStr">
        <is>
          <t>Portulaka variegated</t>
        </is>
      </c>
      <c r="C125" s="74">
        <f>IF(Local!H125,"1","0")</f>
        <v/>
      </c>
      <c r="D125" s="75" t="n">
        <v>49</v>
      </c>
      <c r="E125" s="66" t="inlineStr">
        <is>
          <t>Portulacaria afra 'Variegata'</t>
        </is>
      </c>
      <c r="F125" s="76">
        <f>"public/sale_plants/"&amp;A125&amp;".jpg"</f>
        <v/>
      </c>
      <c r="G125" s="77" t="inlineStr">
        <is>
          <t>(2"-3")</t>
        </is>
      </c>
      <c r="H125" s="78" t="inlineStr">
        <is>
          <t>Moderate</t>
        </is>
      </c>
      <c r="I125" s="66" t="inlineStr">
        <is>
          <t>Low</t>
        </is>
      </c>
      <c r="J125" s="66" t="inlineStr">
        <is>
          <t>Medium</t>
        </is>
      </c>
      <c r="K125" s="79" t="n">
        <v>59</v>
      </c>
      <c r="L125" s="80" t="inlineStr">
        <is>
          <t>Others</t>
        </is>
      </c>
      <c r="M125" s="80" t="n">
        <v>0</v>
      </c>
      <c r="N125" s="80" t="n">
        <v>0</v>
      </c>
      <c r="O125" s="81" t="n">
        <v>0</v>
      </c>
      <c r="P125" s="80" t="n">
        <v>0</v>
      </c>
      <c r="Q125" s="81">
        <f>IF(Local!I125=TRUE,1,0)</f>
        <v/>
      </c>
      <c r="R125" s="81">
        <f>Local!D125</f>
        <v/>
      </c>
      <c r="S125" s="81">
        <f>Local!F125</f>
        <v/>
      </c>
      <c r="T125" s="81">
        <f>Local!G125</f>
        <v/>
      </c>
      <c r="U125" s="83" t="inlineStr">
        <is>
          <t>## About
Rainbow Bush, also known as Variegated Elephant Bush, is a beautiful succulent plant with stunning pink and cream colored leaves edged in bright magenta-pink. This colorful variety of the common Elephant Bush is native to South Africa and makes an excellent ornamental plant for both indoor and outdoor settings in India.
## Origin
This plant originates from the dry regions of South Africa, particularly the Eastern Cape Province. It grows naturally in rocky hillsides and arid areas where it has adapted to survive in harsh, drought-prone conditions. The variegated form is a cultivated variety that has been specially selected for its attractive colorful foliage.
## Temperature &amp; Humidity
- **Temperature Range:** 15Â°C to 35Â°C
- **Humidity:** This plant tolerates low humidity very well and thrives in typical Indian conditions with humidity levels between 30% to 50%. It can handle the dry conditions of most Indian homes and gardens without any problems.
## Growth
Rainbow Bush is a compact, bushy succulent that grows upright with thick, fleshy stems. It typically reaches a height of 30 to 60 cm when grown in pots, though it can grow larger if planted in the ground. The plant has a moderate growth rate and develops a dense, rounded shape naturally. The stems are reddish-brown and the small, round leaves grow in pairs along the stems. The stunning pink and cream variegation makes this plant highly decorative throughout the year.
## Watering
- **Frequency:** Once every 10-14 days depending on season and weather conditions. During Indian summer (March to June), you may need to water once a week depending on other parameters. In monsoon season (July to September), reduce watering to once every 2-3 weeks or even less depending on rainfall. In winter, water only once every 2-3 weeks depending on other parameters.
- **Tips:** Always check if the soil is completely dry before watering. Water thoroughly until water drains from the bottom holes, then let the soil dry out completely. Avoid keeping the soil moist as this can cause root rot. Reduce watering during monsoon and winter seasons. This plant stores water in its leaves and stems, so it can survive periods of drought.
## Sunlight
- **Hours per day:** 4 to 6 hours
- **Type:** Bright indirect light to partial direct sunlight. Morning sun is ideal. The pink coloration becomes more vibrant with adequate light. Too much harsh afternoon sun can cause leaf burn, especially in hot Indian summers.
## Care Tips
- Place in a location with bright morning sunlight for best color development
- Protect from intense afternoon sun during peak summer months (April-May)
- The plant can handle the Indian summer heat well if given adequate light shade during hottest hours
- During monsoon season, keep the plant in a covered area to prevent overwatering from rain
- In winter, reduce watering significantly as the plant goes semi-dormant
- Use a well-draining pot with multiple drainage holes
- Wipe leaves occasionally with a soft cloth to remove dust and keep them shiny
- The plant is easy to propagate from stem cuttings
## Growth Tips
- Use a cactus and succulent potting mix or make your own with regular soil mixed with 50% sand and perlite for excellent drainage
- Add a layer of gravel or small stones at the bottom of the pot for better drainage
- Fertilize sparingly - once every 2-3 months during the growing season (March to October) with a diluted balanced liquid fertilizer or succulent fertilizer
- Repot every 2-3 years in spring when the plant outgrows its pot
- Prune to maintain shape and encourage bushier growth
- The cuttings from pruning can be easily rooted to grow new plants
- A slightly root-bound plant often shows better color
## Common Problems
- **Leaf drop:** Usually caused by overwatering or sudden temperature changes. Ensure soil dries completely between waterings
- **Loss of pink color:** Insufficient light. Move to a brighter location
- **Leggy growth:** Not enough sunlight. The stems stretch toward light. Increase light exposure and prune back
- **Soft, mushy stems:** Root rot from overwatering. Reduce watering immediately and check for drainage issues
- **Brown, crispy leaves:** Too much direct harsh sunlight or underwatering. Provide some shade and adjust watering
- **Mealybugs:** White cottony pests in leaf joints. Wipe with alcohol-soaked cotton or spray with neem oil solution
- **Wrinkled leaves:** Underwatering. Water the plant thoroughly when soil is completely dry</t>
        </is>
      </c>
      <c r="V125" s="98">
        <f>HYPERLINK("https://rosaryplanthouse.com/plant/"&amp;A125&amp;"-"&amp;SUBSTITUTE(LOWER(E125), " ", "-"))</f>
        <v/>
      </c>
      <c r="W125" t="inlineStr">
        <is>
          <t>🟢 Portulacaria afra 'Variegata' (ID: 124)
🌈 Meet the stunning Rainbow Bush! With its vibrant pink and cream leaves edged in bright magenta, this succulent is a true showstopper for your indoor or outdoor garden. 
✨ Native to the dry regions of South Africa, the Portulacaria afra 'Variegata' thrives in arid conditions, making it a perfect addition for plant lovers in India! Its compact, bushy growth and moderate watering needs make it an easy-going companion for both novice and experienced gardeners.
🌞 **Key Details:**
- Watering: Low maintenance, water every 10-14 days
- Sunlight: Enjoys bright indirect light to partial direct sunlight
- Humidity: Thrives in typical Indian humidity levels
🌿 Ready to add a splash of color to your plant collection? 🌱 Check out the link in bio!
#PortulacariaAfra #RainbowBush #SucculentLove #PlantParents #IndoorPlants #GardeningJoy #PlantGoals #Houseplants #GreenThumb #RosaryPlantHouse #SucculentCare #PlantAddict #HomeDecor #NatureLovers</t>
        </is>
      </c>
    </row>
    <row r="126" ht="99.5" customHeight="1">
      <c r="A126" s="73" t="n">
        <v>125</v>
      </c>
      <c r="B126" s="74" t="inlineStr">
        <is>
          <t>Turtle wine</t>
        </is>
      </c>
      <c r="C126" s="74">
        <f>IF(Local!H126,"1","0")</f>
        <v/>
      </c>
      <c r="D126" s="75" t="n">
        <v>49</v>
      </c>
      <c r="E126" s="66" t="inlineStr">
        <is>
          <t>Peperomia prostrata</t>
        </is>
      </c>
      <c r="F126" s="76">
        <f>"public/sale_plants/"&amp;A126&amp;".jpg"</f>
        <v/>
      </c>
      <c r="G126" s="77" t="inlineStr">
        <is>
          <t>(2"-3")</t>
        </is>
      </c>
      <c r="H126" s="78" t="inlineStr">
        <is>
          <t>Moderate</t>
        </is>
      </c>
      <c r="I126" s="66" t="inlineStr">
        <is>
          <t>Low</t>
        </is>
      </c>
      <c r="J126" s="66" t="inlineStr">
        <is>
          <t>Medium</t>
        </is>
      </c>
      <c r="K126" s="79" t="n">
        <v>59</v>
      </c>
      <c r="L126" s="80" t="inlineStr">
        <is>
          <t>Sedum</t>
        </is>
      </c>
      <c r="M126" s="80" t="n">
        <v>0</v>
      </c>
      <c r="N126" s="80" t="n">
        <v>1</v>
      </c>
      <c r="O126" s="81" t="n">
        <v>0</v>
      </c>
      <c r="P126" s="80" t="n">
        <v>0</v>
      </c>
      <c r="Q126" s="81">
        <f>IF(Local!I126=TRUE,1,0)</f>
        <v/>
      </c>
      <c r="R126" s="81">
        <f>Local!D126</f>
        <v/>
      </c>
      <c r="S126" s="81">
        <f>Local!F126</f>
        <v/>
      </c>
      <c r="T126" s="81">
        <f>Local!G126</f>
        <v/>
      </c>
      <c r="U126" s="83" t="inlineStr">
        <is>
          <t>## About
Turtle Vine is a beautiful trailing succulent plant with small, round leaves that look like tiny turtle shells. This charming plant is popular for hanging baskets and makes a wonderful addition to any indoor plant collection with its unique pattern and compact growth.
## Origin
Turtle Vine is native to the tropical rainforests of South America, particularly Brazil. It grows naturally as a ground cover or trailing plant on the forest floor where it receives filtered light through the tree canopy.
## Temperature &amp; Humidity
- **Temperature Range:** 18Â°C to 26Â°C
- **Humidity:** Prefers moderate to high humidity levels between 50% to 70%. Being a tropical plant, it appreciates the humid conditions common in many parts of India, especially during monsoon season.
## Growth
Turtle Vine is a slow to moderate growing trailing plant that stays compact. The stems can grow up to 30-40 cm long with tiny leaves that are only about 1 cm in diameter. Each leaf has beautiful silvery-green markings that resemble a turtle shell pattern. The plant grows in a cascading manner, making it perfect for hanging baskets or as a table-top plant where the vines can drape over the edges.
## Watering
- **Frequency:** Once every 10-14 days depending on season and weather conditions. Water less in winter and during monsoon.
- **Tips:** This plant is semi-succulent, so it stores water in its leaves. Always check if the top soil is completely dry before watering. Water thoroughly but ensure good drainage. In Indian summers, you may need to water slightly more often, but never let the plant sit in water. Reduce watering during monsoon and winter months.
## Sunlight
- **Hours per day:** 2 to 4 hours
- **Type:** Bright indirect light or filtered sunlight. Avoid direct harsh sunlight which can burn the delicate leaves. Morning sun for 1-2 hours is acceptable.
## Care Tips
- Keep away from direct afternoon sun, especially during Indian summers (April-June) as it can scorch the leaves
- Ideal for air-conditioned rooms or shaded balconies
- Perfect for bathroom shelves where humidity is naturally higher
- Rotate the plant occasionally for even growth on all sides
- Mist the leaves once or twice a week during dry summer months to maintain humidity
- Wipe dust from leaves gently with a damp cloth to keep them healthy
- Works well in terrariums due to its small size and humidity preference
## Growth Tips
- Use well-draining soil mix: combine regular potting soil with perlite or cocopeat in 1:1 ratio
- Add some orchid bark or sand to improve drainage
- Fertilize once a month during growing season (spring and summer) with diluted liquid fertilizer at half strength
- Repot every 2-3 years or when roots become pot-bound, preferably in spring
- Use shallow pots as the root system is not very deep
- Propagate easily through stem cuttings in water or directly in soil
- Pinch growing tips to encourage bushier growth
## Common Problems
- **Yellow leaves:** Usually caused by overwatering or poor drainage. Let soil dry out completely between waterings
- **Brown, crispy leaves:** Result of too much direct sunlight or very low humidity. Move to a shadier spot
- **Dropping leaves:** Can happen due to sudden temperature changes or overwatering
- **Leggy growth:** Indicates insufficient light. Move to a brighter location with indirect light
- **Root rot:** Caused by waterlogged soil. Always ensure pot has drainage holes
- **Pests:** Generally pest-resistant, but occasionally mealybugs or spider mites may appear. Wipe with neem oil solution
- **Slow growth:** Normal for this plant, but can also indicate need for fertilizer during growing season</t>
        </is>
      </c>
      <c r="V126" s="98">
        <f>HYPERLINK("https://rosaryplanthouse.com/plant/"&amp;A126&amp;"-"&amp;SUBSTITUTE(LOWER(E126), " ", "-"))</f>
        <v/>
      </c>
      <c r="W126" t="inlineStr">
        <is>
          <t>🟢 Peperomia Prostrata (ID: 125)
🌿 Looking to add a touch of the tropics to your space? Meet the enchanting Turtle Vine! This stunning trailing succulent features small, round leaves that resemble tiny turtle shells, making it a perfect choice for hanging baskets or as a table centerpiece. 
✨ **About Turtle Vine:** Native to the lush rainforests of South America, this charming plant thrives in moderate to high humidity and bright, indirect light. With its cascading growth and unique silvery-green markings, Turtle Vine is bound to be a conversation starter in your home!
🌱 **Key Details:**
- **Watering:** Low frequency (every 10-14 days)
- **Sunlight:** 2-4 hours of bright, filtered light
- **Care:** Ideal for humid environments; perfect for bathrooms or shaded balconies 
🌟 Ready to bring home this tropical beauty? Tap the **Link in bio** to shop now!
#TurtleVine #PeperomiaProstrata #PlantLovers #IndoorPlants #SucculentLove #HangingPlants #GreenThumb #HomeDecor #PlantMom #PlantDad #BotanicalBeauty #RosaryPlantHouse #Houseplants #PlantAddict #PlantCommunity #TropicalPlants</t>
        </is>
      </c>
    </row>
    <row r="127" ht="99.5" customHeight="1">
      <c r="A127" s="73" t="n">
        <v>126</v>
      </c>
      <c r="B127" s="74" t="inlineStr">
        <is>
          <t>Snake Draft Verigated</t>
        </is>
      </c>
      <c r="C127" s="74">
        <f>IF(Local!H127,"1","0")</f>
        <v/>
      </c>
      <c r="D127" s="75" t="n">
        <v>79</v>
      </c>
      <c r="E127" s="66" t="inlineStr">
        <is>
          <t>Sansevieria trifasciata 'Golden Hahnii'</t>
        </is>
      </c>
      <c r="F127" s="76">
        <f>"public/sale_plants/"&amp;A127&amp;".jpg"</f>
        <v/>
      </c>
      <c r="G127" s="77" t="inlineStr">
        <is>
          <t>(2"-3")</t>
        </is>
      </c>
      <c r="H127" s="78" t="inlineStr">
        <is>
          <t>Low</t>
        </is>
      </c>
      <c r="I127" s="66" t="inlineStr">
        <is>
          <t>Low</t>
        </is>
      </c>
      <c r="J127" s="66" t="inlineStr">
        <is>
          <t>Medium</t>
        </is>
      </c>
      <c r="K127" s="79" t="n">
        <v>99</v>
      </c>
      <c r="L127" s="80" t="inlineStr">
        <is>
          <t>Sansevieria</t>
        </is>
      </c>
      <c r="M127" s="80" t="n">
        <v>0</v>
      </c>
      <c r="N127" s="80" t="n">
        <v>0</v>
      </c>
      <c r="O127" s="81" t="n">
        <v>0</v>
      </c>
      <c r="P127" s="81" t="n">
        <v>1</v>
      </c>
      <c r="Q127" s="81" t="n">
        <v>1</v>
      </c>
      <c r="R127" s="81">
        <f>Local!D127</f>
        <v/>
      </c>
      <c r="S127" s="81">
        <f>Local!F127</f>
        <v/>
      </c>
      <c r="T127" s="81">
        <f>Local!G127</f>
        <v/>
      </c>
      <c r="U127" s="83" t="inlineStr">
        <is>
          <t>## About
This is a beautiful variegated variety of the popular Snake Plant, featuring stunning yellow and green striped leaves arranged in a compact rosette pattern. This hardy plant is one of the best choices for beginners and busy plant lovers because it requires very little care and can survive in almost any indoor condition.
## Origin
The Snake Plant originally comes from the tropical regions of West Africa, particularly Nigeria and the Congo. This variegated cultivar has been specially bred for its attractive golden-yellow margins and compact growth habit. It naturally grows in dry, rocky conditions which makes it extremely drought-tolerant.
## Temperature &amp; Humidity
- **Temperature Range:** 15Â°C to 35Â°C
- **Humidity:** Very adaptable, thrives in low to moderate humidity (30% to 50%). Perfect for dry Indian climates and air-conditioned rooms. Does not require misting or humidity trays.
## Growth
This is a dwarf variety that grows in a compact rosette shape, reaching only 15 to 20 cm in height and width. It grows very slowly, which makes it perfect for small spaces like desks, shelves, and windowsills. The plant stays compact and does not spread aggressively. New leaves emerge from the center of the rosette, maintaining its neat star-like appearance.
## Watering
- **Frequency:** Once every two to three weeks depending on season and weather conditions. Water even less in monsoon and winter months.
- **Tips:** Always let the soil dry out completely between waterings. Check the soil by inserting your finger 2-3 cm deep â€“ if it feels dry, you can water. During summer, you may need to water once every 10-14 days, while in winter once a month is enough. Always water at the base, avoiding the center of the rosette to prevent rot. This plant prefers to stay dry rather than wet.
## Sunlight
- **Hours per day:** 2 to 4 hours
- **Type:** Bright indirect light is ideal. Can tolerate direct morning sunlight for 1-2 hours, but avoid harsh afternoon sun which can scorch the yellow variegation. Also survives well in low light conditions, though the variegation may fade slightly. Fluorescent indoor lighting is sufficient.
## Care Tips
- Perfect for air-conditioned offices and bedrooms as it purifies air
- Keep away from excessive water during monsoon season â€“ reduce watering frequency significantly
- The yellow margins may fade to green if kept in very low light for long periods
- Wipe the leaves gently with a soft cloth once a month to remove dust
- Does not need frequent repotting; prefers being slightly root-bound
- Keep away from cold drafts in winter, especially in North India where temperatures can drop
- Extremely forgiving of neglect â€“ ideal for travelers and busy professionals
## Growth Tips
- **Soil:** Use well-draining cactus or succulent mix. You can make your own by mixing regular potting soil with sand and perlite in equal parts
- **Fertilizer:** Feed very lightly once every 2-3 months during growing season (spring and summer) with diluted liquid fertilizer. Over-fertilizing can damage the plant
- **Repotting:** Only repot once every 2-3 years or when roots come out of drainage holes. Spring is the best time for repotting
- **Propagation:** Easily propagated by leaf cuttings or division of offsets (pups) that grow at the base. However, leaf cuttings may lose variegation and produce all-green plants
## Common Problems
- **Root rot:** Caused by overwatering or poor drainage. Signs include mushy, brown leaves at the base and foul smell from soil
- **Leaf tips turning brown:** Usually due to fluoride in tap water or excessive fertilizer. Use filtered water or let tap water sit overnight before using
- **Wrinkled leaves:** Sign of severe underwatering. While drought-tolerant, the plant still needs occasional watering
- **Fading yellow color:** Not enough light. Move to a brighter location with indirect sunlight
- **Mealybugs:** Small white cotton-like pests that hide between leaves. Wipe with alcohol-soaked cotton or neem oil solution
- **Leaves falling over or splitting:** Often due to physical damage or overwatering making leaves soft and weak</t>
        </is>
      </c>
      <c r="V127" s="98">
        <f>HYPERLINK("https://rosaryplanthouse.com/plant/"&amp;A127&amp;"-"&amp;SUBSTITUTE(LOWER(E127), " ", "-"))</f>
        <v/>
      </c>
      <c r="W127" t="inlineStr">
        <is>
          <t>🟢 Sansevieria trifasciata 'Golden Hahnii' (ID: 126)
🌟 Meet the stunning Snake Draft Variegated, your new indoor companion! This beauty features eye-catching yellow and green striped leaves that form a delightful compact rosette. Perfect for both novice and busy plant lovers, it’s a low-maintenance gem that thrives in almost any indoor setting! 
🌿 **About:** The Snake Draft hails from the tropical regions of West Africa and has been specially bred for its gorgeous golden-yellow margins. This hardy plant is drought-tolerant and can adapt to a range of indoor conditions. 
🪴 **Key Details:**
- **Watering:** Only needs to be watered every 2-3 weeks! 
- **Sunlight:** Thrives in bright indirect light but can handle low light too. 
- **Temperature &amp; Humidity:** Very adaptable, making it perfect for dry climates.
✨ Ready to welcome this charming plant into your home? Check the link in bio! 
#SnakePlant #IndoorPlants #PlantCare #HousePlantClub #PlantLovers #Decor #HomeDecor #GreenThumb #PlantParent #RosaryPlantHouse #PlantAddict #CactusAndSucculents #LowLightPlants #AirPurifier #HomeGarden #PlantGoals 🌱</t>
        </is>
      </c>
    </row>
    <row r="128" ht="99.5" customHeight="1">
      <c r="A128" s="73" t="n">
        <v>127</v>
      </c>
      <c r="B128" s="74" t="inlineStr">
        <is>
          <t>Aeonium Silver</t>
        </is>
      </c>
      <c r="C128" s="74">
        <f>IF(Local!H128,"1","0")</f>
        <v/>
      </c>
      <c r="D128" s="75" t="n">
        <v>199</v>
      </c>
      <c r="E128" s="66" t="inlineStr">
        <is>
          <t>Aeonium 'Silver'</t>
        </is>
      </c>
      <c r="F128" s="76">
        <f>"public/sale_plants/"&amp;A128&amp;".jpg"</f>
        <v/>
      </c>
      <c r="G128" s="77" t="inlineStr">
        <is>
          <t>(2"-3")</t>
        </is>
      </c>
      <c r="H128" s="78" t="inlineStr">
        <is>
          <t>High</t>
        </is>
      </c>
      <c r="I128" s="66" t="inlineStr">
        <is>
          <t>Low</t>
        </is>
      </c>
      <c r="J128" s="66" t="inlineStr">
        <is>
          <t>Medium</t>
        </is>
      </c>
      <c r="K128" s="79" t="n">
        <v>69</v>
      </c>
      <c r="L128" s="80" t="inlineStr">
        <is>
          <t>Succulent</t>
        </is>
      </c>
      <c r="M128" s="80" t="n">
        <v>0</v>
      </c>
      <c r="N128" s="80" t="n">
        <v>0</v>
      </c>
      <c r="O128" s="81" t="n">
        <v>0</v>
      </c>
      <c r="P128" s="80" t="n">
        <v>0</v>
      </c>
      <c r="Q128" s="81">
        <f>IF(Local!I128=TRUE,1,0)</f>
        <v/>
      </c>
      <c r="R128" s="81">
        <f>Local!D128</f>
        <v/>
      </c>
      <c r="S128" s="81">
        <f>Local!F128</f>
        <v/>
      </c>
      <c r="T128" s="81">
        <f>Local!G128</f>
        <v/>
      </c>
      <c r="U128" s="83" t="inlineStr">
        <is>
          <t>## About
Silver Aeonium is a beautiful succulent with silvery-green leaves arranged in perfect rosette patterns. This stunning plant features a distinctive white or cream-colored edge on its fleshy leaves, giving it a frosted appearance that makes it a popular choice among succulent lovers in India.
## Origin
This plant belongs to the Aeonium genus, which originates from the Canary Islands, North Africa, and Mediterranean regions. Aeoniums are naturally adapted to rocky, volcanic slopes where they receive plenty of sunlight and grow in well-draining soil.
## Temperature &amp; Humidity
- **Temperature Range:** 15Â°C to 30Â°C
- **Humidity:** Low to moderate humidity (30% to 50%). This succulent prefers drier conditions and can tolerate the varying humidity levels found in most Indian homes. It does well in both coastal and inland regions of India.
## Growth
Silver Aeonium grows in a compact rosette form, typically reaching 15-25 cm in height and spreading about 20-30 cm wide. It grows at a moderate pace, especially during the cooler months. The plant forms multiple rosettes over time, creating an attractive cluster. Some varieties may develop a short stem, while others remain more ground-hugging. During its growing season (autumn to spring), it actively produces new leaves from the center of the rosette.
## Watering
- **Frequency:** Once every 10-14 days depending on season and weather conditions. Water less frequently during monsoon and winter months.
- **Tips:** Always check if the soil is completely dry before watering. During summer dormancy, reduce watering significantly. Water at the base of the plant, avoiding the rosette center to prevent rot. In Indian climate, water more during the cooler months (October to March) when the plant is actively growing, and less during hot summer months (April to September) when it goes semi-dormant.
## Sunlight
- **Hours per day:** 4 to 6 hours
- **Type:** Bright indirect light or morning direct sunlight. Protect from intense afternoon sun, especially during Indian summers (March to June), as it can scorch the leaves. Filtered light through a shade net or placement near an east-facing window works perfectly.
## Care Tips
- **Protect from intense afternoon sun** during peak summer months in India (April-June) to prevent leaf burn
- **Provide good air circulation** to prevent fungal issues during monsoon season
- **Reduce watering during monsoon** as high humidity and rain can lead to root rot
- **Keep in a cool, bright spot** during summer when the plant enters dormancy
- **Bring indoors during extreme weather** conditions like heavy rains or hailstorms
- **Clean leaves occasionally** with a soft brush to remove dust and maintain the silvery appearance
## Growth Tips
- **Soil:** Use a well-draining succulent or cactus mix. A good combination is 50% regular potting soil, 30% cocopeat, and 20% perlite or sand
- **Fertilizer:** Feed with diluted liquid succulent fertilizer once a month during the growing season (October to March). Avoid fertilizing during summer dormancy
- **Repotting:** Repot every 2-3 years in spring, using fresh well-draining soil. Choose a pot only slightly larger than the current one
- **Propagation:** Easily propagated from leaf cuttings or offsets. Allow cuttings to dry for 2-3 days before planting
## Common Problems
- **Leaf drop or mushy leaves:** Caused by overwatering or poor drainage. Ensure soil dries completely between waterings
- **Brown or black spots on leaves:** Usually due to fungal infection from excess moisture or high humidity during monsoon
- **Stretched or leggy growth:** Insufficient light. Move to a brighter location
- **Shriveled leaves:** Underwatering. Increase watering frequency slightly
- **Mealy bugs:** White cottony pests that appear in leaf joints. Remove with cotton swabs dipped in rubbing alcohol
- **Root rot:** Caused by waterlogged soil. Use well-draining soil and pots with drainage holes
- **Leaf burn or brown patches:** Too much direct harsh sunlight. Provide filtered light or morning sun only</t>
        </is>
      </c>
      <c r="V128" s="98">
        <f>HYPERLINK("https://rosaryplanthouse.com/plant/"&amp;A128&amp;"-"&amp;SUBSTITUTE(LOWER(E128), " ", "-"))</f>
        <v/>
      </c>
      <c r="W128" t="inlineStr">
        <is>
          <t>🟢 Aeonium 'Silver' (ID: 127)
✨ Looking for a stunning addition to your succulent collection? Meet the mesmerizing Aeonium 'Silver'! 🌱
🌿 This beautiful succulent boasts silvery-green leaves with a charming frosted edge, making it a favorite among plant enthusiasts! Originating from the Canary Islands, this resilient beauty thrives in bright, indirect light and is perfect for both indoor and outdoor settings. 
🌞 **Key Details:**
- 🌡️ Temperature: 15°C to 30°C
- 💧 Watering: Low, every 10-14 days
- ☀️ Sunlight: 4-6 hours of bright, indirect light
👉 Ready to elevate your greenery game? Don’t wait too long—this beauty is in high demand! Check out the details: Link in bio.
#AeoniumSilver #SucculentLove #IndoorPlants #PlantParent #SucculentAddict #GreenThumb #RosaryPlantHouse #Houseplants #PlantLovers #SucculentCare #HomeDecor #BotanicalBeauty #PlantGoals #UrbanJungle #GardenInspiration #NatureLovers</t>
        </is>
      </c>
    </row>
    <row r="129" ht="99.5" customHeight="1">
      <c r="A129" s="73" t="n">
        <v>128</v>
      </c>
      <c r="B129" s="74" t="inlineStr">
        <is>
          <t>Jellybean stonecrop</t>
        </is>
      </c>
      <c r="C129" s="74">
        <f>IF(Local!H129,"1","0")</f>
        <v/>
      </c>
      <c r="D129" s="75" t="n">
        <v>59</v>
      </c>
      <c r="E129" s="66" t="inlineStr">
        <is>
          <t>Sedum rubrotinctum</t>
        </is>
      </c>
      <c r="F129" s="76">
        <f>"public/sale_plants/"&amp;A129&amp;".jpg"</f>
        <v/>
      </c>
      <c r="G129" s="77" t="inlineStr">
        <is>
          <t>(2"-3")</t>
        </is>
      </c>
      <c r="H129" s="78" t="inlineStr">
        <is>
          <t>High</t>
        </is>
      </c>
      <c r="I129" s="66" t="inlineStr">
        <is>
          <t>Low</t>
        </is>
      </c>
      <c r="J129" s="66" t="inlineStr">
        <is>
          <t>High</t>
        </is>
      </c>
      <c r="K129" s="79" t="n">
        <v>99</v>
      </c>
      <c r="L129" s="80" t="inlineStr">
        <is>
          <t>Succulent</t>
        </is>
      </c>
      <c r="M129" s="80" t="n">
        <v>0</v>
      </c>
      <c r="N129" s="80" t="n">
        <v>0</v>
      </c>
      <c r="O129" s="81" t="n">
        <v>0</v>
      </c>
      <c r="P129" s="80" t="n">
        <v>0</v>
      </c>
      <c r="Q129" s="81">
        <f>IF(Local!I129=TRUE,1,0)</f>
        <v/>
      </c>
      <c r="R129" s="81">
        <f>Local!D129</f>
        <v/>
      </c>
      <c r="S129" s="81">
        <f>Local!F129</f>
        <v/>
      </c>
      <c r="T129" s="81">
        <f>Local!G129</f>
        <v/>
      </c>
      <c r="U129" s="83" t="inlineStr">
        <is>
          <t>## About
Jellybean Stonecrop is a charming succulent with plump, bean-shaped leaves that look like tiny jellybeans arranged along its stems. This easy-to-grow plant is loved by beginners and experienced gardeners alike for its colorful appearance and low maintenance needs.
## Origin
This beautiful succulent originally comes from Mexico. It naturally grows in rocky, mountainous areas where the climate is warm and dry. The plant has adapted to survive in poor soil conditions with little water, making it perfect for hot Indian climates.
## Temperature &amp; Humidity
- **Temperature Range:** 15Â°C to 35Â°C (can tolerate up to 40Â°C in summer)
- **Humidity:** Low to moderate humidity (30% to 50%). This plant does not need high humidity and can handle dry air very well, making it ideal for most Indian homes and gardens.
## Growth
Jellybean Stonecrop grows slowly and reaches about 15 to 20 cm in height. It spreads outward as it grows, creating a bushy appearance. The plant produces multiple stems that can trail slightly but mostly grows upright. The leaves are thick, rounded, and fleshy, typically green in color but turn beautiful shades of red, orange, or pink when exposed to strong sunlight or stress. This color change makes the plant look even more attractive. Growth is faster during spring and summer months.
## Watering
- **Frequency:** Once every 10-15 days depending on season and weather conditions. Water more during hot summer months and less during monsoon and winter.
- **Tips:** Always let the soil dry out completely between waterings. Water deeply but infrequently. Avoid getting water on the leaves as they can rot easily. In the rainy season, reduce watering significantly or stop completely if the plant is outdoors. Overwatering is the biggest enemy of this plant, so when in doubt, water less rather than more.
## Sunlight
- **Hours per day:** 4 to 6 hours
- **Type:** Direct sunlight for best color and compact growth. Can tolerate bright indirect light but may become leggy and lose its vibrant colors. Morning sun is ideal, but it can also handle afternoon sun in most parts of India.
## Care Tips
- **Perfect for Indian summers:** This plant loves the hot, dry Indian climate and thrives in summer heat.
- **Protect from heavy monsoon rains:** Keep the plant under a covered area or bring it indoors during continuous rains to prevent root rot.
- **Winter care:** In North India where winters can be cold, protect from frost. Bring indoors if temperature drops below 10Â°C.
- **Handle gently:** The leaves fall off very easily when touched, but don't worryâ€”they can be used for propagation.
- **Good drainage is essential:** Use pots with drainage holes to prevent water logging.
- **Group with other succulents:** Creates a beautiful display and all plants will have similar care needs.
## Growth Tips
- **Soil type:** Use well-draining cactus or succulent mix. You can make your own by mixing regular potting soil with sand and perlite in equal parts.
- **Fertilizer:** Feed once a month during growing season (spring and summer) with diluted liquid fertilizer (half strength). No fertilizer needed in winter.
- **Repotting:** Repot every 2 to 3 years in spring. Choose a pot only slightly larger than the current one.
- **Propagation:** Very easy to propagate from fallen leaves or stem cuttings. Just place them on dry soil and they will root within 2-3 weeks.
## Common Problems
- **Leaves turning yellow and mushy:** Overwatering is the cause. Let soil dry completely and reduce watering frequency.
- **Leaves falling off too easily:** This is normal to some extent, but excessive leaf drop can mean overwatering or rough handling.
- **Leggy, stretched growth:** Not enough sunlight. Move the plant to a brighter location with more direct sun.
- **Brown, dried tips:** Underwatering or too much direct harsh sun. Gradually increase watering slightly or provide some afternoon shade.
- **Mealybugs:** White cotton-like pests on stems and leaves. Remove with cotton swab dipped in rubbing alcohol or neem oil spray.
- **Root rot:** Black, mushy roots caused by overwatering or poor drainage. Reduce watering and improve soil drainage immediately.</t>
        </is>
      </c>
      <c r="V129" s="98">
        <f>HYPERLINK("https://rosaryplanthouse.com/plant/"&amp;A129&amp;"-"&amp;SUBSTITUTE(LOWER(E129), " ", "-"))</f>
        <v/>
      </c>
      <c r="W129" t="inlineStr">
        <is>
          <t>🟢 Jellybean Stonecrop (ID: 128)
🌱 Add a pop of color to your plant collection with the delightful Jellybean Stonecrop! This charming succulent is perfect for both beginners and seasoned gardeners alike. 
✨ With its plump, bean-shaped leaves that can transform into stunning shades of red, orange, or pink when exposed to sunlight, this low-maintenance beauty thrives in warm, dry conditions—making it ideal for Indian homes! 
🌞 **Key Details:**
- **Sunlight:** Loves 4-6 hours of direct sunlight for vibrant colors 
- **Watering:** Just once every 10-15 days—let that soil dry out! 
- **Temperature:** Thrives in 15°C to 35°C; loves the heat! 
👉 Ready to bring this beauty home? Link in bio! 
#JellybeanStonecrop #SedumRubrotinctum #SucculentLove #PlantParent #IndoorPlants #SucculentCare #GreenThumb #HousePlants #PlantAddict #RosaryPlantHouse #GardeningJoy #LowMaintenancePlants</t>
        </is>
      </c>
    </row>
    <row r="130" ht="99.5" customHeight="1">
      <c r="A130" s="73" t="n">
        <v>129</v>
      </c>
      <c r="B130" s="74" t="inlineStr">
        <is>
          <t>Sun Sedum</t>
        </is>
      </c>
      <c r="C130" s="74">
        <f>IF(Local!H130,"1","0")</f>
        <v/>
      </c>
      <c r="D130" s="75" t="n">
        <v>79</v>
      </c>
      <c r="E130" s="66" t="inlineStr">
        <is>
          <t>Graptopetalum paraguayense</t>
        </is>
      </c>
      <c r="F130" s="76">
        <f>"public/sale_plants/"&amp;A130&amp;".jpg"</f>
        <v/>
      </c>
      <c r="G130" s="77" t="inlineStr">
        <is>
          <t>(2"-3")</t>
        </is>
      </c>
      <c r="H130" s="78" t="inlineStr">
        <is>
          <t>Low</t>
        </is>
      </c>
      <c r="I130" s="66" t="inlineStr">
        <is>
          <t>Low</t>
        </is>
      </c>
      <c r="J130" s="66" t="inlineStr">
        <is>
          <t>High</t>
        </is>
      </c>
      <c r="K130" s="79" t="n">
        <v>69</v>
      </c>
      <c r="L130" s="80" t="inlineStr">
        <is>
          <t>Succulent</t>
        </is>
      </c>
      <c r="M130" s="80" t="n">
        <v>0</v>
      </c>
      <c r="N130" s="80" t="n">
        <v>0</v>
      </c>
      <c r="O130" s="81" t="n">
        <v>0</v>
      </c>
      <c r="P130" s="81" t="n">
        <v>0</v>
      </c>
      <c r="Q130" s="81">
        <f>IF(Local!I130=TRUE,1,0)</f>
        <v/>
      </c>
      <c r="R130" s="81">
        <f>Local!D130</f>
        <v/>
      </c>
      <c r="S130" s="81">
        <f>Local!F130</f>
        <v/>
      </c>
      <c r="T130" s="81">
        <f>Local!G130</f>
        <v/>
      </c>
      <c r="U130" s="83" t="inlineStr">
        <is>
          <t>## About
The Ghost Plant is a beautiful succulent with rosette-shaped leaves that display stunning colors ranging from pale gray-blue to peachy-pink. This plant gets its common name from its ghostly, silvery appearance and is loved by succulent collectors for its easy care and attractive look.
## Origin
Native to Mexico, this succulent grows naturally in rocky, mountainous regions where it thrives in well-draining soil and plenty of sunshine. It has adapted to survive in dry conditions with minimal water.
## Temperature &amp; Humidity
- **Temperature Range:** 15Â°C to 35Â°C
- **Humidity:** Low to moderate humidity (30% to 50%). This plant prefers drier conditions and does not require high humidity. It can tolerate the warm, dry climate of most Indian regions very well.
## Growth
The Ghost Plant grows in compact rosettes that can reach 10-15 cm in diameter. It is a moderate grower that spreads by producing offsets (baby plants) around the base. Over time, it can form clusters and trail slightly, making it perfect for pots and containers. The plant stays relatively compact but can spread to about 30 cm wide if given space.
## Watering
- **Frequency:** Once every two weeks depending on season and weather conditions. During monsoon or winter, reduce watering to once every three weeks.
- **Tips:** Water thoroughly but allow the soil to dry out completely between waterings. Always check that the top 2-3 cm of soil is dry before watering again. Avoid getting water on the leaves to prevent rot. In Indian summers, you may need to water slightly more often, while in monsoon and winter, water much less.
## Sunlight
- **Hours per day:** 4 to 6 hours
- **Type:** Direct sunlight is best. The plant develops its beautiful peachy-pink coloring when exposed to bright, direct sun. It can tolerate indirect bright light indoors but may lose some of its vibrant color.
## Care Tips
- Place the plant in a spot where it receives morning or evening sunlight, especially during hot Indian summers to avoid leaf burn
- The leaves have a natural powdery coating (farina) that protects them - avoid touching the leaves too much
- Good air circulation is important, especially during humid monsoon months
- If kept indoors, place near a south or west-facing window for best light
- The plant can handle Indian heat well but protect from heavy monsoon rains
- Clean fallen leaves from the base to prevent fungal growth
## Growth Tips
- Use a well-draining succulent or cactus mix with perlite, cocopeat, and sand in equal parts
- Add a layer of small stones or pebbles at the pot bottom for drainage
- Fertilize once every 2-3 months during growing season (spring and autumn) with diluted liquid succulent fertilizer
- Repot every 2 years or when the plant outgrows its pot
- Use terracotta or clay pots as they allow soil to dry faster
- Propagate easily from leaves or offsets - simply place them on soil and they will root
## Common Problems
- **Overwatering:** Leaves become soft, translucent, or yellow - this is the most common problem. Always let soil dry completely
- **Root rot:** Caused by poor drainage or too much water, especially during monsoon. Use well-draining soil and pots with drainage holes
- **Leggy growth:** Happens when the plant doesn't get enough sunlight. Move to a brighter location
- **Mealybugs:** White cottony pests that appear in leaf crevices. Remove with rubbing alcohol on a cotton swab
- **Leaf drop:** Natural for lower leaves, but excessive dropping means watering issues
- **Color fading:** Occurs due to insufficient sunlight. Increase sun exposure gradually</t>
        </is>
      </c>
      <c r="V130" s="98">
        <f>HYPERLINK("https://rosaryplanthouse.com/plant/"&amp;A130&amp;"-"&amp;SUBSTITUTE(LOWER(E130), " ", "-"))</f>
        <v/>
      </c>
      <c r="W130" t="inlineStr">
        <is>
          <t>🟢 Sun Sedum (ID: 129)  
🌞 Ready to brighten up your space? Meet the stunning Sun Sedum, also known as Graptopetalum paraguayense! This breathtaking succulent flaunts rosette-shaped leaves that shift from pale gray-blue to a lovely peachy-pink, making it a must-have for any plant enthusiast.  
✨ **About the Plant:**  
Originating from the rocky terrains of Mexico, the Sun Sedum thrives in well-draining soil and adores soaking up the sunshine. With its low maintenance needs and vibrant colors, it's perfect for both beginners and seasoned collectors alike.  
🌱 **Key Details:**  
- **Watering:** Low - water every 2 weeks, more in summer!  
- **Sunlight:** High - give it 4-6 hours of direct sunlight for those gorgeous hues!  
- **Care Tips:** Ensure good air circulation and protect from heavy rains.  
👉 Ready to add this beauty to your collection? Link in bio!  
#SunSedum #GraptopetalumParaguayense #SucculentLovers #PlantAddict #IndoorPlants #PlantCare #PlantCommunity #GreenThumb #HousePlants #PlantGoals #RosaryPlantHouse #SucculentLove #PlantLife #NatureInYourHome</t>
        </is>
      </c>
    </row>
    <row r="131" ht="99.5" customHeight="1">
      <c r="A131" s="73" t="n">
        <v>130</v>
      </c>
      <c r="B131" s="74" t="inlineStr">
        <is>
          <t>Grey Sedum</t>
        </is>
      </c>
      <c r="C131" s="74">
        <f>IF(Local!H131,"1","0")</f>
        <v/>
      </c>
      <c r="D131" s="75" t="n">
        <v>99</v>
      </c>
      <c r="E131" s="66" t="inlineStr">
        <is>
          <t>Sedum crassulaceum</t>
        </is>
      </c>
      <c r="F131" s="76">
        <f>"public/sale_plants/"&amp;A131&amp;".jpg"</f>
        <v/>
      </c>
      <c r="G131" s="77" t="inlineStr">
        <is>
          <t>(2"-3")</t>
        </is>
      </c>
      <c r="H131" s="78" t="inlineStr">
        <is>
          <t>High</t>
        </is>
      </c>
      <c r="I131" s="66" t="inlineStr">
        <is>
          <t>Low</t>
        </is>
      </c>
      <c r="J131" s="66" t="inlineStr">
        <is>
          <t>High</t>
        </is>
      </c>
      <c r="K131" s="79" t="n">
        <v>79</v>
      </c>
      <c r="L131" s="80" t="inlineStr">
        <is>
          <t>Sedum</t>
        </is>
      </c>
      <c r="M131" s="80" t="n">
        <v>0</v>
      </c>
      <c r="N131" s="80" t="n">
        <v>1</v>
      </c>
      <c r="O131" s="81" t="n">
        <v>0</v>
      </c>
      <c r="P131" s="80" t="n">
        <v>0</v>
      </c>
      <c r="Q131" s="81" t="n">
        <v>1</v>
      </c>
      <c r="R131" s="81">
        <f>Local!D131</f>
        <v/>
      </c>
      <c r="S131" s="81">
        <f>Local!F131</f>
        <v/>
      </c>
      <c r="T131" s="81">
        <f>Local!G131</f>
        <v/>
      </c>
      <c r="U131" s="83" t="inlineStr">
        <is>
          <t>## About
Sedum crassulaceum, commonly known as Thick-leaved Stonecrop, is a beautiful trailing succulent with tiny, fleshy, needle-like green leaves that grow densely along its stems. This plant is perfect for hanging baskets, ground covers, or as a cascading element in arrangements. It originates from regions with dry climates and is well-adapted to Indian growing conditions.
## Origin
This Sedum species is native to parts of Central America and Mexico, where it grows in rocky, dry areas with excellent drainage. It thrives in arid and semi-arid environments with warm temperatures and plenty of sunlight.
## Temperature &amp; Humidity
- **Temperature Range:** 15Â°C to 35Â°C
- **Humidity:** Low to moderate humidity (30% to 50%). This plant is quite drought-tolerant and does not require high humidity. It can handle the dry conditions found in most parts of India, especially during summer months.
## Growth
Sedum crassulaceum is a compact, trailing succulent that grows up to 10-15 cm tall but can spread or trail up to 30-40 cm in length. It grows at a moderate pace and forms a dense mat of foliage. The stems branch readily, creating a full, bushy appearance. This plant works wonderfully in hanging pots where its trailing nature can be showcased, or as a ground cover in rock gardens.
## Watering
- **Frequency:** Water sparingly, once every 10-14 days depending on season and weather conditions. In the monsoon season or during cooler months, reduce watering frequency.
- **Tips:** Always let the soil dry out completely between waterings. Overwatering is the most common cause of root rot in Sedums. Water at the base of the plant and avoid wetting the foliage excessively. During Indian summers, you may need to water slightly more often if the plant is kept in direct sun, but always check soil moisture first.
## Sunlight
- **Hours per day:** 4 to 6 hours
- **Type:** Direct sunlight is ideal. This plant loves bright, direct sun and will develop the best color and compact growth with plenty of light. It can tolerate partial shade but may become leggy and lose its dense form. In very hot regions of India (above 40Â°C), some afternoon shade can help prevent leaf burn.
## Care Tips
- Keep the plant in a well-ventilated area to prevent fungal issues, especially during the humid monsoon season
- Trim back leggy growth to encourage bushier, more compact development
- This plant is quite hardy and can handle the heat of Indian summers very well
- Protect from heavy monsoon rains as prolonged wetness can cause root rot
- Works excellently on balconies, terraces, and window sills with good sunlight
- Very low maintenance and beginner-friendly
## Growth Tips
- **Soil:** Use a well-draining cactus or succulent mix. You can make your own by mixing regular potting soil with coarse sand and perlite in a 1:1:1 ratio
- **Fertilizer:** Feed once every 2-3 months during the growing season (spring and summer) with a diluted balanced liquid fertilizer or a succulent-specific fertilizer. Avoid feeding during winter
- **Repotting:** Repot every 1-2 years or when the plant outgrows its container. Spring is the best time for repotting
- **Propagation:** Very easy to propagate from stem cuttings. Simply cut a healthy stem, let it dry for a day, and place it on moist soil. Roots will develop within 2-3 weeks
## Common Problems
- **Root rot:** Caused by overwatering or poor drainage. Ensure pots have drainage holes and soil dries between waterings
- **Leggy growth:** Due to insufficient sunlight. Move the plant to a brighter location
- **Shriveled leaves:** Sign of underwatering. Increase watering frequency slightly
- **Mealybugs and aphids:** Can occasionally affect the plant. Wipe them off with a cotton swab dipped in rubbing alcohol or use neem oil spray
- **Leaf drop:** Can occur due to sudden temperature changes or overwatering. Maintain consistent care
- **Pale or yellow leaves:** May indicate nutrient deficiency or too much water. Check watering schedule and consider light fertilization</t>
        </is>
      </c>
      <c r="V131" s="98">
        <f>HYPERLINK("https://rosaryplanthouse.com/plant/"&amp;A131&amp;"-"&amp;SUBSTITUTE(LOWER(E131), " ", "-"))</f>
        <v/>
      </c>
      <c r="W131" t="inlineStr">
        <is>
          <t>🟢 Grey Sedum (ID: 130)  
🌿 Ready to elevate your plant game? Meet the stunning Grey Sedum! This charming trailing succulent is perfect for adding a touch of greenery to your space.  
💚 **About**: Sedum crassulaceum, commonly known as Thick-leaved Stonecrop, features tiny, fleshy, needle-like leaves that cascade beautifully from hanging baskets. It thrives in bright sunlight and is drought-tolerant, making it an ideal plant for those warm, sunny days.  
🌞 **Key Details**:  
- **Watering**: Low; let soil dry completely between waterings  
- **Sunlight**: Prefers 4-6 hours of direct sunlight  
- **Care**: Low maintenance, beginner-friendly, and perfect for balconies or window sills  
✨ Bring home the beauty of Grey Sedum and let it transform your indoor or outdoor space! Link in bio.  
#GreySedum #SedumCrassulaceum #HangingPlants #SucculentLove #PlantParent #IndoorPlants #PlantDecor #GreenThumb #RosaryPlantHouse #PlantLovers #HomeDecor #DroughtTolerant #SucculentCare #NatureLovers #GreenLiving</t>
        </is>
      </c>
    </row>
    <row r="132" ht="99.5" customHeight="1">
      <c r="A132" s="73" t="n">
        <v>131</v>
      </c>
      <c r="B132" s="74" t="inlineStr">
        <is>
          <t>Green Stick</t>
        </is>
      </c>
      <c r="C132" s="74">
        <f>IF(Local!H132,"1","0")</f>
        <v/>
      </c>
      <c r="D132" s="75" t="n">
        <v>99</v>
      </c>
      <c r="E132" s="66" t="inlineStr">
        <is>
          <t>Senecio barbertonicus</t>
        </is>
      </c>
      <c r="F132" s="76">
        <f>"public/sale_plants/"&amp;A132&amp;".jpg"</f>
        <v/>
      </c>
      <c r="G132" s="77" t="inlineStr">
        <is>
          <t>(2"-3")</t>
        </is>
      </c>
      <c r="H132" s="78" t="inlineStr">
        <is>
          <t>Moderate</t>
        </is>
      </c>
      <c r="I132" s="66" t="inlineStr">
        <is>
          <t>Low</t>
        </is>
      </c>
      <c r="J132" s="66" t="inlineStr">
        <is>
          <t>High</t>
        </is>
      </c>
      <c r="K132" s="79" t="n">
        <v>69</v>
      </c>
      <c r="L132" s="80" t="inlineStr">
        <is>
          <t>Succulent</t>
        </is>
      </c>
      <c r="M132" s="80" t="n">
        <v>0</v>
      </c>
      <c r="N132" s="80" t="n">
        <v>0</v>
      </c>
      <c r="O132" s="81" t="n">
        <v>0</v>
      </c>
      <c r="P132" s="80" t="n">
        <v>0</v>
      </c>
      <c r="Q132" s="81">
        <f>IF(Local!I132=TRUE,1,0)</f>
        <v/>
      </c>
      <c r="R132" s="81">
        <f>Local!D132</f>
        <v/>
      </c>
      <c r="S132" s="81">
        <f>Local!F132</f>
        <v/>
      </c>
      <c r="T132" s="81">
        <f>Local!G132</f>
        <v/>
      </c>
      <c r="U132" s="83" t="inlineStr">
        <is>
          <t>## About
Senecio barbertonicus, commonly known as Succulent Bush Senecio, is an attractive upright succulent with distinctive finger-like leaves that radiate outward like a green starburst. Native to South Africa, this easy-to-care-for plant features thick, fleshy, cylindrical leaves that grow in whorls around upright stems, creating a unique architectural appearance perfect for modern gardens and container displays.
## Origin
This succulent originates from the rocky hillsides and grasslands of South Africa, particularly in the Mpumalanga and Limpopo provinces. It grows naturally in areas with well-drained soil and plenty of sunshine, where it has adapted to survive periods of drought by storing water in its thick, fleshy leaves.
## Temperature &amp; Humidity
- **Temperature Range:** 15Â°C to 35Â°C (ideal), can tolerate up to 40Â°C in summer
- **Humidity:** Low to moderate humidity (30% to 50%). This plant is well-suited to Indian climate conditions as it thrives in dry to moderately humid environments and can handle both hot summers and mild winters.
## Growth
Senecio barbertonicus grows as an upright, branching succulent that typically reaches 30 to 60 cm in height when mature. The plant has a moderate growth rate and develops multiple stems over time, creating a bushy appearance. Each stem produces whorls of cylindrical, pointed leaves that are bright green in color and can grow 5 to 10 cm long. The growth is fairly compact, making it suitable for small to medium-sized pots and garden spaces.
## Watering
- **Frequency:** Once every 10-15 days depending on season and weather conditions. Water more sparingly during monsoon and winter months, and slightly more frequently during hot summer months.
- **Tips:** Allow the soil to dry out completely between waterings. Always check soil moisture before watering by inserting your finger 2-3 cm into the soil. Water deeply but infrequently. Reduce watering significantly during the rainy season and winter. Overwatering is the most common cause of problems with this plant. Always ensure excess water drains out completely from the pot.
## Sunlight
- **Hours per day:** 4 to 6 hours of direct sunlight
- **Type:** Direct sunlight is preferred, especially morning sun. Can tolerate bright indirect light but may become leggy. Protect from intense afternoon sun during peak summer (above 40Â°C) to prevent leaf burn.
## Care Tips
- Keep the plant in a location with good air circulation to prevent fungal issues during humid monsoon months
- Use a well-draining potting mix specifically designed for succulents or cacti
- Avoid getting water on the leaves and stem junction to prevent rot
- During Indian summers (April-June), provide some afternoon shade if temperatures exceed 40Â°C
- In winter, reduce watering frequency as the plant enters a semi-dormant phase
- Clean dust from leaves occasionally with a soft brush to help the plant photosynthesize better
- Protect from frost in northern India during winter months (below 10Â°C)
## Growth Tips
- Use a soil mix containing 60% regular potting soil, 30% coarse sand or perlite, and 10% organic compost for optimal drainage
- Fertilize sparingly with a balanced liquid fertilizer (10-10-10 NPK) diluted to half strength once every 2-3 months during the growing season (spring and autumn)
- Repot every 2-3 years in spring using a slightly larger pot with drainage holes
- Propagate easily from stem cuttings - allow cuttings to dry for 2-3 days before planting in well-draining soil
- Pinch back growing tips occasionally to encourage bushier growth and prevent legginess
## Common Problems
- **Root rot:** Caused by overwatering or poorly draining soil. Signs include soft, mushy stems and yellowing leaves
- **Leggy growth:** Insufficient sunlight causes the plant to stretch and lose its compact form. Move to a brighter location
- **Shriveled leaves:** Under-watering or extreme heat. Increase watering frequency slightly during hot months
- **Yellow leaves:** Usually indicates overwatering. Allow soil to dry completely between waterings
- **Mealybugs and aphids:** White cottony masses or small insects on leaves and stems. Treat with neem oil solution or insecticidal soap
- **Leaf drop:** Can be caused by sudden temperature changes, overwatering, or root disturbance during repotting
- **Brown leaf tips:** Usually from too much direct intense sunlight or fertilizer burn. Provide some shade during peak afternoon hours</t>
        </is>
      </c>
      <c r="V132" s="98">
        <f>HYPERLINK("https://rosaryplanthouse.com/plant/"&amp;A132&amp;"-"&amp;SUBSTITUTE(LOWER(E132), " ", "-"))</f>
        <v/>
      </c>
      <c r="W132" t="inlineStr">
        <is>
          <t>🟢 Senecio barbertonicus (ID: 131)
🌿 Ready to elevate your plant game? Meet the stunning Green Stick, a succulent sensation that brings a burst of life to any space! 
With its unique finger-like leaves radiating like a green starburst, the Senecio barbertonicus is not just a plant; it’s a statement piece. Native to the sunny hills of South Africa, this low-maintenance beauty thrives in bright sunlight and can tolerate drought, making it perfect for the modern gardener.
✨ **Key Details:**
- **Watering:** Low frequency (every 10-15 days)
- **Sunlight:** Prefers 4-6 hours of direct sunlight
- **Growth:** Moderate rate, bushy appearance with bright green whorls
Don’t miss out on adding this architectural gem to your collection! 🌱 Link in bio.
#SenecioBarbertonicus #GreenStick #SucculentLove #PlantParent #IndoorPlants #SucculentCare #PlantGoals #HomeDecor #PlantStyling #RosaryPlantHouse #PlantAddict #GardeningJoy #GreenThumb #HouseplantClub #SucculentGarden</t>
        </is>
      </c>
    </row>
    <row r="133" ht="99.5" customHeight="1">
      <c r="A133" s="73" t="n">
        <v>132</v>
      </c>
      <c r="B133" s="74" t="inlineStr">
        <is>
          <t>Heart Leaf</t>
        </is>
      </c>
      <c r="C133" s="74">
        <f>IF(Local!H133,"1","0")</f>
        <v/>
      </c>
      <c r="D133" s="75" t="n">
        <v>79</v>
      </c>
      <c r="E133" s="66" t="inlineStr">
        <is>
          <t>Philodendron hederaceum var. cordatum</t>
        </is>
      </c>
      <c r="F133" s="76">
        <f>"public/sale_plants/"&amp;A133&amp;".jpg"</f>
        <v/>
      </c>
      <c r="G133" s="77" t="inlineStr">
        <is>
          <t>(2"-3")</t>
        </is>
      </c>
      <c r="H133" s="78" t="inlineStr">
        <is>
          <t>High</t>
        </is>
      </c>
      <c r="I133" s="66" t="inlineStr">
        <is>
          <t>Medium</t>
        </is>
      </c>
      <c r="J133" s="66" t="inlineStr">
        <is>
          <t>Low</t>
        </is>
      </c>
      <c r="K133" s="79" t="n">
        <v>49</v>
      </c>
      <c r="L133" s="80" t="inlineStr">
        <is>
          <t>Creeper</t>
        </is>
      </c>
      <c r="M133" s="80" t="n">
        <v>0</v>
      </c>
      <c r="N133" s="80" t="n">
        <v>1</v>
      </c>
      <c r="O133" s="81" t="n">
        <v>0</v>
      </c>
      <c r="P133" s="81" t="n">
        <v>1</v>
      </c>
      <c r="Q133" s="81">
        <f>IF(Local!I133=TRUE,1,0)</f>
        <v/>
      </c>
      <c r="R133" s="81">
        <f>Local!D133</f>
        <v/>
      </c>
      <c r="S133" s="81">
        <f>Local!F133</f>
        <v/>
      </c>
      <c r="T133" s="81">
        <f>Local!G133</f>
        <v/>
      </c>
      <c r="U133" s="83" t="inlineStr">
        <is>
          <t>## About
Heart Leaf Philodendron is one of the most popular and easy-to-grow houseplants in India. It is a fast-growing trailing vine with beautiful heart-shaped green leaves that can brighten any corner of your home. This plant is perfect for beginners because it is very forgiving and can adapt to different indoor conditions.
## Origin
This plant originally comes from the tropical rainforests of Central America and the Caribbean islands. In its natural habitat, it grows as a climbing vine on trees and spreads across the forest floor, which is why it loves humid and warm conditions similar to many regions in India.
## Temperature &amp; Humidity
- **Temperature Range:** 18Â°C to 30Â°C (ideal for most Indian homes throughout the year)
- **Humidity:** Prefers 40% to 60% humidity. It can tolerate normal indoor humidity but will grow better with occasional misting or in naturally humid areas like bathrooms or kitchens. During Indian summers, keep it in a cooler spot and mist the leaves every few days.
## Growth
Heart Leaf Philodendron is a fast-growing vine that can grow several feet long within a year if given proper care. The stems trail down beautifully, making it perfect for hanging baskets, shelves, or even as a climbing plant if you provide a moss stick or support. Each leaf is about 5-10 cm in size when mature. New leaves emerge in a lighter green color and darken as they mature. The plant spreads horizontally and can be trained to climb or allowed to cascade down.
## Watering
- **Frequency:** Water once or twice a week depending on season, temperature, and humidity. In hot Indian summers, you may need to water more frequently, while in monsoon and winter, reduce watering.
- **Tips:** Always check the top 2-3 cm of soil before watering. If it feels dry, water thoroughly until water drains from the bottom. Do not let the plant sit in waterlogged soil. Yellow leaves usually mean overwatering, while brown crispy tips mean underwatering. Use room-temperature water and avoid chlorinated water if possible.
## Sunlight
- **Hours per day:** 2 to 4 hours of bright indirect light
- **Type:** Bright indirect or filtered light. This plant thrives in low to medium light conditions and should never be placed in direct harsh sunlight, especially during Indian summer afternoons, as it will burn the leaves. It can survive in shadier corners but will grow slower. An east-facing window or a spot with morning sun and afternoon shade is ideal.
## Care Tips
- Keep away from direct afternoon sun to prevent leaf burn
- Wipe the leaves with a damp cloth once a week to remove dust and help the plant breathe better
- Rotate the plant every few weeks for even growth
- During Indian summers, increase humidity by misting or placing a water tray nearby
- Prune regularly to encourage bushier growth and control length
- Keep away from air conditioner vents and ceiling fans that cause dry air
- This plant is toxic to pets and children if ingested, so keep it out of reach
## Growth Tips
- **Soil:** Use well-draining potting mix. A mixture of regular potting soil, cocopeat, and perlite works very well
- **Fertilizer:** Feed with a balanced liquid fertilizer diluted to half strength once a month during the growing season (spring and summer). Reduce or stop feeding in winter
- **Repotting:** Repot once every 1-2 years or when roots start coming out of drainage holes. Spring is the best time to repot in India
- **Propagation:** Very easy to propagate from stem cuttings in water or soil. Cut below a node and place in water until roots develop
## Common Problems
- **Yellow leaves:** Usually caused by overwatering or poor drainage
- **Brown leaf tips:** Low humidity, underwatering, or too much direct sunlight
- **Slow growth or small leaves:** Not enough light or nutrients
- **Leggy growth with large gaps between leaves:** Insufficient lightâ€”move to a brighter spot
- **Pests:** Can occasionally attract mealybugs, spider mites, or aphids. Wipe leaves with neem oil solution as a preventive measure
- **Root rot:** Caused by overwatering or poor drainageâ€”always ensure the pot has drainage holes</t>
        </is>
      </c>
      <c r="V133" s="98">
        <f>HYPERLINK("https://rosaryplanthouse.com/plant/"&amp;A133&amp;"-"&amp;SUBSTITUTE(LOWER(E133), " ", "-"))</f>
        <v/>
      </c>
      <c r="W133" t="inlineStr">
        <is>
          <t>🟢 Heart Leaf (ID: 132)  
💖 Love is in the air with the Heart Leaf Philodendron! 🌿 This stunning, easy-to-grow houseplant is perfect for anyone looking to brighten up their space with a touch of nature. Its beautiful heart-shaped leaves will have you falling head over heels!  
✨ **About:** The Heart Leaf Philodendron is a fast-growing trailing vine that thrives in various indoor conditions, making it an excellent choice for beginners and experienced plant lovers alike. Originally from the lush rainforests of Central America, it captures the essence of tropical beauty right in your home!  
🌱 **Key Details:**  
- **Watering:** Medium, water once or twice a week  
- **Sunlight:** Low to medium light, avoid direct sun  
- **Ideal Temperature:** 18°C to 30°C  
- **Humidity:** Prefers 40% to 60%, mist occasionally  
👉 Ready to welcome this beautiful plant into your home? Tap the link in bio to explore more!  
#HeartLeaf #Philodendron #IndoorPlants #PlantLovers #HomeDecor #GreenThumb #PlantParent #PlantCare #RosaryPlantHouse #Houseplants #TropicalVibes #NatureLovers #PlantAddict #UrbanJungle #PlantGoals</t>
        </is>
      </c>
    </row>
    <row r="134" ht="99.5" customHeight="1">
      <c r="A134" s="73" t="n">
        <v>133</v>
      </c>
      <c r="B134" s="74" t="inlineStr">
        <is>
          <t>Gold Moss</t>
        </is>
      </c>
      <c r="C134" s="74">
        <f>IF(Local!H134,"1","0")</f>
        <v/>
      </c>
      <c r="D134" s="75" t="n">
        <v>99</v>
      </c>
      <c r="E134" s="66" t="inlineStr">
        <is>
          <t>Sedum acre 'Gold Moss'</t>
        </is>
      </c>
      <c r="F134" s="76">
        <f>"public/sale_plants/"&amp;A134&amp;".jpg"</f>
        <v/>
      </c>
      <c r="G134" s="77" t="inlineStr">
        <is>
          <t>(2"-3")</t>
        </is>
      </c>
      <c r="H134" s="78" t="inlineStr">
        <is>
          <t>High</t>
        </is>
      </c>
      <c r="I134" s="66" t="inlineStr">
        <is>
          <t>Low</t>
        </is>
      </c>
      <c r="J134" s="66" t="inlineStr">
        <is>
          <t>High</t>
        </is>
      </c>
      <c r="K134" s="79" t="n">
        <v>69</v>
      </c>
      <c r="L134" s="80" t="inlineStr">
        <is>
          <t>Sedum</t>
        </is>
      </c>
      <c r="M134" s="80" t="n">
        <v>0</v>
      </c>
      <c r="N134" s="80" t="n">
        <v>1</v>
      </c>
      <c r="O134" s="81" t="n">
        <v>0</v>
      </c>
      <c r="P134" s="80" t="n">
        <v>0</v>
      </c>
      <c r="Q134" s="81">
        <f>IF(Local!I134=TRUE,1,0)</f>
        <v/>
      </c>
      <c r="R134" s="81">
        <f>Local!D134</f>
        <v/>
      </c>
      <c r="S134" s="81">
        <f>Local!F134</f>
        <v/>
      </c>
      <c r="T134" s="81">
        <f>Local!G134</f>
        <v/>
      </c>
      <c r="U134" s="83" t="inlineStr">
        <is>
          <t>## About
Gold Moss Sedum is a beautiful, low-growing succulent groundcover with bright lime-green to golden-yellow fleshy leaves. This mat-forming plant spreads quickly and creates a stunning carpet effect, making it perfect for rock gardens, borders, and pathways. It produces cheerful star-shaped yellow flowers in spring and early summer.
## Origin
Sedum acre is native to Europe, North Africa, and parts of Asia. It naturally grows on rocky slopes, walls, and dry sandy soils where other plants struggle to survive. This hardy succulent has adapted to thrive in poor soil conditions with minimal water.
## Temperature &amp; Humidity
- **Temperature Range:** 5Â°C to 40Â°C (highly adaptable to Indian climate)
- **Humidity:** Prefers low to moderate humidity (30% to 50%). This plant is very tolerant and can handle both dry conditions and occasional humidity, making it suitable for most Indian regions.
## Growth
Gold Moss Sedum grows into a dense mat that typically reaches 2-5 cm in height but can spread horizontally up to 30-60 cm or more. It is a fast-growing groundcover that spreads through stems that root wherever they touch the soil. The plant forms thick, lush mats over time and fills spaces between rocks and in containers beautifully.
## Watering
- **Frequency:** Once every 10-14 days depending on season and weather conditions (less in monsoon, slightly more in peak summer if extremely dry)
- **Tips:** Water only when the soil is completely dry. This plant is drought-tolerant and prefers to be under-watered rather than over-watered. During monsoon season, reduce watering or stop completely if planted outdoors. Water early morning to allow excess moisture to evaporate during the day.
## Sunlight
- **Hours per day:** 6 to 8 hours
- **Type:** Direct sunlight is essential for best growth and bright coloring. The more sun it receives, the more vibrant the golden-yellow color becomes. It can tolerate partial shade but may become leggy and less compact.
## Care Tips
- Perfect for hot and dry Indian summers; extremely heat-tolerant
- Ideal for rooftop gardens, terrace gardens, and areas with full sun exposure
- Requires minimal maintenance once established
- Can tolerate light frost in winter but grows best in warm climates
- Keep away from areas with heavy water logging, especially during monsoon
- Works excellently between stepping stones and in rock gardens
- Trim back after flowering to maintain compact shape
## Growth Tips
- **Soil:** Use well-draining soil mix with sand, perlite, or pumice. Cactus or succulent potting mix works perfectly
- **Fertilizer:** Needs very little feeding. Apply diluted liquid fertilizer (half strength) once every 2-3 months during growing season (spring and summer)
- **Repotting:** Rarely needs repotting. If growing in containers, repot every 2-3 years when roots fill the pot
- **Propagation:** Extremely easy to propagate from stem cuttings or division. Simply break off a piece and place on moist soil
## Common Problems
- **Root rot:** Caused by overwatering or poor drainage. Always ensure soil dries completely between waterings
- **Leggy growth:** Results from insufficient sunlight. Move to a brighter location with more direct sun
- **Yellowing/browning leaves:** Usually due to overwatering or waterlogged soil during monsoon
- **Pest issues:** Generally pest-resistant, but occasionally aphids may appear on new growth; spray with neem oil solution
- **Loss of color:** Lack of adequate sunlight can cause the plant to lose its golden color and turn plain green</t>
        </is>
      </c>
      <c r="V134" s="98">
        <f>HYPERLINK("https://rosaryplanthouse.com/plant/"&amp;A134&amp;"-"&amp;SUBSTITUTE(LOWER(E134), " ", "-"))</f>
        <v/>
      </c>
      <c r="W134" t="inlineStr">
        <is>
          <t>🟢 Sedum Acre 'Gold Moss' (ID: 133)
🌟 Transform your garden into a vibrant oasis with our stunning Gold Moss Sedum! This hardy succulent is not just a pretty face; it's a lush, low-maintenance groundcover that thrives in rock gardens, pathways, and borders. 
🌱 **About:** With its bright lime-green to golden-yellow fleshy leaves and cheerful star-shaped yellow flowers in spring, Gold Moss Sedum creates a captivating carpet effect that will leave your guests in awe. Perfect for hot and dry climates, this plant is a true survivor!
✨ **Key Details:**
- **Watering:** Low; only when soil is completely dry
- **Sunlight:** Thrives in 6-8 hours of direct sunlight daily
- **Growth:** Fast-spreading mat that fills spaces beautifully
👉 Ready to elevate your garden game? Discover more about Gold Moss Sedum and bring home this beauty! Link in bio.
#GoldMoss #SedumAcre #SucculentLove #GardenGoals #PlantParenthood #PlantLovers #GreenThumb #OutdoorLiving #RockGarden #LowMaintenance #DroughtTolerant #SucculentGarden #TerraceGarden #RosaryPlantHouse</t>
        </is>
      </c>
    </row>
    <row r="135" ht="99.5" customHeight="1">
      <c r="A135" s="73" t="n">
        <v>134</v>
      </c>
      <c r="B135" s="74" t="inlineStr">
        <is>
          <t>Sedum stonecrops</t>
        </is>
      </c>
      <c r="C135" s="74">
        <f>IF(Local!H135,"1","0")</f>
        <v/>
      </c>
      <c r="D135" s="75" t="n">
        <v>69</v>
      </c>
      <c r="E135" s="66" t="inlineStr">
        <is>
          <t>Sedum stahlii</t>
        </is>
      </c>
      <c r="F135" s="76">
        <f>"public/sale_plants/"&amp;A135&amp;".jpg"</f>
        <v/>
      </c>
      <c r="G135" s="77" t="inlineStr">
        <is>
          <t>(2"-3")</t>
        </is>
      </c>
      <c r="H135" s="78" t="inlineStr">
        <is>
          <t>High</t>
        </is>
      </c>
      <c r="I135" s="66" t="inlineStr">
        <is>
          <t>Low</t>
        </is>
      </c>
      <c r="J135" s="66" t="inlineStr">
        <is>
          <t>Medium</t>
        </is>
      </c>
      <c r="K135" s="79" t="n">
        <v>69</v>
      </c>
      <c r="L135" s="80" t="inlineStr">
        <is>
          <t>Sedum</t>
        </is>
      </c>
      <c r="M135" s="80" t="n">
        <v>0</v>
      </c>
      <c r="N135" s="80" t="n">
        <v>1</v>
      </c>
      <c r="O135" s="81" t="n">
        <v>0</v>
      </c>
      <c r="P135" s="80" t="n">
        <v>0</v>
      </c>
      <c r="Q135" s="81">
        <f>IF(Local!I135=TRUE,1,0)</f>
        <v/>
      </c>
      <c r="R135" s="81">
        <f>Local!D135</f>
        <v/>
      </c>
      <c r="S135" s="81">
        <f>Local!F135</f>
        <v/>
      </c>
      <c r="T135" s="81">
        <f>Local!G135</f>
        <v/>
      </c>
      <c r="U135" s="83" t="inlineStr">
        <is>
          <t>## About
Sedum Stonecrops is a beautiful trailing succulent with small, round, bead-like leaves that grow densely along thin stems. The leaves are typically green with hints of red or bronze, especially when exposed to bright light. This plant is perfect for hanging baskets, containers, or as ground cover.
## Origin
Sedum species are native to Mexico and Central America. They naturally grow in rocky, mountainous regions where they cling to slopes and cliffs. These plants are adapted to survive in poor soil conditions with minimal water.
## Temperature &amp; Humidity
- **Temperature Range:** 15Â°C to 35Â°C
- **Humidity:** Low to moderate humidity (30% to 50%). This plant is very adaptable and can handle typical Indian humidity levels without any issues. It does well in both dry and slightly humid conditions.
## Growth
Stonecrops is a compact, trailing succulent that grows up to 15-20 cm in height and can spread 30-40 cm wide. The stems cascade beautifully over the edges of pots, making it ideal for hanging planters. Growth is moderate to fast during spring and summer months, and the plant tends to slow down during winter.
## Watering
- **Frequency:** Once every 10-14 days depending on weather conditions. Water more frequently during hot summer months and reduce watering during monsoon and winter.
- **Tips:** Always allow the soil to dry completely between waterings. Check the soil by inserting your finger about 2 cm deep - if it feels dry, it's time to water. Water thoroughly until water drains from the bottom, but never let the plant sit in water. Overwatering is the biggest killer of this plant. In rainy season, move the plant to a sheltered spot to prevent root rot.
## Sunlight
- **Hours per day:** 4 to 6 hours
- **Type:** Bright indirect light or filtered morning sunlight. Can tolerate some direct sun, especially morning sun, but protect from harsh afternoon sun in hot Indian summers which can scorch the leaves. The plant will develop better color and compact growth with adequate light.
## Care Tips
- Place in a location with good air circulation to prevent fungal issues, especially during monsoon
- Use well-draining pots with drainage holes to prevent water logging
- During peak summer (April-June), provide some shade during afternoon hours
- The plant can be kept outdoors or indoors near a bright window
- Remove dried or dead leaves regularly to keep the plant healthy
- Protect from heavy rain during monsoon season
- Can tolerate some neglect, making it perfect for beginners
## Growth Tips
- Use a well-draining succulent or cactus soil mix. You can make your own by mixing regular potting soil with cocopeat and perlite or sand (ratio 1:1:1)
- Add a thin layer of gravel or small stones at the bottom of the pot for extra drainage
- Feed with a balanced liquid fertilizer diluted to half strength once a month during the growing season (spring and summer)
- Avoid fertilizing during monsoon and winter months
- Repot every 2-3 years or when the plant outgrows its container. Best time is early spring
- Propagate easily by stem cuttings - just snip a healthy stem, let it dry for a day, and plant in well-draining soil
## Common Problems
- **Leaf drop:** Usually caused by overwatering or poor drainage. Reduce watering frequency
- **Yellowing leaves:** Sign of too much water. Allow soil to dry out completely
- **Stretching (etiolation):** Not enough light. Move to a brighter location
- **Shriveled leaves:** Underwatering. Increase watering frequency slightly
- **Black or mushy stems:** Root rot from overwatering or sitting in water. Cut away affected parts and repot in fresh, dry soil
- **Mealybugs:** White cottony pests in leaf joints. Remove with cotton swab dipped in rubbing alcohol
- **Sunburn:** Brown or white patches on leaves from too much direct harsh sun. Provide filtered light</t>
        </is>
      </c>
      <c r="V135" s="98">
        <f>HYPERLINK("https://rosaryplanthouse.com/plant/"&amp;A135&amp;"-"&amp;SUBSTITUTE(LOWER(E135), " ", "-"))</f>
        <v/>
      </c>
      <c r="W135" t="inlineStr">
        <is>
          <t>🟢 Sedum Stahlii (ID: 134)
🌿 Ready to elevate your indoor jungle? Meet the stunning Sedum Stahlii! This charming trailing succulent boasts small, round, bead-like leaves that cascade beautifully, making it a perfect addition to your hanging baskets or containers. 
✨ **About the Plant:**  
Originating from the rocky slopes of Mexico and Central America, Sedum Stonecrops thrive in low-maintenance environments. With its gorgeous green leaves often tinged with red or bronze, this plant not only adds beauty but also a touch of resilience to your space.
🌞 **Key Details:**  
- **Watering:** Low, every 10-14 days  
- **Sunlight:** Enjoys bright indirect light or filtered morning sun  
- **Humidity:** Adaptable to low to moderate levels  
👉 Bring home the Sedum Stahlii and enjoy its effortless charm!  
Link in bio to shop now! 
#SedumStahlii #SucculentLove #PlantParent #HangingPlants #HomeDecor #IndoorGardening #GreenThumb #RosaryPlantHouse #PlantCollection #SucculentCare #LowMaintenancePlants #PlantLovers #NatureInspired</t>
        </is>
      </c>
    </row>
    <row r="136" ht="99.5" customHeight="1">
      <c r="A136" s="73" t="n">
        <v>135</v>
      </c>
      <c r="B136" s="74" t="inlineStr">
        <is>
          <t>Fingure Succulent</t>
        </is>
      </c>
      <c r="C136" s="74">
        <f>IF(Local!H136,"1","0")</f>
        <v/>
      </c>
      <c r="D136" s="75" t="n">
        <v>69</v>
      </c>
      <c r="E136" s="66" t="inlineStr">
        <is>
          <t>Sedum pachyphyllum</t>
        </is>
      </c>
      <c r="F136" s="76">
        <f>"public/sale_plants/"&amp;A136&amp;".jpg"</f>
        <v/>
      </c>
      <c r="G136" s="77" t="inlineStr">
        <is>
          <t>(2"-3")</t>
        </is>
      </c>
      <c r="H136" s="78" t="inlineStr">
        <is>
          <t>Moderate</t>
        </is>
      </c>
      <c r="I136" s="66" t="inlineStr">
        <is>
          <t>Low</t>
        </is>
      </c>
      <c r="J136" s="66" t="inlineStr">
        <is>
          <t>High</t>
        </is>
      </c>
      <c r="K136" s="79" t="n">
        <v>69</v>
      </c>
      <c r="L136" s="80" t="inlineStr">
        <is>
          <t>Succulent</t>
        </is>
      </c>
      <c r="M136" s="80" t="n">
        <v>0</v>
      </c>
      <c r="N136" s="80" t="n">
        <v>0</v>
      </c>
      <c r="O136" s="81" t="n">
        <v>0</v>
      </c>
      <c r="P136" s="81" t="n">
        <v>0</v>
      </c>
      <c r="Q136" s="81">
        <f>IF(Local!I136=TRUE,1,0)</f>
        <v/>
      </c>
      <c r="R136" s="81">
        <f>Local!D136</f>
        <v/>
      </c>
      <c r="S136" s="81">
        <f>Local!F136</f>
        <v/>
      </c>
      <c r="T136" s="81">
        <f>Local!G136</f>
        <v/>
      </c>
      <c r="U136" s="83" t="inlineStr">
        <is>
          <t>## About
The Jelly Bean Plant is a charming succulent with plump, finger-like leaves that look just like jelly beans! The leaves are bluish-green with beautiful pink to red tips, especially when grown in bright sunlight. This easy-to-care-for plant is perfect for beginners and adds a playful touch to any collection.
## Origin
Sedum pachyphyllum is native to Mexico, particularly the central and southern regions. It grows naturally in rocky areas and slopes where the soil drains quickly and the sun shines bright. This tough little plant has adapted to survive in dry, sunny conditions.
## Temperature &amp; Humidity
- **Temperature Range:** 15Â°C to 35Â°C
- **Humidity:** Prefers low to moderate humidity (30% to 50%). It can tolerate the dry conditions common in most Indian homes and does well even during hot summers. Protect from frost and cold temperatures below 10Â°C.
## Growth
The Jelly Bean Plant grows slowly to moderately, forming a small rosette of chunky leaves. It typically reaches 15 to 30 cm in height and can spread about 20 to 30 cm wide. The plant grows upright at first but may trail slightly as it matures. It's a compact grower, making it ideal for small pots, terrariums, and windowsills.
## Watering
- **Frequency:** Once every 10-14 days depending on season and weather conditions. Water more during hot summers and less during monsoon and winter.
- **Tips:** Always water thoroughly but let the soil dry out completely between waterings. Overwatering is the biggest enemy of this plant. Water at the base and avoid getting water on the leaves. Reduce watering during the winter months when the plant is dormant.
## Sunlight
- **Hours per day:** 4 to 6 hours
- **Type:** Direct sunlight is best. The more sun it gets, the more vibrant the red and pink tips will become. It can tolerate bright indirect light indoors but may lose its colorful tips and become leggy without enough sun.
## Care Tips
- Place in the brightest spot available, such as a south-facing window or balcony.
- The leaves will turn greener with less light and develop gorgeous red-pink tips with more sun exposure.
- Handle with care as the leaves can fall off easily, but don't worryâ€”they can be propagated!
- During Indian summers, it thrives outdoors with plenty of sunlight.
- During monsoon, keep it under a shade or indoors to avoid excessive rain and humidity.
- Protect from frost in northern India during winter months.
## Growth Tips
- Use well-draining succulent or cactus soil mix. You can make your own by mixing regular potting soil with cocopeat and perlite or sand in a 1:1:1 ratio.
- Plant in pots with drainage holes to prevent waterlogging.
- Fertilize lightly once a month during the growing season (spring and summer) with a diluted liquid succulent fertilizer.
- Repot every 2 to 3 years or when the plant outgrows its pot.
- Propagate easily from leaf cuttings or stem cuttings. Just let them dry for a day and place on soil.
## Common Problems
- **Wrinkled, shriveled leaves:** Sign of underwatering. Water the plant thoroughly.
- **Soft, mushy leaves or black spots:** Overwatering or root rot. Reduce watering and improve drainage.
- **Leggy growth with pale leaves:** Not enough sunlight. Move to a brighter location.
- **Leaves falling off easily:** Normal for this plant, but can be worsened by overwatering or stress.
- **Pests:** Watch for mealybugs and aphids. Wipe them off with rubbing alcohol on a cotton swab.
- **Fungal issues:** Can occur during monsoon due to high humidity and poor air circulation. Ensure good ventilation and avoid overhead watering.</t>
        </is>
      </c>
      <c r="V136" s="98">
        <f>HYPERLINK("https://rosaryplanthouse.com/plant/"&amp;A136&amp;"-"&amp;SUBSTITUTE(LOWER(E136), " ", "-"))</f>
        <v/>
      </c>
      <c r="W136" t="inlineStr">
        <is>
          <t>🟢 Sedum Pachyphyllum (ID: 135)  
🌟 Meet the delightful Finger Succulent! This charming little plant is not just a feast for the eyes but a low-maintenance gem for your home. 🍃✨  
🌵 Known for its plump, finger-like leaves that resemble jelly beans, the Sedum Pachyphyllum thrives in bright sunlight, flaunting beautiful pink to red tips. Perfect for both beginners and seasoned plant lovers, this succulent adds a playful touch to any collection!  
🔑 **Key Details:**  
- **Watering:** Low, every 10-14 days  
- **Sunlight:** High, 4-6 hours of direct sunlight  
- **Care Tips:** Well-draining soil, minimal watering, and plenty of light for vibrant colors!  
👉 Ready to brighten your space? **Link in bio** to shop!  
#SucculentLove #SedumPachyphyllum #PlantParenthood #IndoorPlants #GreenThumb #PlantAddict #PlantStyling #HomeDecor #HouseplantClub #RosaryPlantHouse 🌱💚</t>
        </is>
      </c>
    </row>
    <row r="137" ht="99.5" customHeight="1">
      <c r="A137" s="73" t="n">
        <v>136</v>
      </c>
      <c r="B137" s="74" t="inlineStr">
        <is>
          <t>Pilea</t>
        </is>
      </c>
      <c r="C137" s="74">
        <f>IF(Local!H137,"1","0")</f>
        <v/>
      </c>
      <c r="D137" s="75" t="n">
        <v>59</v>
      </c>
      <c r="E137" s="66" t="inlineStr">
        <is>
          <t>Pilea cadierei</t>
        </is>
      </c>
      <c r="F137" s="76">
        <f>"public/sale_plants/"&amp;A137&amp;".jpg"</f>
        <v/>
      </c>
      <c r="G137" s="77" t="inlineStr">
        <is>
          <t>(2"-3")</t>
        </is>
      </c>
      <c r="H137" s="78" t="inlineStr">
        <is>
          <t>High</t>
        </is>
      </c>
      <c r="I137" s="66" t="inlineStr">
        <is>
          <t>Medium</t>
        </is>
      </c>
      <c r="J137" s="66" t="inlineStr">
        <is>
          <t>Medium</t>
        </is>
      </c>
      <c r="K137" s="79" t="n">
        <v>79</v>
      </c>
      <c r="L137" s="80" t="inlineStr">
        <is>
          <t>Others</t>
        </is>
      </c>
      <c r="M137" s="80" t="n">
        <v>0</v>
      </c>
      <c r="N137" s="80" t="n">
        <v>0</v>
      </c>
      <c r="O137" s="81" t="n">
        <v>0</v>
      </c>
      <c r="P137" s="80" t="n">
        <v>0</v>
      </c>
      <c r="Q137" s="81">
        <f>IF(Local!I137=TRUE,1,0)</f>
        <v/>
      </c>
      <c r="R137" s="81">
        <f>Local!D137</f>
        <v/>
      </c>
      <c r="S137" s="81">
        <f>Local!F137</f>
        <v/>
      </c>
      <c r="T137" s="81">
        <f>Local!G137</f>
        <v/>
      </c>
      <c r="U137" s="83" t="inlineStr">
        <is>
          <t>## About
The Aluminum Plant is a beautiful foliage houseplant known for its striking silver-striped leaves that look like they have been painted with metallic aluminum paint. This compact, bushy plant is perfect for adding a touch of elegance to any indoor space and is loved by beginners for its easy-going nature.
## Origin
Native to the tropical rainforests of Vietnam and China, the Aluminum Plant grows naturally in the warm, humid understory of forests where it receives filtered light through the tree canopy.
## Temperature &amp; Humidity
- **Temperature Range:** 15Â°C to 30Â°C
- **Humidity:** Prefers moderate to high humidity levels between 50% to 70%. The plant adapts well to average household humidity but thrives in slightly more humid conditions, making it perfect for Indian climates, especially during monsoon season.
## Growth
The Aluminum Plant grows as a compact, bushy perennial that typically reaches 30 to 40 cm in height and spreads about 20 to 30 cm wide. It has a moderate growth rate and develops a dense, mounded shape with multiple stems. The plant produces oval-shaped leaves with beautiful quilted texture and distinctive silvery-white stripes running along the leaf veins against a deep green background.
## Watering
- **Frequency:** Water once or twice a week depending on season and weather conditions. During summer months, the plant may need more frequent watering, while in winter you can reduce the frequency.
- **Tips:** Keep the soil consistently moist but never waterlogged. Water when the top 2-3 cm of soil feels dry to touch. Use room temperature water and avoid letting the plant sit in standing water. During monsoon season in India, reduce watering frequency as humidity levels are naturally high.
## Sunlight
- **Hours per day:** 3 to 5 hours
- **Type:** Bright indirect or filtered light. Avoid direct sunlight which can scorch and fade the beautiful silver markings on the leaves. The plant does well near east or north-facing windows in Indian homes.
## Care Tips
- Keep away from direct afternoon sun, especially during harsh Indian summers
- Mist the leaves occasionally during dry winter months or when using air conditioning
- Rotate the pot every few weeks to ensure even growth on all sides
- Pinch back growing tips regularly to encourage bushier, fuller growth
- Clean leaves gently with a damp cloth to remove dust and keep the silver pattern shining
- Protect from cold drafts and temperatures below 15Â°C during winter nights
- Works excellently in Indian living rooms, bedrooms, and office spaces with good natural light
## Growth Tips
- Use well-draining potting mix with equal parts regular potting soil, perlite, and peat moss or cocopeat
- Feed with a balanced liquid fertilizer diluted to half strength once a month during the growing season (spring and summer)
- Repot every 1 to 2 years in spring when the plant becomes root-bound, moving up just one pot size
- Propagate easily through stem cuttings in water or soil during warm months
- Add organic compost once every 3 to 4 months to enrich the soil naturally
## Common Problems
- **Leaf browning and crispy edges:** Usually caused by low humidity, underwatering, or exposure to direct hot sun
- **Yellowing leaves:** Often a sign of overwatering or poor drainage leading to root rot
- **Fading of silver markings:** Happens when the plant receives too much direct sunlight or insufficient light
- **Leggy growth:** Indicates the plant is not getting enough light and is stretching toward the light source
- **Drooping leaves:** Can be due to both underwatering and overwatering, so check soil moisture before acting
- **Pest issues:** Watch for mealybugs, spider mites, and aphids, especially in dry conditions. Treat with neem oil spray
- **Leaf drop:** May occur due to sudden temperature changes, cold drafts, or stress from relocation</t>
        </is>
      </c>
      <c r="V137" s="98">
        <f>HYPERLINK("https://rosaryplanthouse.com/plant/"&amp;A137&amp;"-"&amp;SUBSTITUTE(LOWER(E137), " ", "-"))</f>
        <v/>
      </c>
      <c r="W137" t="inlineStr">
        <is>
          <t>🟢 Pilea cadierei (ID: 136)
✨ Add a touch of elegance to your indoor oasis with the stunning Aluminum Plant! 🌿 This beauty features striking silver-striped leaves that look almost metallic, perfect for creating a chic atmosphere in any space. 
🌟 **About**: Native to the tropical rainforests of Vietnam and China, the Pilea thrives in warm, humid conditions and is loved for its easy-going care requirements. 
🌱 **Key Details**:
- **Watering**: Keep the soil consistently moist, watering once or twice a week.
- **Sunlight**: Prefers bright indirect light; avoid the harsh afternoon sun!
- **Humidity**: Thrives in moderate to high humidity, making it perfect for Indian climates. 
👉 Ready to elevate your plant game? Discover more about the Pilea cadierei—Link in bio! 
#Pilea #AluminumPlant #Houseplants #IndoorPlants #PlantLovers #GreenThumb #PlantCare #HomeDecor #IndoorGarden #RosaryPlantHouse #NatureLovers #PlantParent #HouseplantClub #PlantAddict #UrbanJungle #BotanicalBeauty</t>
        </is>
      </c>
    </row>
    <row r="138" ht="99.5" customHeight="1">
      <c r="A138" s="73" t="n">
        <v>137</v>
      </c>
      <c r="B138" s="74" t="inlineStr">
        <is>
          <t>Grass Sedum</t>
        </is>
      </c>
      <c r="C138" s="74">
        <f>IF(Local!H138,"1","0")</f>
        <v/>
      </c>
      <c r="D138" s="75" t="n">
        <v>69</v>
      </c>
      <c r="E138" s="66" t="inlineStr">
        <is>
          <t>Sedum album 'Coral Carpet'</t>
        </is>
      </c>
      <c r="F138" s="76">
        <f>"public/sale_plants/"&amp;A138&amp;".jpg"</f>
        <v/>
      </c>
      <c r="G138" s="77" t="inlineStr">
        <is>
          <t>(2"-3")</t>
        </is>
      </c>
      <c r="H138" s="78" t="inlineStr">
        <is>
          <t>Moderate</t>
        </is>
      </c>
      <c r="I138" s="66" t="inlineStr">
        <is>
          <t>Low</t>
        </is>
      </c>
      <c r="J138" s="66" t="inlineStr">
        <is>
          <t>High</t>
        </is>
      </c>
      <c r="K138" s="79" t="n">
        <v>59</v>
      </c>
      <c r="L138" s="80" t="inlineStr">
        <is>
          <t>Sedum</t>
        </is>
      </c>
      <c r="M138" s="80" t="n">
        <v>0</v>
      </c>
      <c r="N138" s="80" t="n">
        <v>1</v>
      </c>
      <c r="O138" s="81" t="n">
        <v>0</v>
      </c>
      <c r="P138" s="80" t="n">
        <v>0</v>
      </c>
      <c r="Q138" s="81">
        <f>IF(Local!I138=TRUE,1,0)</f>
        <v/>
      </c>
      <c r="R138" s="81">
        <f>Local!D138</f>
        <v/>
      </c>
      <c r="S138" s="81">
        <f>Local!F138</f>
        <v/>
      </c>
      <c r="T138" s="81">
        <f>Local!G138</f>
        <v/>
      </c>
      <c r="U138" s="83" t="inlineStr">
        <is>
          <t>## About
Chamomile Sedum is a beautiful, compact succulent with delicate, needle-like green foliage that forms tight, rounded mounds resembling chamomile flowers. This charming plant is perfect for rock gardens, borders, and container displays, adding texture and year-round interest to any garden.
## Origin
This sedum variety originates from Europe and is commonly found growing in rocky areas, stone walls, and mountainous regions. It has adapted to grow in poor soil conditions and can tolerate harsh environments, making it an excellent choice for low-maintenance gardens.
## Temperature &amp; Humidity
- **Temperature Range:** 15Â°C to 35Â°C (can tolerate up to 40Â°C in Indian summers)
- **Humidity:** Low to moderate humidity (30% to 50%). This plant prefers drier conditions and can struggle in very humid monsoon climates without proper drainage.
## Growth
Chamomile Sedum is a low-growing, mat-forming succulent that typically reaches 5 to 10 cm in height and can spread up to 30 cm wide. It grows at a moderate pace and forms dense, cushion-like clumps. The plant has a compact, mounding growth habit with tiny, fleshy leaves arranged closely along the stems, creating a moss-like appearance. It remains evergreen throughout the year in mild climates.
## Watering
- **Frequency:** Once every 10-14 days depending on season and weather conditions. Water less frequently during monsoon and winter, and slightly more during hot summer months.
- **Tips:** Allow the soil to dry completely between waterings. Water early morning or late evening. Avoid waterlogging as this can cause root rot. During monsoon season, protect from excessive rain or move to a covered area. The plant is drought-tolerant and prefers to stay on the drier side.
## Sunlight
- **Hours per day:** 5 to 6 hours
- **Type:** Direct sunlight is best. The plant can tolerate partial shade but grows best and maintains its compact form in full sun. In extreme Indian summer heat (above 40Â°C), provide light afternoon shade to prevent scorching.
## Care Tips
- Place in a location with excellent air circulation to prevent fungal issues during humid months
- Ensure the pot has drainage holes to prevent water accumulation
- During Indian summers, morning sun is ideal; provide some afternoon shade in very hot regions
- Reduce watering significantly during monsoon season
- Remove any dead or dried foliage to maintain appearance and prevent pest hiding spots
- This plant is sensitive to overwatering, especially in humid coastal areas of India
## Growth Tips
- Use well-draining succulent or cactus potting mix, or create your own with 60% regular soil, 30% coarse sand, and 10% perlite
- Add a layer of gravel or small stones at the pot bottom for extra drainage
- Feed with diluted liquid succulent fertilizer once every 2-3 months during growing season (spring and early summer)
- Repot every 2-3 years or when the plant outgrows its container
- Propagate easily through stem cuttings or division during spring
- Top-dress with decorative pebbles to enhance appearance and prevent soil splash
## Common Problems
- **Root rot:** Caused by overwatering or poor drainage, especially during monsoon. Symptoms include yellowing, mushy stems
- **Leggy growth:** Insufficient sunlight causes stems to stretch and lose compact form
- **Leaf drop:** Excessive moisture or humidity can cause leaves to fall off
- **Mealybugs and aphids:** Can appear in humid conditions. Treat with neem oil spray
- **Fungal infections:** High humidity and poor air circulation can lead to powdery mildew. Ensure good ventilation
- **Scorched leaves:** Too much intense afternoon sun during peak summer can cause browning; provide light shade during hottest hours</t>
        </is>
      </c>
      <c r="V138" s="98">
        <f>HYPERLINK("https://rosaryplanthouse.com/plant/"&amp;A138&amp;"-"&amp;SUBSTITUTE(LOWER(E138), " ", "-"))</f>
        <v/>
      </c>
      <c r="W138" t="inlineStr">
        <is>
          <t>🟢 Sedum album 'Coral Carpet' (ID: 137)
🌿✨ Looking for a stunning addition to your garden? Meet the charming Grass Sedum! This compact succulent brings a delightful touch of green with its needle-like foliage, perfect for rock gardens and container displays. 
🌱 **About:** The Grass Sedum forms tight, rounded mounds that resemble chamomile flowers, adding texture and year-round interest to your outdoor oasis. Originating from Europe, it's a tough little plant that thrives in rocky areas, making it ideal for low-maintenance gardens!
☀️ **Key Details:**
- **Watering:** Low; water every 10-14 days
- **Sunlight:** Loves 5-6 hours of direct sun 
- **Humidity:** Prefers low to moderate humidity
💚 Get ready to enhance your garden's beauty effortlessly! Check out more about this succulent through the 'Link in bio'! 
#Sedum #GrassSedum #SucculentLove #GardenGoals #PlantParent #LowMaintenancePlants #SucculentCare #GreenThumb #RosaryPlantHouse #PlantLovers #IndoorPlants #Gardening #PlantCollection #SucculentAddict</t>
        </is>
      </c>
    </row>
    <row r="139" ht="99.5" customHeight="1">
      <c r="A139" s="73" t="n">
        <v>138</v>
      </c>
      <c r="B139" s="74" t="inlineStr">
        <is>
          <t>bear's paw</t>
        </is>
      </c>
      <c r="C139" s="74">
        <f>IF(Local!H139,"1","0")</f>
        <v/>
      </c>
      <c r="D139" s="75" t="n">
        <v>79</v>
      </c>
      <c r="E139" s="66" t="inlineStr">
        <is>
          <t>Cotyledon tomentosa</t>
        </is>
      </c>
      <c r="F139" s="76">
        <f>"public/sale_plants/"&amp;A139&amp;".jpg"</f>
        <v/>
      </c>
      <c r="G139" s="77" t="inlineStr">
        <is>
          <t>(2"-3")</t>
        </is>
      </c>
      <c r="H139" s="78" t="inlineStr">
        <is>
          <t>High</t>
        </is>
      </c>
      <c r="I139" s="66" t="inlineStr">
        <is>
          <t>Low</t>
        </is>
      </c>
      <c r="J139" s="66" t="inlineStr">
        <is>
          <t>Medium</t>
        </is>
      </c>
      <c r="K139" s="79" t="n">
        <v>99</v>
      </c>
      <c r="L139" s="80" t="inlineStr">
        <is>
          <t>Succulent</t>
        </is>
      </c>
      <c r="M139" s="80" t="n">
        <v>0</v>
      </c>
      <c r="N139" s="80" t="n">
        <v>0</v>
      </c>
      <c r="O139" s="81" t="n">
        <v>0</v>
      </c>
      <c r="P139" s="81" t="n">
        <v>0</v>
      </c>
      <c r="Q139" s="81">
        <f>IF(Local!I139=TRUE,1,0)</f>
        <v/>
      </c>
      <c r="R139" s="81">
        <f>Local!D139</f>
        <v/>
      </c>
      <c r="S139" s="81">
        <f>Local!F139</f>
        <v/>
      </c>
      <c r="T139" s="81">
        <f>Local!G139</f>
        <v/>
      </c>
      <c r="U139" s="83" t="inlineStr">
        <is>
          <t>## About
Bear's Paw is a charming succulent with fuzzy, green leaves that look like tiny bear paws. The leaves have soft white hairs and reddish-brown tips that resemble claws, making it one of the most adorable plants in the succulent family. It's native to South Africa and is perfect for beginner plant lovers.
## Origin
This plant comes from South Africa, where it grows naturally in rocky, dry areas. It is adapted to survive in tough conditions with little water and plenty of sunlight.
## Temperature &amp; Humidity
- **Temperature Range:** 15Â°C to 30Â°C
- **Humidity:** This plant prefers low to moderate humidity levels (around 30% to 50%). It can tolerate the dry conditions found in most Indian homes, but struggles in very humid or wet environments.
## Growth
Bear's Paw is a slow-growing succulent that typically reaches 20-30 cm in height. It grows in a compact, bushy form with thick stems. The plant spreads moderately and can produce small offsets over time. Growth is slower during hot summer months and winter, with active growth occurring during spring and autumn.
## Watering
- **Frequency:** Once every 10-15 days depending on season and weather conditions. In monsoon, reduce watering significantly.
- **Tips:** Always check if the soil is completely dry before watering. Water thoroughly until water drains from the bottom, but never let the plant sit in water. Reduce watering in winter and monsoon seasons. Overwatering is the biggest enemy of this plant, so when in doubt, wait a few more days before watering.
## Sunlight
- **Hours per day:** 4 to 6 hours
- **Type:** Bright indirect light or early morning direct sunlight. Avoid harsh afternoon sun in Indian summers as it can burn the fuzzy leaves. A spot near an east-facing window is ideal.
## Care Tips
- Keep the plant in a well-ventilated area to prevent fungal issues, especially during monsoon
- Avoid getting water on the fuzzy leaves as they can rot easily
- Protect from temperatures below 10Â°C during winter in north India
- During summer heat above 35Â°C, move to a shadier spot or provide afternoon shade
- The plant goes semi-dormant in extreme heat and cold, so reduce watering during these times
- Good for air-conditioned rooms as it likes moderate temperatures
## Growth Tips
- Use a well-draining succulent or cactus mix with plenty of perlite or coarse sand
- Add 30-40% sand or pumice to regular potting soil to improve drainage
- Fertilize once every 2-3 months during growing season (spring and autumn) with diluted liquid fertilizer
- Use a clay or terracotta pot for better air circulation and drainage
- Repot every 2-3 years or when the plant outgrows its pot
- Propagate easily from leaf cuttings or stem cuttings during spring
## Common Problems
- **Leaf drop:** Usually caused by overwatering or poor drainage. Ensure soil dries completely between waterings
- **Brown, mushy leaves:** Sign of root rot from too much water or humidity. Reduce watering immediately
- **Stretching or leggy growth:** Not getting enough light. Move to a brighter location
- **Shriveled leaves:** Underwatering. Give the plant a thorough drink
- **White fuzzy patches:** Mealybugs are common pests. Remove with cotton swabs dipped in rubbing alcohol
- **Burnt or brown patches on leaves:** Too much direct harsh sunlight. Provide filtered light during peak afternoon hours
- **Yellowing leaves:** Can indicate overwatering or nutrient deficiency. Check soil moisture first</t>
        </is>
      </c>
      <c r="V139" s="98">
        <f>HYPERLINK("https://rosaryplanthouse.com/plant/"&amp;A139&amp;"-"&amp;SUBSTITUTE(LOWER(E139), " ", "-"))</f>
        <v/>
      </c>
      <c r="W139" t="inlineStr">
        <is>
          <t>🟢 Cotyledon Tomentosa (ID: 138)
🌱 Meet the adorable Bear's Paw! This charming succulent features fuzzy green leaves that look just like tiny bear paws — complete with soft white hairs and reddish-brown tips. Perfect for both seasoned plant parents and beginners, it thrives in low-maintenance conditions!
✨ **Key Details:**
- **Watering:** Low frequency (every 10-15 days)
- **Sunlight:** Prefers 4-6 hours of bright indirect light
- **Humidity:** Thrives in low to moderate humidity
Whether you're sprucing up your indoor space or looking for a delightful gift, the Bear's Paw is sure to bring a smile! 🌼
👉 Discover more about how to care for this little gem! Link in bio. 
#BearPaw #CotyledonTomentosa #SucculentLove #PlantParenthood #IndoorPlants #PlantCare #SucculentCollection #GreenThumb #RosaryPlantHouse #PlantLovers #HomeDecor #NatureInspiration #EasyCarePlants 🌿</t>
        </is>
      </c>
    </row>
    <row r="140" ht="99.5" customHeight="1">
      <c r="A140" s="73" t="n">
        <v>139</v>
      </c>
      <c r="B140" s="74" t="inlineStr">
        <is>
          <t>string of hearts</t>
        </is>
      </c>
      <c r="C140" s="74">
        <f>IF(Local!H140,"1","0")</f>
        <v/>
      </c>
      <c r="D140" s="75" t="n">
        <v>99</v>
      </c>
      <c r="E140" s="66" t="inlineStr">
        <is>
          <t>Ceropegia woodii</t>
        </is>
      </c>
      <c r="F140" s="76">
        <f>"public/sale_plants/"&amp;A140&amp;".jpg"</f>
        <v/>
      </c>
      <c r="G140" s="77" t="inlineStr">
        <is>
          <t>(2"-3")</t>
        </is>
      </c>
      <c r="H140" s="78" t="inlineStr">
        <is>
          <t>High</t>
        </is>
      </c>
      <c r="I140" s="66" t="inlineStr">
        <is>
          <t>Low</t>
        </is>
      </c>
      <c r="J140" s="66" t="inlineStr">
        <is>
          <t>Medium</t>
        </is>
      </c>
      <c r="K140" s="79" t="n">
        <v>120</v>
      </c>
      <c r="L140" s="80" t="inlineStr">
        <is>
          <t>Succulent</t>
        </is>
      </c>
      <c r="M140" s="80" t="n">
        <v>0</v>
      </c>
      <c r="N140" s="80" t="n">
        <v>0</v>
      </c>
      <c r="O140" s="81" t="n">
        <v>0</v>
      </c>
      <c r="P140" s="80" t="n">
        <v>0</v>
      </c>
      <c r="Q140" s="81">
        <f>IF(Local!I140=TRUE,1,0)</f>
        <v/>
      </c>
      <c r="R140" s="81">
        <f>Local!D140</f>
        <v/>
      </c>
      <c r="S140" s="81">
        <f>Local!F140</f>
        <v/>
      </c>
      <c r="T140" s="81">
        <f>Local!G140</f>
        <v/>
      </c>
      <c r="U140" s="83" t="inlineStr">
        <is>
          <t>## About
String of Hearts is a beautiful trailing succulent plant with delicate heart-shaped leaves that cascade down like a waterfall. The leaves have a lovely silver-grey pattern on top and purple undersides, making it a stunning decorative plant. It is perfect for hanging baskets and is very popular among indoor plant lovers in India.
## Origin
String of Hearts originally comes from South Africa, Zimbabwe, and Swaziland. It grows naturally in rocky areas and prefers well-draining soil. The plant has adapted to survive in dry conditions, which makes it an easy-care plant for Indian homes.
## Temperature &amp; Humidity
- **Temperature Range:** 18Â°C to 30Â°C
- **Humidity:** This plant does well in normal household humidity levels of 40% to 50%. It can tolerate dry air quite well, making it perfect for Indian climates, especially in drier regions. However, it will appreciate slightly higher humidity during very hot summer months.
## Growth
String of Hearts is a slow to moderate growing plant. Its trailing vines can grow up to 2 to 3 meters long if left unpruned. The heart-shaped leaves are small, about 1 to 2 cm wide, and grow in pairs along thin, wire-like stems. The plant develops small tubers along the stems which can be used for propagation. It grows best when allowed to trail from hanging pots or placed on high shelves.
## Watering
- **Frequency:** Water once every week or two depending on season and weather conditions. In summer, you may need to water once a week, while in winter, once every two weeks is enough.
- **Tips:** Always check if the soil is completely dry before watering. The plant stores water in its tuberous roots and leaves, so it can handle drought better than overwatering. Water thoroughly when you do water, but make sure excess water drains out completely. Reduce watering during monsoon season and winter months.
## Sunlight
- **Hours per day:** 3 to 5 hours
- **Type:** Bright indirect light is best. Some morning direct sunlight for 1-2 hours is beneficial and will enhance the purple color on the underside of leaves. Avoid harsh afternoon sun which can burn the delicate leaves.
## Care Tips
- Keep the plant in a bright spot near an east or north-facing window for best results in Indian homes
- The plant can tolerate low light but will grow slower and may lose its vibrant coloring
- Prune regularly to encourage bushier growth and prevent the vines from becoming too leggy
- During Indian summers (April-June), move the plant slightly away from direct harsh sunlight
- In winter months (December-February), reduce watering significantly as the plant goes semi-dormant
- The plant is pet-safe and non-toxic, making it perfect for homes with cats and dogs
- Wipe the leaves occasionally to remove dust and keep them looking fresh
## Growth Tips
- Use a well-draining succulent or cactus potting mix. You can add perlite or cocopeat to regular soil to improve drainage
- Feed with a balanced liquid fertilizer diluted to half strength once every month during the growing season (March to October)
- Repot only when the plant becomes root-bound, usually every 2 to 3 years
- Use a shallow pot with drainage holes as the roots don't grow very deep
- Propagate easily by placing the stem tubers or stem cuttings in moist soil or water
- Pinch off the growing tips to encourage the plant to become fuller and bushier
## Common Problems
- **Yellowing leaves:** Usually caused by overwatering. Allow soil to dry out completely between waterings
- **Leaves dropping off:** This can happen due to underwatering or sudden temperature changes. Maintain consistent care
- **Leggy growth with sparse leaves:** Not enough light. Move the plant to a brighter location
- **Shriveled leaves:** The plant needs water. Give it a thorough watering
- **Root rot:** Caused by too much water and poor drainage. Always use pots with drainage holes
- **Pests:** Mealybugs and aphids can occasionally attack. Wipe them off with neem oil solution
- **Stunted growth:** May need fertilizer or the plant could be root-bound and needs repotting</t>
        </is>
      </c>
      <c r="V140" s="98">
        <f>HYPERLINK("https://rosaryplanthouse.com/plant/"&amp;A140&amp;"-"&amp;SUBSTITUTE(LOWER(E140), " ", "-"))</f>
        <v/>
      </c>
      <c r="W140" t="inlineStr">
        <is>
          <t>🟢 String of Hearts (ID: 139)
🌿 Looking for a touch of elegance in your home? Meet the enchanting String of Hearts! This stunning trailing succulent is not just a plant; it's a statement piece that effortlessly adds charm to any space. 💖
✨ With its delicate heart-shaped leaves adorned in silver-grey patterns and vibrant purple undersides, this beauty creates a mesmerizing cascade that will captivate your heart! Originally from the rocky landscapes of South Africa, it thrives in Indian homes, requiring just the right amount of love and care. 
🌱 **Key Details:**
- **Watering:** Low maintenance; water every 1-2 weeks.
- **Sunlight:** Prefers bright, indirect light for optimal growth.
- **Humidity:** Adapts well to normal household levels, perfect for drier climates.
👉 Ready to bring this gorgeous plant into your home? Click "Link in bio" to explore more!
#StringOfHearts #CeropegiaWoodii #SucculentLove #IndoorPlants #PlantLovers #GreenThumb #HomeDecor #PlantParent #NatureLovers #RosaryPlantHouse #PlantCare #HousePlants #UrbanJungle #IndoorGardening #PlantCollection #PlantAddict 🌱💚</t>
        </is>
      </c>
    </row>
    <row r="141" ht="99.5" customHeight="1">
      <c r="A141" s="73" t="n">
        <v>140</v>
      </c>
      <c r="B141" s="74" t="inlineStr">
        <is>
          <t>creeping jade</t>
        </is>
      </c>
      <c r="C141" s="74">
        <f>IF(Local!H141,"1","0")</f>
        <v/>
      </c>
      <c r="D141" s="75" t="n">
        <v>69</v>
      </c>
      <c r="E141" s="66" t="inlineStr">
        <is>
          <t>Kleinia petraea</t>
        </is>
      </c>
      <c r="F141" s="76">
        <f>"public/sale_plants/"&amp;A141&amp;".jpg"</f>
        <v/>
      </c>
      <c r="G141" s="77" t="inlineStr">
        <is>
          <t>(2"-3")</t>
        </is>
      </c>
      <c r="H141" s="78" t="inlineStr">
        <is>
          <t>Low</t>
        </is>
      </c>
      <c r="I141" s="66" t="inlineStr">
        <is>
          <t>Low</t>
        </is>
      </c>
      <c r="J141" s="66" t="inlineStr">
        <is>
          <t>High</t>
        </is>
      </c>
      <c r="K141" s="79" t="n">
        <v>69</v>
      </c>
      <c r="L141" s="80" t="inlineStr">
        <is>
          <t>Jade</t>
        </is>
      </c>
      <c r="M141" s="80" t="n">
        <v>0</v>
      </c>
      <c r="N141" s="80" t="n">
        <v>1</v>
      </c>
      <c r="O141" s="81" t="n">
        <v>0</v>
      </c>
      <c r="P141" s="80" t="n">
        <v>0</v>
      </c>
      <c r="Q141" s="81">
        <f>IF(Local!I141=TRUE,1,0)</f>
        <v/>
      </c>
      <c r="R141" s="81">
        <f>Local!D141</f>
        <v/>
      </c>
      <c r="S141" s="81">
        <f>Local!F141</f>
        <v/>
      </c>
      <c r="T141" s="81">
        <f>Local!G141</f>
        <v/>
      </c>
      <c r="U141" s="83" t="inlineStr">
        <is>
          <t>## About
Creeping Jade is a beautiful succulent plant with thick, fleshy green leaves that grow along trailing stems. Native to South Africa, this plant is loved by gardeners for its easy care and attractive appearance. The plant gets its name from its jade-like appearance and creeping growth habit.
## Origin
Kleinia petraea originates from the rocky areas of South Africa. In its natural habitat, it grows in dry, rocky terrain where it has adapted to survive with minimal water. The plant thrives in arid conditions and has developed thick, water-storing leaves to survive drought periods.
## Temperature &amp; Humidity
- **Temperature Range:** 15Â°C to 35Â°C
- **Humidity:** Low to moderate humidity (30% to 50%). This plant does well in typical Indian climate conditions and can tolerate dry air. It grows well throughout most of India, especially in regions with hot, dry summers.
## Growth
Creeping Jade is a slow to moderate grower that can reach up to 30-40 cm in height. The plant has a compact, upright growth habit when young but may develop a slightly trailing nature as it matures. Each stem is densely packed with rounded, cylindrical leaves that point upward. The leaves are bright green with a slightly powdery coating. Over time, the plant may develop multiple stems from the base, creating a fuller appearance.
## Watering
- **Frequency:** Once every 10-14 days depending on season and weather conditions. During monsoon season, reduce watering significantly. In hot summer months, you may need to water once a week depending on other parameters.
- **Tips:** Always check if the soil is completely dry before watering. Water thoroughly until water drains from the bottom, but never let the plant sit in water. Overwatering is the most common cause of problems with this plant. During winter months, reduce watering to once every 2-3 weeks. The leaves will wrinkle slightly when the plant needs water.
## Sunlight
- **Hours per day:** 4 to 6 hours
- **Type:** Direct bright sunlight or bright indirect light. Morning sun is ideal. Can tolerate full afternoon sun once acclimatized, but may need protection during extreme summer heat (above 40Â°C). In Indian conditions, east or west-facing windows work best for indoor plants.
## Care Tips
- Keep in a well-ventilated area to prevent fungal issues, especially during monsoon season
- Avoid getting water on the leaves to prevent rot and maintain the powdery coating
- Can be kept outdoors year-round in most parts of India, but bring indoors if temperature drops below 10Â°C
- Wipe dust off leaves gently with a soft, dry cloth every few weeks
- During hot summer months (April-June), provide some afternoon shade if kept outdoors
- The plant is drought-tolerant and can survive if you forget to water it occasionally
## Growth Tips
- Use a well-draining cactus or succulent potting mix. You can make your own by mixing regular potting soil with cocopeat and perlite or sand (ratio 1:1:1)
- Add a layer of small stones or gravel at the bottom of the pot for extra drainage
- Feed with a diluted liquid succulent fertilizer once every 2-3 months during the growing season (spring and summer)
- Repot every 2-3 years or when the plant outgrows its pot, preferably in spring
- Use terracotta or clay pots which allow soil to dry faster and prevent waterlogging
- Propagate easily from stem cuttings - let the cutting dry for 2-3 days before planting in dry soil
## Common Problems
- **Yellowing or mushy leaves:** This is caused by overwatering or poor drainage. Reduce watering frequency immediately
- **Wrinkled, shriveled leaves:** The plant needs water. Give it a thorough watering
- **Elongated stems with sparse leaves (etiolation):** Not enough sunlight. Move to a brighter location
- **Brown, crispy leaf tips:** Too much direct harsh sun or underwatering. Provide some afternoon shade during peak summer
- **Mealybugs:** White cottony pests may appear on leaves. Wipe with cotton dipped in rubbing alcohol or neem oil solution
- **Root rot:** Caused by overwatering or poor drainage. Leaves become soft and translucent. Remove affected parts and repot in fresh, dry soil
- **Leaf drop:** Usually caused by sudden temperature changes or overwatering. Maintain consistent conditions</t>
        </is>
      </c>
      <c r="V141" s="98">
        <f>HYPERLINK("https://rosaryplanthouse.com/plant/"&amp;A141&amp;"-"&amp;SUBSTITUTE(LOWER(E141), " ", "-"))</f>
        <v/>
      </c>
      <c r="W141" t="inlineStr">
        <is>
          <t>🟢 Creeping Jade (ID: 140)  
🌿 Looking for a low-maintenance beauty to add some greenery to your space? Meet the stunning Creeping Jade! This resilient succulent is perfect for plant lovers of all levels.  
✨ With its vibrant green, fleshy leaves and charming trailing growth, the Creeping Jade will bring a touch of nature into your home or garden. Native to South Africa, it thrives in bright sunlight and requires minimal watering—making it an ideal choice for busy lifestyles!  
📝 **Key Details:**  
- 🌞 **Sunlight:** 4-6 hours of bright light  
- 💧 **Watering:** Every 10-14 days, let soil dry out completely  
- 🌱 **Care:** Drought-tolerant &amp; easy to propagate  
👉 Ready to add the Creeping Jade to your collection? Link in bio!  
#CreepingJade #KleiniaPetraea #SucculentLove #PlantParent #IndoorPlants #GreenThumb #PlantCare #SucculentCare #RosaryPlantHouse #Houseplants #PlantLife #Gardening #SucculentsOfInstagram #PlantAddict #Greenery #PlantGoals</t>
        </is>
      </c>
    </row>
    <row r="142" ht="99.5" customHeight="1">
      <c r="A142" s="73" t="n">
        <v>141</v>
      </c>
      <c r="B142" s="74" t="inlineStr">
        <is>
          <t>white sedum</t>
        </is>
      </c>
      <c r="C142" s="74">
        <f>IF(Local!H142,"1","0")</f>
        <v/>
      </c>
      <c r="D142" s="75" t="n">
        <v>49</v>
      </c>
      <c r="E142" s="66" t="inlineStr">
        <is>
          <t>Graptopetalum paraguayense</t>
        </is>
      </c>
      <c r="F142" s="76">
        <f>"public/sale_plants/"&amp;A142&amp;".jpg"</f>
        <v/>
      </c>
      <c r="G142" s="77" t="inlineStr">
        <is>
          <t>(1.5"-2")</t>
        </is>
      </c>
      <c r="H142" s="78" t="inlineStr">
        <is>
          <t>High</t>
        </is>
      </c>
      <c r="I142" s="66" t="inlineStr">
        <is>
          <t>Low</t>
        </is>
      </c>
      <c r="J142" s="66" t="inlineStr">
        <is>
          <t>Medium</t>
        </is>
      </c>
      <c r="K142" s="79" t="n">
        <v>69</v>
      </c>
      <c r="L142" s="80" t="inlineStr">
        <is>
          <t>Succulent</t>
        </is>
      </c>
      <c r="M142" s="80" t="n">
        <v>0</v>
      </c>
      <c r="N142" s="80" t="n">
        <v>0</v>
      </c>
      <c r="O142" s="81" t="n">
        <v>0</v>
      </c>
      <c r="P142" s="81" t="n">
        <v>0</v>
      </c>
      <c r="Q142" s="81">
        <f>IF(Local!I142=TRUE,1,0)</f>
        <v/>
      </c>
      <c r="R142" s="81">
        <f>Local!D142</f>
        <v/>
      </c>
      <c r="S142" s="81">
        <f>Local!F142</f>
        <v/>
      </c>
      <c r="T142" s="81">
        <f>Local!G142</f>
        <v/>
      </c>
      <c r="U142" s="83" t="inlineStr">
        <is>
          <t>## About
Leather Petal is a beautiful rosette-forming succulent with thick, fleshy leaves that have a powdery coating giving them a soft, dusty appearance. The plant gets its name from the leathery texture of its petals and leaves, which range from pale blue-gray to pink-gray depending on light exposure.
## Origin
This succulent is native to Mexico and also found in Paraguay and Argentina. It naturally grows in rocky, dry areas where it has adapted to survive with minimal water. The plant thrives in mountainous regions with good drainage.
## Temperature &amp; Humidity
- **Temperature Range:** 15Â°C to 35Â°C (can tolerate up to 40Â°C in Indian summers)
- **Humidity:** Prefers low to moderate humidity levels between 30% to 50%. It tolerates the dry conditions found in most Indian homes very well.
## Growth
Leather Petal grows as a compact rosette that can reach 10-15 cm in diameter. It is a moderately fast-growing succulent that produces offsets (baby plants) around the base. The plant can trail or cascade slightly as it matures, making it attractive in containers. Under good conditions, it can spread to about 20-30 cm wide over time.
## Watering
- **Frequency:** Once every 10-14 days depending on season and weather conditions. Water less during monsoon and winter, more during hot summer months.
- **Tips:** Always check if the soil is completely dry before watering again. Water at the soil level, not on the leaves, to prevent the powdery coating from washing away. During Indian monsoons, reduce watering significantly or move the plant to a sheltered spot to prevent root rot.
## Sunlight
- **Hours per day:** 4 to 6 hours
- **Type:** Bright indirect light or morning direct sunlight. Afternoon sun in Indian summers can be too harsh and may burn the leaves. Filtered light through a window or shade cloth works best.
## Care Tips
- Protect from intense afternoon sun during Indian summers (April-June) as it can scorch the leaves
- The powdery coating (farina) on leaves is natural and protects the plant - avoid touching leaves frequently
- Good air circulation is important, especially during humid monsoon months
- Can be kept indoors near a bright window year-round
- The plant may turn more pink or purple with stress from sun exposure, which is normal and attractive
- Remove dead lower leaves to keep the plant tidy and prevent pest hiding spots
## Growth Tips
- Use well-draining cactus or succulent mix with added perlite or coarse sand
- Terracotta pots work best as they allow soil to dry faster
- Feed with diluted liquid succulent fertilizer once a month during growing season (February to October)
- Repot every 2-3 years in spring when the plant outgrows its container
- Propagate easily from leaf cuttings or offsets - let cuttings dry for 2-3 days before planting
- Add a top layer of small stones for better drainage and aesthetic appeal
## Common Problems
- **Overwatering:** Causes root rot, soft mushy leaves, and yellowing. Always ensure soil is dry before watering again.
- **Etiolation (stretching):** Happens when plant doesn't get enough light. Leaves become spaced out and plant loses compact rosette form.
- **Mealybugs:** White cottony pests that hide between leaves. Remove with cotton swab dipped in rubbing alcohol.
- **Leaf drop:** Lower leaves naturally dry and fall off, but excessive leaf drop indicates watering issues.
- **Sunburn:** Brown or white patches on leaves from too much direct harsh sunlight.
- **Powdery coating loss:** Happens from touching leaves or water splashing - prevents photosynthesis, so handle carefully.</t>
        </is>
      </c>
      <c r="V142" s="98">
        <f>HYPERLINK("https://rosaryplanthouse.com/plant/"&amp;A142&amp;"-"&amp;SUBSTITUTE(LOWER(E142), " ", "-"))</f>
        <v/>
      </c>
      <c r="W142" t="inlineStr">
        <is>
          <t>🟢 Graptopetalum paraguayense (ID: 141)
🌿 Looking to add a touch of elegance to your plant collection? Meet the stunning **White Sedum**! With its unique leathery petals and striking rosette shape, this succulent is sure to turn heads.
🌱 **About:** The White Sedum, also known as Leather Petal, showcases thick, fleshy leaves that vary in color from pale blue-gray to pink-gray, depending on the light. Native to the rocky terrains of Mexico, Paraguay, and Argentina, it thrives in dry, mountainous regions.
✨ **Key Details:**
- **Watering:** Low maintenance, water every 10-14 days.
- **Sunlight:** Prefers bright indirect light or morning sun.
- **Growth:** Compact rosettes with a charming trailing effect over time.
👉 Ready to bring home this beauty? **Link in bio!**
#Graptopetalum #WhiteSedum #SucculentLove #PlantParents #IndoorPlants #SucculentCare #GreenThumb #PlantAddict #RosaryPlantHouse #PlantGoals #PlantLovers #HouseplantClub #HomeDecor #SucculentCollection #GreenLiving</t>
        </is>
      </c>
    </row>
    <row r="143" ht="99.5" customHeight="1">
      <c r="A143" s="73" t="n">
        <v>142</v>
      </c>
      <c r="B143" s="74" t="inlineStr">
        <is>
          <t>yellow sun</t>
        </is>
      </c>
      <c r="C143" s="74">
        <f>IF(Local!H143,"1","0")</f>
        <v/>
      </c>
      <c r="D143" s="75" t="n">
        <v>69</v>
      </c>
      <c r="E143" s="66" t="inlineStr">
        <is>
          <t>Sedum nussbaumerianum</t>
        </is>
      </c>
      <c r="F143" s="76">
        <f>"public/sale_plants/"&amp;A143&amp;".jpg"</f>
        <v/>
      </c>
      <c r="G143" s="77" t="inlineStr">
        <is>
          <t>(2"-3")</t>
        </is>
      </c>
      <c r="H143" s="78" t="inlineStr">
        <is>
          <t>Moderate</t>
        </is>
      </c>
      <c r="I143" s="66" t="inlineStr">
        <is>
          <t>Low</t>
        </is>
      </c>
      <c r="J143" s="66" t="inlineStr">
        <is>
          <t>High</t>
        </is>
      </c>
      <c r="K143" s="79" t="n">
        <v>69</v>
      </c>
      <c r="L143" s="80" t="inlineStr">
        <is>
          <t>Succulent</t>
        </is>
      </c>
      <c r="M143" s="80" t="n">
        <v>0</v>
      </c>
      <c r="N143" s="80" t="n">
        <v>0</v>
      </c>
      <c r="O143" s="81" t="n">
        <v>0</v>
      </c>
      <c r="P143" s="80" t="n">
        <v>0</v>
      </c>
      <c r="Q143" s="81">
        <f>IF(Local!I143=TRUE,1,0)</f>
        <v/>
      </c>
      <c r="R143" s="81">
        <f>Local!D143</f>
        <v/>
      </c>
      <c r="S143" s="81">
        <f>Local!F143</f>
        <v/>
      </c>
      <c r="T143" s="81">
        <f>Local!G143</f>
        <v/>
      </c>
      <c r="U143" s="83" t="inlineStr">
        <is>
          <t>## About
Coppertone Stonecrop is a beautiful succulent known for its stunning yellow-orange to copper-colored fleshy leaves that form attractive rosettes. This eye-catching plant changes color based on sunlight exposure, developing deeper copper tones when stressed by bright light, making it a favorite among succulent collectors.
## Origin
This succulent is native to Mexico, where it grows naturally in rocky, well-drained areas with plenty of sunshine. It belongs to the Crassulaceae family and thrives in warm, arid climates similar to many regions in India.
## Temperature &amp; Humidity
- **Temperature Range:** 15Â°C to 35Â°C (ideal growing range)
- **Humidity:** Low to moderate humidity (30% to 50%). This plant is quite drought-tolerant and prefers dry conditions. It can handle the hot, dry summers of Indian climate very well but should be protected from heavy monsoon rains and extreme cold below 10Â°C.
## Growth
Coppertone Stonecrop is a slow to moderate grower that typically reaches 15-20 cm in height and can spread up to 30 cm wide. It forms compact rosettes with thick, pointed leaves that overlap like flower petals. The plant grows upright when young but may develop a slightly trailing habit as it matures. With proper care and sunlight, the leaves develop beautiful golden-yellow to copper-orange colors with pink or red edges.
## Watering
- **Frequency:** Once every 10-14 days depending on season and weather conditions. During monsoon, reduce watering significantly or stop completely if the plant is getting natural rain.
- **Tips:** Always water deeply but infrequently. Allow the soil to dry out completely between waterings. Water less in winter (once every 2-3 weeks). In summer, you may need to water once a week depending on how quickly the soil dries. Always water at the base of the plant, avoiding the leaves to prevent rot. Use the "soak and dry" method for best results.
## Sunlight
- **Hours per day:** 4 to 6 hours of direct sunlight
- **Type:** Direct sunlight is best for maintaining the vibrant copper coloring. Morning sunlight is ideal in very hot regions. In coastal or moderate climates, full sun throughout the day is excellent. Can tolerate bright indirect light indoors near a sunny window, but colors will be less intense (more green-yellow).
## Care Tips
- **Color development:** Maximum sun exposure brings out the best copper-orange colors; less sun results in greener leaves
- **Monsoon care:** Provide shelter from continuous rain as overwatering causes root rot
- **Summer care:** Can handle Indian summer heat well; ensure good air circulation
- **Winter care:** Protect from frost and cold winds in North India; reduce watering significantly
- **Placement:** Best grown outdoors in full sun or on bright sunny balconies and windowsills
- **Drainage:** Excellent drainage is absolutely essential for this plant's survival
## Growth Tips
- **Soil:** Use a very well-draining cactus or succulent mix. Add 50% perlite, coarse sand, or pumice to regular potting soil
- **Fertilizer:** Feed sparingly with diluted liquid succulent fertilizer (half strength) once during spring and once during early autumn. Avoid fertilizing in summer heat and winter cold
- **Repotting:** Repot every 2-3 years in spring when the plant outgrows its pot. Use a pot only slightly larger than the previous one
- **Propagation:** Very easy to propagate from leaf cuttings or stem cuttings. Allow cuttings to dry for 2-3 days before planting
- **Pot choice:** Always use pots with drainage holes; terracotta pots work excellently as they allow soil to dry faster
## Common Problems
- **Root rot:** Caused by overwatering or poor drainage; leaves become mushy and translucent
- **Leaf drop:** Usually due to overwatering; reduce watering frequency
- **Stretching (etiolation):** Plant becomes leggy with spaces between leaves due to insufficient light; move to brighter location
- **Green leaves instead of copper:** Not enough direct sunlight; increase sun exposure gradually
- **Mealybugs:** White cottony pests in leaf joints; treat with neem oil or rubbing alcohol
- **Shriveled leaves:** Sign of underwatering; increase watering slightly but maintain gaps between watering
- **Black spots on leaves:** Fungal infection from excessive moisture; improve air circulation and reduce humidity</t>
        </is>
      </c>
      <c r="V143" s="98">
        <f>HYPERLINK("https://rosaryplanthouse.com/plant/"&amp;A143&amp;"-"&amp;SUBSTITUTE(LOWER(E143), " ", "-"))</f>
        <v/>
      </c>
      <c r="W143" t="inlineStr">
        <is>
          <t>🟢 Sedum Nussbaumerianum (ID: 142)  
🌞 Meet the Yellow Sun, your new favorite succulent! 🌞
This vibrant beauty is known for its stunning yellow-orange to copper-colored fleshy leaves that form attractive rosettes. Watch it transform under sunlight, showcasing deeper copper tones that are sure to captivate any plant lover's heart! 
🌿 **Key Details:**  
- **Watering:** Low, every 10-14 days  
- **Sunlight:** High (4-6 hours of direct sunlight is ideal)  
- **Care Tips:** Perfect for outdoor spaces, balconies, and sunny windowsills. Ensure excellent drainage to keep it thriving!
Ready to add this colorful gem to your collection? 🌱  
👉 Link in bio!
#SedumNussbaumerianum #YellowSun #SucculentLove #PlantParent #IndoorPlants #GreenThumb #PlantCollection #SucculentCare #RosaryPlantHouse #HomeDecor #SucculentAddict #PlantLife #Cactus #Gardening #PlantGoals #Houseplants #NatureLovers 🌼</t>
        </is>
      </c>
    </row>
    <row r="144" ht="99.5" customHeight="1">
      <c r="A144" s="73" t="n">
        <v>143</v>
      </c>
      <c r="B144" s="74" t="inlineStr">
        <is>
          <t>Ghost plant</t>
        </is>
      </c>
      <c r="C144" s="74">
        <f>IF(Local!H144,"1","0")</f>
        <v/>
      </c>
      <c r="D144" s="75" t="n">
        <v>39</v>
      </c>
      <c r="E144" s="66" t="inlineStr">
        <is>
          <t>Graptopetalum paraguayense</t>
        </is>
      </c>
      <c r="F144" s="76">
        <f>"public/sale_plants/"&amp;A144&amp;".jpg"</f>
        <v/>
      </c>
      <c r="G144" s="77" t="inlineStr">
        <is>
          <t>(2"-3")</t>
        </is>
      </c>
      <c r="H144" s="78" t="inlineStr">
        <is>
          <t>Low</t>
        </is>
      </c>
      <c r="I144" s="66" t="inlineStr">
        <is>
          <t>Low</t>
        </is>
      </c>
      <c r="J144" s="66" t="inlineStr">
        <is>
          <t>Medium</t>
        </is>
      </c>
      <c r="K144" s="79" t="n">
        <v>69</v>
      </c>
      <c r="L144" s="80" t="inlineStr">
        <is>
          <t>Succulent</t>
        </is>
      </c>
      <c r="M144" s="80" t="n">
        <v>0</v>
      </c>
      <c r="N144" s="80" t="n">
        <v>0</v>
      </c>
      <c r="O144" s="81" t="n">
        <v>0</v>
      </c>
      <c r="P144" s="80" t="n">
        <v>0</v>
      </c>
      <c r="Q144" s="81">
        <f>IF(Local!I144=TRUE,1,0)</f>
        <v/>
      </c>
      <c r="R144" s="81">
        <f>Local!D144</f>
        <v/>
      </c>
      <c r="S144" s="81">
        <f>Local!F144</f>
        <v/>
      </c>
      <c r="T144" s="81">
        <f>Local!G144</f>
        <v/>
      </c>
      <c r="U144" s="83" t="inlineStr">
        <is>
          <t>## About
The Ghost Plant is a beautiful succulent known for its rosette shape and stunning powdery blue-gray leaves that can develop pink or yellow tones depending on sunlight exposure. This easy-to-care-for plant is perfect for beginners and experienced gardeners alike, thriving in Indian climate conditions with minimal attention.
## Origin
Native to Mexico, particularly the Chihuahua region, the Ghost Plant grows naturally in rocky, mountainous areas with well-draining soil. It has adapted to survive in dry conditions with bright sunlight, making it well-suited for many parts of India.
## Temperature &amp; Humidity
- **Temperature Range:** 15Â°C to 35Â°C (can tolerate up to 40Â°C in Indian summers)
- **Humidity:** Prefers low to moderate humidity levels between 30% to 50%. The plant tolerates the dry conditions found in most Indian homes and can handle monsoon humidity if soil drainage is excellent.
## Growth
Ghost Plants grow in compact rosettes that typically reach 7 to 10 cm in diameter. The plant produces trailing stems that can grow up to 30 to 60 cm long, making it perfect for hanging baskets or allowing it to cascade over pot edges. Growth is moderate to fast during spring and summer months, especially with adequate sunlight. The rosettes multiply easily, creating clusters and offsets that can fill a pot beautifully.
## Watering
- **Frequency:** Once every 10 to 14 days depending on season and weather conditions. During monsoon, reduce watering significantly or stop completely if the plant is outdoors.
- **Tips:** Water deeply but allow the soil to dry out completely between waterings. Water less in winter months (once every 2 to 3 weeks). Always check soil dryness by inserting your finger 2-3 cm deep - water only when completely dry. In hot Indian summers, you may need to water once a week depending on pot size and location. Avoid getting water on the leaves as this can wash away the protective powdery coating.
## Sunlight
- **Hours per day:** 4 to 6 hours
- **Type:** Bright indirect light is ideal, though it can tolerate 2-3 hours of direct morning or evening sunlight. In harsh Indian afternoon sun (12 PM to 4 PM), provide shade or filtered light to prevent leaf burn. Indoors, place near a bright window.
## Care Tips
- Keep in well-ventilated areas to prevent fungal issues during monsoon season
- The powdery coating (farina) on leaves is natural protection - avoid touching or wiping leaves
- Gradually introduce the plant to brighter light to avoid sunburn and develop pink/yellow tones
- Bring indoors or provide shelter during heavy monsoon rains to prevent root rot
- In extremely hot Indian summers (above 40Â°C), provide afternoon shade
- Works excellently in terrariums, dish gardens, or mixed succulent arrangements
- Cold hardy down to 5Â°C, but protect from frost in northern India during winter nights
## Growth Tips
- Use well-draining cactus or succulent soil mix, or create your own with 60% regular soil, 30% coarse sand, and 10% perlite
- Add a layer of gravel or pebbles at pot bottom for extra drainage
- Fertilize once every 2 to 3 months during growing season (March to October) with diluted succulent fertilizer at half strength
- Repot every 2 to 3 years or when the plant outgrows its container, preferably in spring
- Use terracotta or clay pots which allow better air circulation and moisture evaporation
- Propagate easily from leaf cuttings or stem offsets - just let them dry for 2-3 days before placing on soil
## Common Problems
- **Leggy growth with gaps between leaves:** Not enough sunlight - move to brighter location gradually
- **Yellow, mushy leaves:** Overwatering or poor drainage - reduce watering frequency and check drainage holes
- **Brown, crispy leaf tips:** Too much direct harsh sunlight or underwatering in peak summer
- **White cottony spots (mealybugs):** Common pest in Indian climate - remove with cotton swab dipped in rubbing alcohol
- **Powdery coating washing off:** Water splashing on leaves - water soil directly, avoid wetting foliage
- **Root rot with black stems:** Excessive moisture, especially during monsoon - improve drainage and reduce watering
- **Leaves losing color, turning pale green:** Insufficient light - needs more bright indirect light to maintain ghostly blue-gray color</t>
        </is>
      </c>
      <c r="V144" s="98">
        <f>HYPERLINK("https://rosaryplanthouse.com/plant/"&amp;A144&amp;"-"&amp;SUBSTITUTE(LOWER(E144), " ", "-"))</f>
        <v/>
      </c>
      <c r="W144" t="inlineStr">
        <is>
          <t>🟢 Ghost Plant (ID: 143)
✨ Say hello to the enchanting Ghost Plant! ✨ This stunning succulent is not only a feast for the eyes with its rosette shape and powdery blue-gray leaves, but it also brings a pop of color with hues of pink and yellow, depending on the sunlight. Perfect for both beginners and seasoned plant lovers!
🌍 Native to the rocky terrains of Mexico, the Ghost Plant thrives in India’s climate with minimal care. It grows beautifully in compact rosettes and can cascade gracefully, making it an ideal choice for hanging baskets or as a centerpiece.
🌱 **Key Details:**
- **Watering:** Low maintenance; water every 10-14 days.
- **Sunlight:** Prefers bright indirect light for optimal growth.
- **Humidity:** Thrives in low to moderate humidity.
✨ Don't miss out on adding this beauty to your collection! 🌿 Check out the 'Link in bio' for more!
#GhostPlant #SucculentLove #IndoorGardening #PlantParent #HousePlants #GreenThumb #PlantAddict #RosaryPlantHouse #PlantLife #SucculentCare #HomeDecor #NatureLovers #PlantGoals</t>
        </is>
      </c>
    </row>
    <row r="145" ht="99.5" customHeight="1">
      <c r="A145" s="73" t="n">
        <v>144</v>
      </c>
      <c r="B145" s="74" t="inlineStr">
        <is>
          <t>Purple Aloe</t>
        </is>
      </c>
      <c r="C145" s="74">
        <f>IF(Local!H145,"1","0")</f>
        <v/>
      </c>
      <c r="D145" s="75" t="n">
        <v>49</v>
      </c>
      <c r="E145" s="66" t="inlineStr">
        <is>
          <t>Aloe camperi</t>
        </is>
      </c>
      <c r="F145" s="76">
        <f>"public/sale_plants/"&amp;A145&amp;".jpg"</f>
        <v/>
      </c>
      <c r="G145" s="77" t="inlineStr">
        <is>
          <t>(2"-3")</t>
        </is>
      </c>
      <c r="H145" s="78" t="inlineStr">
        <is>
          <t>Low</t>
        </is>
      </c>
      <c r="I145" s="66" t="inlineStr">
        <is>
          <t>Low</t>
        </is>
      </c>
      <c r="J145" s="66" t="inlineStr">
        <is>
          <t>High</t>
        </is>
      </c>
      <c r="K145" s="79" t="n">
        <v>79</v>
      </c>
      <c r="L145" s="80" t="inlineStr">
        <is>
          <t>Aloe</t>
        </is>
      </c>
      <c r="M145" s="80" t="n">
        <v>0</v>
      </c>
      <c r="N145" s="80" t="n">
        <v>0</v>
      </c>
      <c r="O145" s="81" t="n">
        <v>0</v>
      </c>
      <c r="P145" s="81" t="n">
        <v>1</v>
      </c>
      <c r="Q145" s="81">
        <f>IF(Local!I145=TRUE,1,0)</f>
        <v/>
      </c>
      <c r="R145" s="81">
        <f>Local!D145</f>
        <v/>
      </c>
      <c r="S145" s="81">
        <f>Local!F145</f>
        <v/>
      </c>
      <c r="T145" s="81">
        <f>Local!G145</f>
        <v/>
      </c>
      <c r="U145" s="83" t="inlineStr">
        <is>
          <t>## About
Aloe camperi is a beautiful miniature aloe variety with stunning spotted leaves that display green color with white spots and reddish-pink edges. This compact succulent is perfect for small spaces and indoor gardens, making it a popular choice among plant collectors in India.
## Origin
This aloe species is native to East Africa, particularly found in Ethiopia and Eritrea. It grows naturally in rocky areas and mountain slopes where it has adapted to dry conditions and bright sunlight.
## Temperature &amp; Humidity
- **Temperature Range:** 15Â°C to 35Â°C
- **Humidity:** Low to moderate humidity (30% to 50%). This plant tolerates dry air very well and does not require high humidity, making it ideal for Indian homes and offices.
## Growth
Aloe camperi is a small, compact succulent that typically grows to about 15-20 cm in height and spreads slowly. It produces rosettes of narrow, upright leaves that are beautifully spotted with white markings. The growth rate is slow to moderate, and the plant may produce offsets (pups) from the base, which can be separated to create new plants. The leaves have small teeth along the edges and the overall appearance is neat and tidy.
## Watering
- **Frequency:** Once every 10-14 days depending on season and weather conditions. During monsoon season, reduce watering further.
- **Tips:** Always allow the soil to dry out completely between waterings. Water less in winter and more during hot summer months. Make sure excess water drains out completely from the pot. Overwatering is the biggest enemy of this plant. Check the soil by inserting your finger - if it feels moist, wait a few more days before watering.
## Sunlight
- **Hours per day:** 4 to 6 hours
- **Type:** Bright direct sunlight to bright indirect light. Morning sun is ideal. Can tolerate some afternoon sun but protect from harsh midday sun in peak summer months (April-June in India).
## Care Tips
- Place in a bright spot near a window where it gets good sunlight
- Protect from heavy rain during monsoon season as too much water can cause root rot
- The red and pink colors on the leaves intensify with more sunlight exposure
- In very hot Indian summers (above 40Â°C), provide some afternoon shade
- Dust the leaves gently with a soft cloth to keep them clean and help with photosynthesis
- This plant is pet-friendly compared to true aloe vera, but it's still best to keep away from pets and children
- Good air circulation helps prevent fungal issues
## Growth Tips
- Use well-draining cactus or succulent soil mix. You can make your own by mixing regular potting soil with cocopeat, sand, and perlite in equal parts
- Add organic fertilizer once every 2-3 months during the growing season (spring and summer)
- Repot every 2-3 years or when the plant outgrows its pot
- Use terracotta or clay pots as they allow better drainage and air circulation
- When repotting, remove dead roots and let the plant rest for a day before planting in fresh soil
- Propagate by separating offsets (baby plants) that grow at the base
## Common Problems
- **Yellow or brown leaves:** Usually caused by overwatering or poor drainage. Reduce watering frequency.
- **Soft, mushy leaves:** Sign of root rot from too much water. Remove affected parts and repot in fresh, dry soil.
- **Pale or stretched leaves:** Not getting enough sunlight. Move to a brighter location.
- **Dry, brown leaf tips:** Underwatering or very low humidity. Increase watering slightly.
- **Mealybugs:** Small white cottony insects that appear on leaves. Wipe with cotton dipped in rubbing alcohol.
- **Scale insects:** Brown bumps on leaves. Remove manually and spray with neem oil solution.
- **Slow growth:** Normal for this species, but can also indicate need for fertilizer or more sunlight.</t>
        </is>
      </c>
      <c r="V145" s="98">
        <f>HYPERLINK("https://rosaryplanthouse.com/plant/"&amp;A145&amp;"-"&amp;SUBSTITUTE(LOWER(E145), " ", "-"))</f>
        <v/>
      </c>
      <c r="W145" t="inlineStr">
        <is>
          <t>🟢 Purple Aloe (ID: 144)
🌿 Meet the stunning Aloe camperi, also known as Purple Aloe! This miniature succulent is a must-have for plant lovers looking to add a touch of nature to their indoor spaces. 
✨ With its striking green leaves adorned with white spots and reddish-pink edges, this compact beauty thrives in bright sunlight and brings a pop of color to any corner of your home. Perfect for small spaces, it’s easy to care for and a true gem for your collection! 
🪴 **Key Details:**
- **Watering:** Low - only every 10-14 days!
- **Sunlight:** High - 4 to 6 hours of direct light daily.
- **Humidity:** Thrives in low to moderate conditions.
🌱 Ready to bring home this beauty? Click the link in bio! 
#PurpleAloe #AloeCamperi #IndoorPlants #PlantLovers #SucculentLove #Houseplants #PlantParent #GreenThumb #PlantCare #RosaryPlantHouse #HomeDecor #EcommercePlants #NatureLovers</t>
        </is>
      </c>
    </row>
    <row r="146" ht="99.5" customHeight="1">
      <c r="A146" s="73" t="n">
        <v>145</v>
      </c>
      <c r="B146" s="74" t="inlineStr">
        <is>
          <t>Miniature Aloe</t>
        </is>
      </c>
      <c r="C146" s="74">
        <f>IF(Local!H146,"1","0")</f>
        <v/>
      </c>
      <c r="D146" s="75" t="n">
        <v>59</v>
      </c>
      <c r="E146" s="66" t="inlineStr">
        <is>
          <t>Gasteria bicolor var. liliputana</t>
        </is>
      </c>
      <c r="F146" s="76">
        <f>"public/sale_plants/"&amp;A146&amp;".jpg"</f>
        <v/>
      </c>
      <c r="G146" s="77" t="inlineStr">
        <is>
          <t>(1.5"-2")</t>
        </is>
      </c>
      <c r="H146" s="78" t="inlineStr">
        <is>
          <t>Low</t>
        </is>
      </c>
      <c r="I146" s="66" t="inlineStr">
        <is>
          <t>Low</t>
        </is>
      </c>
      <c r="J146" s="66" t="inlineStr">
        <is>
          <t>Medium</t>
        </is>
      </c>
      <c r="K146" s="79" t="n">
        <v>99</v>
      </c>
      <c r="L146" s="80" t="inlineStr">
        <is>
          <t>Aloe</t>
        </is>
      </c>
      <c r="M146" s="80" t="n">
        <v>0</v>
      </c>
      <c r="N146" s="80" t="n">
        <v>0</v>
      </c>
      <c r="O146" s="81" t="n">
        <v>0</v>
      </c>
      <c r="P146" s="80" t="n">
        <v>1</v>
      </c>
      <c r="Q146" s="81">
        <f>IF(Local!I146=TRUE,1,0)</f>
        <v/>
      </c>
      <c r="R146" s="81">
        <f>Local!D146</f>
        <v/>
      </c>
      <c r="S146" s="81">
        <f>Local!F146</f>
        <v/>
      </c>
      <c r="T146" s="81">
        <f>Local!G146</f>
        <v/>
      </c>
      <c r="U146" s="83" t="inlineStr">
        <is>
          <t>## About
Miniature Gasteria is a charming dwarf succulent with thick, tongue-shaped leaves covered in beautiful white spots and patterns. This compact plant is perfect for small spaces and makes an excellent choice for beginner gardeners in India due to its low-maintenance nature.
## Origin
This plant originally comes from South Africa, where it grows in rocky areas and grasslands. It is a naturally occurring dwarf variety of Gasteria bicolor, adapted to survive in dry conditions with minimal water.
## Temperature &amp; Humidity
- **Temperature Range:** 15Â°C to 35Â°C
- **Humidity:** This plant tolerates low to moderate humidity levels (30% to 50%). It adapts well to typical Indian household conditions and doesn't require special humidity arrangements.
## Growth
Miniature Gasteria is a slow-growing, compact succulent that typically reaches only 5-8 cm in height and 8-10 cm in width. It grows in a rosette pattern with leaves stacked in two rows. The plant produces offsets (baby plants) around the base, which can gradually form small clusters. Its compact size makes it perfect for windowsills, desks, and small plant collections.
## Watering
- **Frequency:** Once every two weeks depending on season and weather conditions. During monsoon and winter, reduce to once every three weeks.
- **Tips:** Always check if the soil is completely dry before watering. Water thoroughly but let excess water drain out completely. Never let the plant sit in water as this can cause root rot. In summer months, you may need to water slightly more frequently, while in winter and rainy season, reduce watering significantly.
## Sunlight
- **Hours per day:** 3 to 4 hours
- **Type:** Bright indirect light or filtered morning sunlight. Direct harsh afternoon sun can burn the leaves, so provide shade during peak hours (12 PM to 4 PM).
## Care Tips
- Keep the plant in a bright spot but protected from intense afternoon sun, especially during Indian summers
- This plant is perfect for air-conditioned rooms and offices as it tolerates dry air well
- Wipe the leaves gently with a soft cloth occasionally to remove dust and keep the white patterns visible
- Avoid getting water on the leaves during watering to prevent fungal issues, especially during humid monsoon months
- This plant goes semi-dormant in extreme summer heat (above 38Â°C), so reduce watering during peak summer
- Perfect for beginners as it tolerates some neglect better than overwatering
## Growth Tips
- Use a well-draining succulent or cactus mix with 50% soil and 50% cocopeat, perlite, or sand
- Add small pieces of brick or pumice to improve drainage
- Fertilize only once every 2-3 months during growing season (spring and autumn) with diluted liquid succulent fertilizer
- Repotting is needed only once every 2-3 years as the plant grows very slowly
- Use shallow pots with drainage holes, as the root system is not very deep
- Propagate easily by separating offsets during repotting
## Common Problems
- **Brown, mushy leaves:** Caused by overwatering or poor drainage. This is the most common problemâ€”always ensure soil dries completely between waterings
- **Leaves turning pale or red:** Too much direct sunlight. Move to a location with filtered light
- **Stretching or elongated growth:** Not enough light. Move to a brighter location
- **Mealybugs (white cottony insects):** Common pest in Indian conditions. Remove with cotton swabs dipped in rubbing alcohol or neem oil solution
- **Leaves shriveling:** Underwatering (rare) or root damage. Check roots and adjust watering
- **No growth:** Normal for this slow-growing variety, especially during hot summer or cold winter months</t>
        </is>
      </c>
      <c r="V146" s="98">
        <f>HYPERLINK("https://rosaryplanthouse.com/plant/"&amp;A146&amp;"-"&amp;SUBSTITUTE(LOWER(E146), " ", "-"))</f>
        <v/>
      </c>
      <c r="W146" t="inlineStr">
        <is>
          <t>🟢 Miniature Aloe (ID: 145)
🌿 Meet the charming Miniature Gasteria, your new favorite succulent! This adorable dwarf variety is not just a pretty face; it’s perfect for small spaces and ideal for beginner gardeners in India. 
✨ With thick, tongue-shaped leaves adorned with stunning white spots, this low-maintenance beauty thrives in typical Indian household conditions. Perfect for windowsills, desks, or as part of a small plant collection, it’s a must-have for any plant lover!
🌞 **Key Details:**
- **Watering:** Low (Every 2-3 weeks)
- **Sunlight:** Medium (3-4 hours of bright indirect light)
- **Humidity:** Tolerates low to moderate levels
💚 Ready to bring home this delightful Miniature Aloe? Click the link in bio to shop now!
#MiniatureAloe #Gasteria #SucculentLove #PlantParent #IndoorPlants #Houseplants #PlantCare #BeginnerGardener #RosaryPlantHouse #GreenThumb #PlantLovers #SucculentCollection #HomeDecor #PlantGoals #NatureLovers</t>
        </is>
      </c>
    </row>
    <row r="147" ht="99.5" customHeight="1">
      <c r="A147" s="73" t="n">
        <v>146</v>
      </c>
      <c r="B147" s="74" t="inlineStr">
        <is>
          <t>Tricolour jade</t>
        </is>
      </c>
      <c r="C147" s="74">
        <f>IF(Local!H147,"1","0")</f>
        <v/>
      </c>
      <c r="D147" s="75" t="n">
        <v>120</v>
      </c>
      <c r="E147" s="66" t="inlineStr">
        <is>
          <t>Peperomia obtusifolia 'Variegata'</t>
        </is>
      </c>
      <c r="F147" s="76">
        <f>"public/sale_plants/"&amp;A147&amp;".jpg"</f>
        <v/>
      </c>
      <c r="G147" s="77" t="inlineStr">
        <is>
          <t>(2"-3")</t>
        </is>
      </c>
      <c r="H147" s="78" t="inlineStr">
        <is>
          <t>Low</t>
        </is>
      </c>
      <c r="I147" s="66" t="inlineStr">
        <is>
          <t>Low</t>
        </is>
      </c>
      <c r="J147" s="66" t="inlineStr">
        <is>
          <t>Medium</t>
        </is>
      </c>
      <c r="K147" s="79" t="n">
        <v>99</v>
      </c>
      <c r="L147" s="80" t="inlineStr">
        <is>
          <t>Jade</t>
        </is>
      </c>
      <c r="M147" s="80" t="n">
        <v>0</v>
      </c>
      <c r="N147" s="80" t="n">
        <v>0</v>
      </c>
      <c r="O147" s="81" t="n">
        <v>0</v>
      </c>
      <c r="P147" s="80" t="n">
        <v>0</v>
      </c>
      <c r="Q147" s="81" t="n">
        <v>1</v>
      </c>
      <c r="R147" s="81">
        <f>Local!D147</f>
        <v/>
      </c>
      <c r="S147" s="81">
        <f>Local!F147</f>
        <v/>
      </c>
      <c r="T147" s="81">
        <f>Local!G147</f>
        <v/>
      </c>
      <c r="U147" s="83" t="inlineStr">
        <is>
          <t>## About
The Variegated Baby Rubber Plant is a beautiful succulent-like houseplant with thick, glossy leaves that feature stunning cream and green variegation with pink edges. This compact plant is perfect for beginners and adds a tropical touch to any indoor space.
## Origin
Native to Central America, South America, and the Caribbean regions. This plant naturally grows in tropical and subtropical forests where it thrives in warm, humid conditions under the canopy of larger trees.
## Temperature &amp; Humidity
- **Temperature Range:** 18Â°C to 30Â°C
- **Humidity:** Prefers moderate to high humidity levels between 40% to 60%, but can adapt to average household humidity. In Indian homes, it does well in most regions except extremely dry climates.
## Growth
This is a slow to moderate growing plant that typically reaches 15 to 25 cm in height and spreads about 15 to 20 cm wide. It grows in a compact, upright rosette form with thick, fleshy leaves that grow from a central stem. The variegated leaves are the main attraction, showing beautiful cream and yellow margins with green centers.
## Watering
- **Frequency:** Once a week depending on season and weather conditions. In monsoon, reduce to once every 10-12 days.
- **Tips:** Allow the top 2-3 cm of soil to dry out completely before watering again. The thick leaves store water, so this plant is drought-tolerant. Water less in winter months. Always water at the base and avoid wetting the leaves. Overwatering is the most common cause of problems with this plant.
## Sunlight
- **Hours per day:** 4 to 6 hours
- **Type:** Bright indirect light or filtered sunlight. Direct morning sun for 1-2 hours is fine, but avoid harsh afternoon sun which can scorch the variegated leaves.
## Care Tips
- Keep away from direct afternoon sun during Indian summers as it can burn the delicate variegated portions
- Wipe leaves gently with a damp cloth every 2-3 weeks to remove dust and maintain their glossy appearance
- Place near east or north-facing windows for best light in Indian homes
- Reduce watering significantly during monsoon season
- Protect from cold drafts during winter months in North India
- The plant does well in air-conditioned rooms and offices
- Rotate the pot every few weeks for even growth
## Growth Tips
- Use well-draining soil mix with equal parts potting soil, perlite, and cocopeat or sand
- Add organic compost once every 2-3 months during growing season (March to October)
- Use a diluted liquid fertilizer once a month during spring and summer
- Repot every 2-3 years or when roots emerge from drainage holes
- Choose a pot only slightly larger than the current one as this plant likes being slightly root-bound
- Ensure pots have good drainage holes to prevent water logging
- Propagate easily through stem cuttings or leaf cuttings in spring
## Common Problems
- **Yellowing leaves:** Usually caused by overwatering or poor drainage. Check soil moisture before watering
- **Drooping or soft leaves:** Sign of overwatering or root rot. Reduce watering immediately
- **Brown leaf tips:** Low humidity or underwatering during hot summer months
- **Leggy growth:** Insufficient light. Move to a brighter location
- **Loss of variegation:** Not enough light. The plant needs bright indirect light to maintain its cream and yellow colors
- **Pest issues:** Occasionally affected by mealybugs or spider mites. Wipe with neem oil solution
- **Black spots on leaves:** Fungal infection due to high humidity combined with poor air circulation. Improve ventilation and avoid overhead watering</t>
        </is>
      </c>
      <c r="V147" s="98">
        <f>HYPERLINK("https://rosaryplanthouse.com/plant/"&amp;A147&amp;"-"&amp;SUBSTITUTE(LOWER(E147), " ", "-"))</f>
        <v/>
      </c>
      <c r="W147" t="inlineStr">
        <is>
          <t>🟢 Peperomia obtusifolia 'Variegata' (ID: 146)  
✨ Meet the stunning Tricolour Jade! ✨ This gorgeous plant is not just a pretty face; it’s a low-maintenance beauty that will brighten up any corner of your home! 🌿💚  
🌱 **About:** The Variegated Baby Rubber Plant boasts thick, glossy leaves with beautiful cream and green variegation highlighted by delicate pink edges. Ideal for beginners, it adds a tropical touch to your indoor oasis!  
🔑 **Key Details:**  
- 🌡️ Temperature: Thrives in 18°C to 30°C  
- 💧 Watering: Low; water weekly, less in winter  
- ☀️ Sunlight: Prefers bright indirect light or filtered sunlight  
Ready to bring home this beauty? 🌍✨ Click the link in bio to discover more!  
#Peperomia #TricolourJade #Houseplants #IndoorPlants #PlantLovers #PlantCare #Succulent #HomeDecor #PlantParent #GreenThumb #RosaryPlantHouse</t>
        </is>
      </c>
    </row>
    <row r="148" ht="99.5" customHeight="1">
      <c r="A148" s="73" t="n">
        <v>147</v>
      </c>
      <c r="B148" s="74" t="inlineStr">
        <is>
          <t>jade big leaf</t>
        </is>
      </c>
      <c r="C148" s="74">
        <f>IF(Local!H148,"1","0")</f>
        <v/>
      </c>
      <c r="D148" s="75" t="n">
        <v>69</v>
      </c>
      <c r="E148" s="66" t="inlineStr">
        <is>
          <t>Crassula ovata 'Big Leaf'</t>
        </is>
      </c>
      <c r="F148" s="76">
        <f>"public/sale_plants/"&amp;A148&amp;".jpg"</f>
        <v/>
      </c>
      <c r="G148" s="77" t="inlineStr">
        <is>
          <t>(2"-3")</t>
        </is>
      </c>
      <c r="H148" s="78" t="inlineStr">
        <is>
          <t>Low</t>
        </is>
      </c>
      <c r="I148" s="66" t="inlineStr">
        <is>
          <t>Low</t>
        </is>
      </c>
      <c r="J148" s="66" t="inlineStr">
        <is>
          <t>Medium</t>
        </is>
      </c>
      <c r="K148" s="79" t="n">
        <v>59</v>
      </c>
      <c r="L148" s="80" t="inlineStr">
        <is>
          <t>Jade</t>
        </is>
      </c>
      <c r="M148" s="80" t="n">
        <v>0</v>
      </c>
      <c r="N148" s="80" t="n">
        <v>0</v>
      </c>
      <c r="O148" s="81" t="n">
        <v>0</v>
      </c>
      <c r="P148" s="81" t="n">
        <v>1</v>
      </c>
      <c r="Q148" s="81">
        <f>IF(Local!I148=TRUE,1,0)</f>
        <v/>
      </c>
      <c r="R148" s="81">
        <f>Local!D148</f>
        <v/>
      </c>
      <c r="S148" s="81">
        <f>Local!F148</f>
        <v/>
      </c>
      <c r="T148" s="81">
        <f>Local!G148</f>
        <v/>
      </c>
      <c r="U148" s="83" t="inlineStr">
        <is>
          <t>## About
The Big Leaf Jade Plant is a stunning variety of the popular Jade plant with larger, rounder, and thicker leaves than the regular jade. This succulent is loved by plant collectors for its beautiful bright green spoon-shaped leaves with reddish edges that create a striking appearance. It is an excellent indoor plant that is easy to care for and brings good luck according to many beliefs.
## Origin
The Big Leaf Jade is a cultivar of Crassula ovata, which originally comes from South Africa and Mozambique. It grows naturally in rocky hillsides and dry regions. This particular variety has been specially developed to have larger, more decorative leaves.
## Temperature &amp; Humidity
- **Temperature Range:** 15Â°C to 30Â°C
- **Humidity:** Low to moderate humidity (30% to 50%). This plant does very well in dry conditions and does not require high humidity. It is perfect for Indian climates as it can tolerate warm temperatures and low humidity levels typical of most Indian homes.
## Growth
The Big Leaf Jade is a slow-growing succulent that typically reaches 30 to 60 cm in height when grown indoors. It grows in an upright manner with thick, woody stems that become more tree-like as the plant matures. The large, fleshy leaves are arranged in opposite pairs and can grow up to 5-7 cm long. With proper care, this plant can live for many years and even decades, becoming a beautiful small tree-like structure.
## Watering
- **Frequency:** Water once every 2 weeks depending on season and weather conditions. During monsoon and winter, reduce watering to once every 3 weeks.
- **Tips:** Allow the soil to dry completely between waterings. Water thoroughly until water drains from the bottom, then empty the saucer. Never let the plant sit in water. During hot Indian summers, you may need to water slightly more often. Always check the soil before watering - if it feels moist, wait a few more days. Overwatering is the biggest enemy of jade plants.
## Sunlight
- **Hours per day:** 4 to 6 hours
- **Type:** Bright indirect light is ideal, but can tolerate 2-3 hours of direct morning or evening sunlight. Avoid harsh afternoon sun which can burn the leaves, especially during Indian summers.
## Care Tips
- Place near a bright window with filtered sunlight for best leaf color and red edges
- Rotate the pot every few weeks to ensure even growth on all sides
- Wipe the leaves gently with a damp cloth once a month to remove dust
- During Indian summers (April-June), provide some shade during peak afternoon hours
- In winter, reduce watering significantly as the plant goes into a resting phase
- Avoid placing near air conditioner vents or in drafty areas
- The plant can be kept outdoors in covered balconies or patios with good light
## Growth Tips
- Use well-draining succulent or cactus potting mix, or mix regular soil with 50% cocopeat and perlite or sand
- Add a layer of small stones or gravel at the bottom of the pot for extra drainage
- Fertilize once every 2-3 months during the growing season (spring and summer) with a balanced liquid fertilizer diluted to half strength
- Repot every 2-3 years in spring, or when the plant becomes root-bound
- Use terracotta or clay pots which allow better air circulation and water evaporation
- Prune in spring to maintain shape and encourage bushier growth
## Common Problems
- **Wrinkled, soft leaves:** Sign of underwatering or the plant needs more water
- **Yellow, mushy leaves:** Overwatering or root rot - reduce watering immediately and check for drainage
- **Leaf drop:** Usually caused by sudden temperature changes, overwatering, or moving the plant too frequently
- **Pale or elongated growth:** Not enough sunlight - move to a brighter location
- **Brown spots on leaves:** Sunburn from too much direct harsh sunlight
- **Mealybugs (white cottony clusters):** Common pest - wipe with cotton dipped in rubbing alcohol or neem oil solution
- **Red/brown edges turning black:** Natural stress coloring is red, but black means fungal infection from excess moisture</t>
        </is>
      </c>
      <c r="V148" s="98">
        <f>HYPERLINK("https://rosaryplanthouse.com/plant/"&amp;A148&amp;"-"&amp;SUBSTITUTE(LOWER(E148), " ", "-"))</f>
        <v/>
      </c>
      <c r="W148" t="inlineStr">
        <is>
          <t>🟢 Crassula ovata 'Big Leaf' (ID: 147)  
🌱✨ Say hello to the majestic Big Leaf Jade Plant! This stunning succulent is not just a feast for the eyes but also a symbol of good luck and prosperity! 🍀💚  
The Big Leaf Jade features larger, rounder, and thicker leaves that are beautifully adorned with reddish edges, making it a must-have for any plant lover. Its easy-care nature and ability to thrive indoors make it perfect for anyone looking to elevate their space with greenery! 🌿🏡  
**Key Details:**  
- **Watering:** Low (once every 2 weeks)  
- **Sunlight:** Medium (4-6 hours of bright indirect light)  
- **Humidity:** Low to moderate (ideal for dry conditions)  
Ready to welcome this beauty into your home? 🌟💚 Check the link in bio for more details!  
#JadePlant #CrassulaOvata #IndoorPlants #SucculentLove #PlantParents #GreenThumb #Houseplants #PlantCare #Gardening #PlantAddict #HomeDecor #RosaryPlantHouse</t>
        </is>
      </c>
    </row>
    <row r="149" ht="99.5" customHeight="1">
      <c r="A149" s="73" t="n">
        <v>148</v>
      </c>
      <c r="B149" s="74" t="inlineStr">
        <is>
          <t>Common ivy</t>
        </is>
      </c>
      <c r="C149" s="74">
        <f>IF(Local!H149,"1","0")</f>
        <v/>
      </c>
      <c r="D149" s="75" t="n">
        <v>49</v>
      </c>
      <c r="E149" s="66" t="inlineStr">
        <is>
          <t>Hedera helix</t>
        </is>
      </c>
      <c r="F149" s="76">
        <f>"public/sale_plants/"&amp;A149&amp;".jpg"</f>
        <v/>
      </c>
      <c r="G149" s="77" t="inlineStr">
        <is>
          <t>(2"-3")</t>
        </is>
      </c>
      <c r="H149" s="78" t="inlineStr">
        <is>
          <t>Moderate</t>
        </is>
      </c>
      <c r="I149" s="66" t="inlineStr">
        <is>
          <t>Medium</t>
        </is>
      </c>
      <c r="J149" s="66" t="inlineStr">
        <is>
          <t>Low</t>
        </is>
      </c>
      <c r="K149" s="79" t="n">
        <v>39</v>
      </c>
      <c r="L149" s="80" t="inlineStr">
        <is>
          <t>Creeper</t>
        </is>
      </c>
      <c r="M149" s="80" t="n">
        <v>0</v>
      </c>
      <c r="N149" s="80" t="n">
        <v>1</v>
      </c>
      <c r="O149" s="81" t="n">
        <v>0</v>
      </c>
      <c r="P149" s="80" t="n">
        <v>1</v>
      </c>
      <c r="Q149" s="81">
        <f>IF(Local!I149=TRUE,1,0)</f>
        <v/>
      </c>
      <c r="R149" s="81">
        <f>Local!D149</f>
        <v/>
      </c>
      <c r="S149" s="81">
        <f>Local!F149</f>
        <v/>
      </c>
      <c r="T149" s="81">
        <f>Local!G149</f>
        <v/>
      </c>
      <c r="U149" s="83" t="inlineStr">
        <is>
          <t>## About
Common Ivy is a beautiful trailing and climbing plant with distinctive lobed leaves that feature white or cream-colored veins. This versatile creeper can be grown as a hanging plant, allowed to trail down surfaces, or trained to climb up supports. It's a popular choice for both indoor and outdoor decoration in India.
## Origin
Common Ivy is native to Europe, Western Asia, and North Africa. It grows naturally in woodlands and along walls and trees in its native habitat. This plant has been cultivated worldwide for centuries and adapts well to various climates, including many regions of India.
## Temperature &amp; Humidity
- **Temperature Range:** 15Â°C to 28Â°C
- **Humidity:** Prefers moderate to high humidity levels between 50% to 70%. In drier Indian climates, occasional misting helps the plant thrive. The plant can tolerate the Indian winter well but may struggle in extremely hot summer conditions above 35Â°C.
## Growth
Common Ivy is a moderate to fast-growing plant that can spread extensively if given the right conditions. As a trailing plant, its vines can grow 15-30 cm or more in length within a year. The stems produce small aerial roots that help the plant cling to surfaces. When grown in pots, it typically reaches 30-60 cm in spread, but can grow much longer if allowed to trail freely. The variegated leaves create an attractive cascading effect, making it perfect for hanging baskets or shelf displays.
## Watering
- **Frequency:** Once or twice a week depending on season, weather conditions, and pot size
- **Tips:** Keep the soil consistently moist but never waterlogged. Water more frequently during hot Indian summers and reduce watering during monsoon and winter. Check the top 2-3 cm of soilâ€”if it feels dry, it's time to water. Ensure good drainage to prevent root rot. During the humid monsoon season, be extra careful not to overwater.
## Sunlight
- **Hours per day:** 2 to 4 hours
- **Type:** Bright indirect light or filtered light works best. Can tolerate shade and low-light conditions, making it excellent for indoor spaces. Avoid direct afternoon sun, especially in Indian summers, as it can scorch the delicate variegated leaves.
## Care Tips
- Place in bright indirect light near east or north-facing windows for best variegation
- Mist the leaves occasionally during dry weather to increase humidity
- Wipe leaves gently with a damp cloth to remove dust and keep them glossy
- Protect from intense afternoon sun during Indian summers (April-June)
- Can be kept outdoors in shaded areas or indoors year-round
- Prune regularly to maintain shape and encourage bushier growth
- Provide a moss stick or trellis if you want it to climb instead of trail
## Growth Tips
- Use well-draining potting mix with equal parts soil, cocopeat, and perlite or sand
- Feed with balanced liquid fertilizer diluted to half strength once a month during growing season (February to October)
- Reduce fertilizing during winter months (November to January)
- Repot every 1-2 years in spring when roots fill the pot
- Propagate easily through stem cuttings in water or soilâ€”cuttings root within 2-3 weeks
- Pinch growing tips regularly to encourage branching and fuller growth
## Common Problems
- **Leaf browning:** Usually caused by underwatering, low humidity, or exposure to direct harsh sunlight
- **Yellow leaves:** Often a sign of overwatering or poor drainageâ€”check if soil is soggy
- **Loss of variegation:** Insufficient light causes leaves to turn more green and lose white patterns
- **Spider mites:** Common in dry conditionsâ€”look for fine webbing on leaves; increase humidity and spray with neem oil
- **Root rot:** Caused by overwatering or poor drainageâ€”ensure pots have drainage holes
- **Leggy growth:** Indicates insufficient lightâ€”move to a brighter location
- **Aphids and mealybugs:** Can attack new growthâ€”treat with neem oil solution or insecticidal soap</t>
        </is>
      </c>
      <c r="V149" s="98">
        <f>HYPERLINK("https://rosaryplanthouse.com/plant/"&amp;A149&amp;"-"&amp;SUBSTITUTE(LOWER(E149), " ", "-"))</f>
        <v/>
      </c>
      <c r="W149" t="inlineStr">
        <is>
          <t>🟢 Common Ivy (ID: 148)
🌿 Transform your space with the enchanting beauty of Common Ivy! This versatile creeper is perfect for adding a touch of greenery to your indoor or outdoor decor.
🌱 Common Ivy, or Hedera helix, is well-known for its stunning lobed leaves adorned with striking white or cream veins. Whether you let it trail gracefully down a shelf or train it to climb, this plant is a favorite for creating lush, green displays. 
✨ **Key Details:**
- **Care Level:** Moderate
- **Watering:** Keep soil consistently moist, but not soggy
- **Light:** Thrives in bright indirect light; tolerates low light 
- **Humidity:** Prefers moderate to high humidity; misting recommended
🌿 Ready to bring home your new green companion? Click the link in bio! 
#CommonIvy #HederaHelix #IndoorPlants #PlantLovers #GreenThumb #HomeDecor #PlantCare #CreeperPlants #RosaryPlantHouse #HousePlants #PlantParent #IndoorJungle #GardenGoals #NatureLovers #PlantAddict</t>
        </is>
      </c>
    </row>
    <row r="150" ht="99.5" customHeight="1">
      <c r="A150" s="73" t="n">
        <v>149</v>
      </c>
      <c r="B150" s="74" t="inlineStr">
        <is>
          <t>English ivy Green</t>
        </is>
      </c>
      <c r="C150" s="74">
        <f>IF(Local!H150,"1","0")</f>
        <v/>
      </c>
      <c r="D150" s="75" t="n">
        <v>49</v>
      </c>
      <c r="E150" s="66" t="inlineStr">
        <is>
          <t>Hedera helix 'Variegata'</t>
        </is>
      </c>
      <c r="F150" s="76">
        <f>"public/sale_plants/"&amp;A150&amp;".jpg"</f>
        <v/>
      </c>
      <c r="G150" s="77" t="inlineStr">
        <is>
          <t>(2"-3")</t>
        </is>
      </c>
      <c r="H150" s="78" t="inlineStr">
        <is>
          <t>Moderate</t>
        </is>
      </c>
      <c r="I150" s="66" t="inlineStr">
        <is>
          <t>Medium</t>
        </is>
      </c>
      <c r="J150" s="66" t="inlineStr">
        <is>
          <t>Medium</t>
        </is>
      </c>
      <c r="K150" s="79" t="n">
        <v>39</v>
      </c>
      <c r="L150" s="80" t="inlineStr">
        <is>
          <t>Creeper</t>
        </is>
      </c>
      <c r="M150" s="80" t="n">
        <v>0</v>
      </c>
      <c r="N150" s="80" t="n">
        <v>1</v>
      </c>
      <c r="O150" s="81" t="n">
        <v>0</v>
      </c>
      <c r="P150" s="80" t="n">
        <v>1</v>
      </c>
      <c r="Q150" s="81">
        <f>IF(Local!I150=TRUE,1,0)</f>
        <v/>
      </c>
      <c r="R150" s="81">
        <f>Local!D150</f>
        <v/>
      </c>
      <c r="S150" s="81">
        <f>Local!F150</f>
        <v/>
      </c>
      <c r="T150" s="81">
        <f>Local!G150</f>
        <v/>
      </c>
      <c r="U150" s="83" t="inlineStr">
        <is>
          <t>## About
Variegated English Ivy is a beautiful trailing plant with distinctive green and cream-white variegated leaves. This popular ornamental creeper is loved for its elegant cascading growth and air-purifying qualities, making it perfect for both indoor and outdoor spaces in India.
## Origin
English Ivy is native to Europe, Western Asia, and North Africa. It grows naturally in forests and rocky areas, climbing trees and walls. The variegated variety has been cultivated for ornamental purposes and has become popular worldwide as an indoor and outdoor decorative plant.
## Temperature &amp; Humidity
- **Temperature Range:** 15Â°C to 28Â°C
- **Humidity:** Prefers moderate to high humidity levels between 40% to 70%. The plant can adapt to Indian conditions but appreciates regular misting during hot, dry months to prevent leaf browning.
## Growth
Variegated English Ivy is a vigorous climber and trailing plant that can grow several feet long if left unpruned. The vines can spread 1-2 meters indoors and even more outdoors. Growth is moderate to fast, especially during cooler months (winter and early spring in India). The plant produces beautiful heart-shaped or three-lobed leaves with creamy white edges. It can be trained to climb on supports or allowed to trail from hanging baskets.
## Watering
- **Frequency:** Around twice a week depending on season, weather conditions, and pot size. During monsoon and winter, reduce frequency to once a week.
- **Tips:** Keep the soil slightly moist but never waterlogged. Check the top 2-3 cm of soil - water when it feels dry to touch. Reduce watering in winter months. Use water at room temperature and ensure good drainage to prevent root rot. The variegated variety is slightly more sensitive to overwatering than the all-green type.
## Sunlight
- **Hours per day:** 4 to 6 hours
- **Type:** Bright indirect light or filtered sunlight. Morning sun is beneficial. Avoid harsh afternoon sun which can scorch the delicate variegated leaves.
## Care Tips
- Rotate the plant regularly to ensure even growth on all sides
- Mist the leaves 2-3 times a week during hot summer months in India to maintain humidity
- Prune regularly to encourage bushier growth and prevent legginess
- Keep away from direct air conditioner vents or ceiling fans
- Wipe leaves gently with a damp cloth monthly to remove dust and help the plant breathe
- The variegated leaves need more light than solid green varieties to maintain their coloring
- Protect from intense afternoon sun during Indian summers (April-June)
## Growth Tips
- Use well-draining potting mix with equal parts garden soil, cocopeat, and perlite or sand
- Feed with balanced liquid fertilizer (NPK 10:10:10) once a month during growing season (September to March)
- Reduce or stop fertilizing during hot summer months
- Repot every 1-2 years in spring using a slightly larger pot
- Propagate easily from stem cuttings placed in water or soil
- Add organic compost or vermicompost every 3-4 months for healthy growth
- Use moss sticks or trellises if you want the plant to climb upward
## Common Problems
- **Leaf browning and crispy edges:** Low humidity, underwatering, or too much direct sun exposure
- **Yellow leaves:** Overwatering or poor drainage leading to root problems
- **Loss of variegation:** Insufficient light - the plant reverts to all green to produce more chlorophyll
- **Spider mites:** Common in dry conditions - look for fine webbing on leaves and spray with neem oil solution
- **Scale insects:** Small brown bumps on stems - remove manually and treat with neem oil
- **Root rot:** Caused by overwatering and poor drainage - evident from mushy stems and foul smell
- **Leggy growth:** Insufficient light - move to brighter location and prune to encourage bushiness
- **Drooping leaves:** Usually means the plant needs water or is exposed to extreme temperatures</t>
        </is>
      </c>
      <c r="V150" s="98">
        <f>HYPERLINK("https://rosaryplanthouse.com/plant/"&amp;A150&amp;"-"&amp;SUBSTITUTE(LOWER(E150), " ", "-"))</f>
        <v/>
      </c>
      <c r="W150" t="inlineStr">
        <is>
          <t>🟢 Hedera helix 'Variegata' (ID: 149)
🌿 Transform your space with the enchanting English Ivy Green! This beautiful trailing plant not only adds a touch of elegance to any indoor setting but also purifies the air around you. Perfect for both beginners and seasoned plant parents! 
✨ **About:** The Variegated English Ivy features stunning green and cream-white leaves that cascade beautifully. Originating from Europe, this popular creeper thrives in various environments and is a fantastic addition to your indoor garden.
🌱 **Key Details:**
- Watering: Medium, around twice a week
- Sunlight: Prefers bright indirect light for 4-6 hours daily
- Humidity: Enjoys moderate to high humidity (40%-70%)
🌿 Ready to bring home this gorgeous plant? 🌱 Link in bio! 
#EnglishIvy #VariegatedIvy #IndoorPlants #PlantLovers #HomeDecor #AirPurifyingPlants #CreeperPlants #PlantCare #GreenThumb #PlantParent #RosaryPlantHouse</t>
        </is>
      </c>
    </row>
    <row r="151" ht="99.5" customHeight="1">
      <c r="A151" s="73" t="n">
        <v>150</v>
      </c>
      <c r="B151" s="74" t="inlineStr">
        <is>
          <t>mother of thousands</t>
        </is>
      </c>
      <c r="C151" s="74">
        <f>IF(Local!H151,"1","0")</f>
        <v/>
      </c>
      <c r="D151" s="75" t="n">
        <v>59</v>
      </c>
      <c r="E151" s="66" t="inlineStr">
        <is>
          <t>Kalanchoe daigremontiana</t>
        </is>
      </c>
      <c r="F151" s="76">
        <f>"public/sale_plants/"&amp;A151&amp;".jpg"</f>
        <v/>
      </c>
      <c r="G151" s="77" t="inlineStr">
        <is>
          <t>(2"-3")</t>
        </is>
      </c>
      <c r="H151" s="78" t="inlineStr">
        <is>
          <t>Low</t>
        </is>
      </c>
      <c r="I151" s="66" t="inlineStr">
        <is>
          <t>Low</t>
        </is>
      </c>
      <c r="J151" s="66" t="inlineStr">
        <is>
          <t>Medium</t>
        </is>
      </c>
      <c r="K151" s="79" t="n">
        <v>79</v>
      </c>
      <c r="L151" s="80" t="inlineStr">
        <is>
          <t>Succulent</t>
        </is>
      </c>
      <c r="M151" s="80" t="n">
        <v>0</v>
      </c>
      <c r="N151" s="80" t="n">
        <v>0</v>
      </c>
      <c r="O151" s="81" t="n">
        <v>0</v>
      </c>
      <c r="P151" s="81" t="n">
        <v>0</v>
      </c>
      <c r="Q151" s="81">
        <f>IF(Local!I151=TRUE,1,0)</f>
        <v/>
      </c>
      <c r="R151" s="81">
        <f>Local!D151</f>
        <v/>
      </c>
      <c r="S151" s="81">
        <f>Local!F151</f>
        <v/>
      </c>
      <c r="T151" s="81">
        <f>Local!G151</f>
        <v/>
      </c>
      <c r="U151" s="83" t="inlineStr">
        <is>
          <t>## About
Mother of Thousands is a fascinating succulent plant known for its unique ability to produce tiny baby plants along the edges of its leaves. This plant gets its common name from the hundreds of small plantlets that grow on the leaf margins, which eventually fall off and root themselves in the soil below.
## Origin
This plant is native to Madagascar and has now spread to many tropical and subtropical regions around the world. It thrives in warm climates and has adapted well to Indian conditions, growing both as an ornamental plant and sometimes as a weed due to its aggressive propagation ability.
## Temperature &amp; Humidity
- **Temperature Range:** 15Â°C to 35Â°C
- **Humidity:** This plant is not fussy about humidity and can tolerate dry conditions typical of Indian summers. It prefers humidity levels between 30% to 50%, making it perfect for most Indian homes.
## Growth
Mother of Thousands grows upright and can reach heights of 30 to 90 centimeters when mature. The plant has thick, fleshy leaves that are bright green with purple or brown spots underneath. It grows at a moderate to fast pace, especially during the warm months. The leaves are triangular or lance-shaped with toothed edges where the baby plantlets develop.
## Watering
- **Frequency:** Water once every 10 to 14 days depending on season and weather conditions. During monsoon, reduce watering significantly.
- **Tips:** Allow the soil to dry out completely between waterings. This plant stores water in its thick leaves, so it can survive drought conditions. Overwatering is the biggest threat to this plant. Always check if the top 2-3 inches of soil are dry before watering again. Use pots with good drainage holes.
## Sunlight
- **Hours per day:** 4 to 6 hours
- **Type:** Bright indirect light to partial direct sunlight. Can tolerate some direct morning or evening sun but protect from harsh afternoon sun during peak summer months.
## Care Tips
- Keep the plant in a location where it receives bright light but is protected from intense midday sun in summer
- This plant is very easy to care for and is perfect for beginners
- Remove dead or dying leaves regularly to keep the plant healthy
- Be aware that this plant can spread quickly through its baby plantlets, so collect fallen plantlets if you don't want them growing everywhere
- The plant is toxic if ingested, so keep it away from pets and children
- Works well in terracotta pots which allow better air circulation
## Growth Tips
- Use well-draining soil mix with equal parts potting soil, sand, and perlite or cocopeat
- Feed with diluted liquid fertilizer once every 2 months during the growing season (spring and summer)
- Repot every 1-2 years in spring when the plant outgrows its current pot
- Propagation is extremely easy - just place the baby plantlets on moist soil and they will root quickly
- Prune the plant to maintain desired shape and prevent it from becoming too leggy
- During Indian winters, the plant may slow down its growth, which is normal
## Common Problems
- **Yellowing leaves:** Usually caused by overwatering. Reduce watering frequency and ensure good drainage
- **Leaf drop:** Can happen due to sudden temperature changes or overwatering
- **Leggy growth:** Insufficient light causes the plant to stretch. Move it to a brighter location
- **Root rot:** Caused by waterlogged soil. Use well-draining soil and reduce watering
- **Mealybugs and aphids:** These pests can attack the plant. Remove with cotton swabs dipped in rubbing alcohol or neem oil solution
- **Brown leaf tips:** Usually due to underwatering or very low humidity, though this plant is quite tolerant
- **No plantlet production:** Lack of adequate light can reduce plantlet formation on leaf edges</t>
        </is>
      </c>
      <c r="V151" s="98">
        <f>HYPERLINK("https://rosaryplanthouse.com/plant/"&amp;A151&amp;"-"&amp;SUBSTITUTE(LOWER(E151), " ", "-"))</f>
        <v/>
      </c>
      <c r="W151" t="inlineStr">
        <is>
          <t>🟢 Kalanchoe daigremontiana (ID: 150)
🌱 Meet the Mother of Thousands! This captivating succulent is not just a beautiful addition to your plant collection but also a marvel of nature, known for producing hundreds of tiny plantlets along the edges of its leaves! 
✨ Native to Madagascar, this resilient beauty thrives in warm climates and is perfect for both beginners and seasoned plant lovers. With its striking green leaves adorned with purple spots, it's sure to catch everyone's eye! 
🌞 **Key Details:**
- **Watering:** Low—only once every 10 to 14 days! 
- **Sunlight:** Enjoys 4 to 6 hours of bright indirect light daily.
- **Care Level:** Very easy, making it an ideal choice for any home!
🌿 Don't miss the chance to add this stunning succulent to your collection! **Link in bio** to shop now! 
#MotherOfThousands #Kalanchoe #SucculentLove #PlantParents #IndoorPlants #Houseplants #GreenThumb #PlantLovers #RosaryPlantHouse #PlantCare #HomeDecor #NatureLovers #TropicalPlants #GardeningTips #SucculentCare</t>
        </is>
      </c>
    </row>
    <row r="152" ht="99.5" customHeight="1">
      <c r="A152" s="73" t="n">
        <v>151</v>
      </c>
      <c r="B152" s="74" t="inlineStr">
        <is>
          <t>Pepromia Grey</t>
        </is>
      </c>
      <c r="C152" s="74">
        <f>IF(Local!H152,"1","0")</f>
        <v/>
      </c>
      <c r="D152" s="75" t="n">
        <v>59</v>
      </c>
      <c r="E152" s="66" t="inlineStr">
        <is>
          <t>Peperomia caperata</t>
        </is>
      </c>
      <c r="F152" s="76">
        <f>"public/sale_plants/"&amp;A152&amp;".jpg"</f>
        <v/>
      </c>
      <c r="G152" s="77" t="inlineStr">
        <is>
          <t>(2"-3")</t>
        </is>
      </c>
      <c r="H152" s="78" t="inlineStr">
        <is>
          <t>High</t>
        </is>
      </c>
      <c r="I152" s="66" t="inlineStr">
        <is>
          <t>Medium</t>
        </is>
      </c>
      <c r="J152" s="66" t="inlineStr">
        <is>
          <t>Low</t>
        </is>
      </c>
      <c r="K152" s="79" t="n">
        <v>69</v>
      </c>
      <c r="L152" s="80" t="inlineStr">
        <is>
          <t>Peperomia</t>
        </is>
      </c>
      <c r="M152" s="80" t="n">
        <v>0</v>
      </c>
      <c r="N152" s="80" t="n">
        <v>0</v>
      </c>
      <c r="O152" s="81" t="n">
        <v>0</v>
      </c>
      <c r="P152" s="80" t="n">
        <v>1</v>
      </c>
      <c r="Q152" s="81">
        <f>IF(Local!I152=TRUE,1,0)</f>
        <v/>
      </c>
      <c r="R152" s="81">
        <f>Local!D152</f>
        <v/>
      </c>
      <c r="S152" s="81">
        <f>Local!F152</f>
        <v/>
      </c>
      <c r="T152" s="81">
        <f>Local!G152</f>
        <v/>
      </c>
      <c r="U152" s="83" t="inlineStr">
        <is>
          <t>## About
The Emerald Ripple Peperomia is a beautiful compact houseplant known for its deeply textured, heart-shaped leaves with rippled surfaces. This small ornamental plant features dark green wrinkled leaves with lighter green stripes along the veins, creating a stunning emerald ripple effect.
## Origin
Native to the tropical rainforests of Brazil in South America. It grows naturally under the canopy of larger trees where it receives filtered light and enjoys warm, humid conditions.
## Temperature &amp; Humidity
- **Temperature Range:** 18Â°C to 27Â°C
- **Humidity:** Prefers moderate to high humidity levels between 50% to 70%. The plant can adapt to normal household humidity but grows better in more humid environments typical of Indian homes during monsoon season.
## Growth
This is a slow-growing, compact plant that typically reaches 15 to 20 cm in height and spreads about 20 to 25 cm wide. It has a bushy, clumping growth habit and stays relatively small, making it perfect for small spaces, desks, and tabletops. The plant grows in a rosette formation with leaves emerging from the center.
## Watering
- **Frequency:** Once a week depending on season and weather conditions. During hot Indian summers, you may need to water twice a week, while in winter once every 10 days is enough.
- **Tips:** Water only when the top 2-3 cm of soil feels dry to touch. Use room temperature water and water at the base of the plant, avoiding the leaves. The thick, succulent-like leaves store water, so it's better to underwater than overwater. Reduce watering during monsoon and winter months. Make sure excess water drains out completely as this plant is very sensitive to waterlogging.
## Sunlight
- **Hours per day:** 2 to 4 hours
- **Type:** Bright indirect or filtered light. Direct sunlight will burn and damage the leaves. Perfect for east or north-facing windows in Indian homes.
## Care Tips
- Keep away from direct afternoon sun especially during harsh Indian summers (April to June)
- Wipe the textured leaves gently with a soft, damp cloth once a month to remove dust
- Protect from cold drafts from air conditioners or fans blowing directly on the plant
- During hot, dry summers, you can mist the plant lightly or place it on a pebble tray with water to increase humidity
- Remove any yellow or damaged leaves promptly to keep the plant healthy
- The plant can tolerate air-conditioned rooms well, making it ideal for offices
- Keep it in a spot with consistent temperature, away from sudden temperature changes
## Growth Tips
- Use well-draining potting mix made of equal parts cocopeat, perlite, and regular potting soil
- Add a handful of organic compost or vermicompost for nutrients
- Feed with diluted liquid fertilizer (half strength) once a month during growing season (March to October)
- Avoid fertilizing during winter months (November to February)
- Repot only when rootbound, typically once every 2 to 3 years
- Choose a pot only slightly larger than the current one, as this plant prefers being slightly root-bound
- Ensure pots have proper drainage holes to prevent water accumulation
- Propagate easily through leaf cuttings or division during spring season
## Common Problems
- **Yellow leaves:** Usually caused by overwatering or poor drainage. Allow soil to dry out between waterings
- **Brown leaf tips:** Result of low humidity or using hard water with high salt content. Use filtered or RO water
- **Drooping leaves:** Sign of underwatering or extremely dry soil. Water thoroughly when this happens
- **Leggy growth:** Caused by insufficient light. Move to a brighter location with indirect light
- **Fungal diseases:** Can occur in overly wet conditions or poor air circulation. Avoid getting leaves wet and ensure good airflow
- **Mealybugs and spider mites:** Common pests that can attack. Wipe leaves with neem oil solution monthly as prevention
- **Root rot:** Most serious problem caused by overwatering. The roots turn brown and mushy. Reduce watering frequency immediately</t>
        </is>
      </c>
      <c r="V152" s="98">
        <f>HYPERLINK("https://rosaryplanthouse.com/plant/"&amp;A152&amp;"-"&amp;SUBSTITUTE(LOWER(E152), " ", "-"))</f>
        <v/>
      </c>
      <c r="W152" t="inlineStr">
        <is>
          <t>🟢 Peperomia Caperata (ID: 151)  
🌿 Meet the stunning Emerald Ripple Peperomia! This little gem is not just a feast for the eyes but also a fantastic companion for your indoor spaces. With its deeply textured, heart-shaped leaves and mesmerizing emerald ripple effect, it adds a touch of nature’s elegance to your home.  
✨ **About the Plant:**  
Native to the lush tropical rainforests of Brazil, this compact beauty thrives in bright indirect light and prefers moderate to high humidity. It’s perfect for small spaces, desks, and tabletops, bringing a fresh vibe to any corner!  
🌱 **Key Details:**  
- **Watering:** Medium (once a week)  
- **Sunlight:** Low (2-4 hours of indirect light)  
- **Care Tips:** Keep away from direct sunlight and cold drafts, and wipe leaves monthly to keep them dust-free.  
👉 Ready to bring home this beauty? Tap the link in bio!  
#Peperomia #IndoorPlants #PlantLover #Houseplant #HomeDecor #PlantCare #GreenThumb #IndoorGardening #PlantParents #NatureLovers #RosaryPlantHouse</t>
        </is>
      </c>
    </row>
    <row r="153" ht="99.5" customHeight="1">
      <c r="A153" s="73" t="n">
        <v>152</v>
      </c>
      <c r="B153" s="74" t="inlineStr">
        <is>
          <t>lilyturf</t>
        </is>
      </c>
      <c r="C153" s="74">
        <f>IF(Local!H153,"1","0")</f>
        <v/>
      </c>
      <c r="D153" s="75" t="n">
        <v>49</v>
      </c>
      <c r="E153" s="66" t="inlineStr">
        <is>
          <t>Ophiopogon japonicus 'Nanus'</t>
        </is>
      </c>
      <c r="F153" s="76">
        <f>"public/sale_plants/"&amp;A153&amp;".jpg"</f>
        <v/>
      </c>
      <c r="G153" s="77" t="inlineStr">
        <is>
          <t>(2"-3")</t>
        </is>
      </c>
      <c r="H153" s="78" t="inlineStr">
        <is>
          <t>Moderate</t>
        </is>
      </c>
      <c r="I153" s="66" t="inlineStr">
        <is>
          <t>Medium</t>
        </is>
      </c>
      <c r="J153" s="66" t="inlineStr">
        <is>
          <t>Medium</t>
        </is>
      </c>
      <c r="K153" s="79" t="n">
        <v>99</v>
      </c>
      <c r="L153" s="80" t="inlineStr">
        <is>
          <t>Others</t>
        </is>
      </c>
      <c r="M153" s="80" t="n">
        <v>0</v>
      </c>
      <c r="N153" s="80" t="n">
        <v>0</v>
      </c>
      <c r="O153" s="81" t="n">
        <v>0</v>
      </c>
      <c r="P153" s="80" t="n">
        <v>0</v>
      </c>
      <c r="Q153" s="81">
        <f>IF(Local!I153=TRUE,1,0)</f>
        <v/>
      </c>
      <c r="R153" s="81">
        <f>Local!D153</f>
        <v/>
      </c>
      <c r="S153" s="81">
        <f>Local!F153</f>
        <v/>
      </c>
      <c r="T153" s="81">
        <f>Local!G153</f>
        <v/>
      </c>
      <c r="U153" s="83" t="inlineStr">
        <is>
          <t>## About
Dwarf Lilyturf is a compact, grass-like ornamental plant with narrow, dark green leaves that form dense clumps. It is a popular ground cover and border plant that originates from East Asia and is well-suited to Indian gardens and indoor spaces.
## Origin
This plant is native to Japan, China, and Korea, where it grows naturally in woodlands and shaded areas. It has been cultivated for centuries as an ornamental plant and has adapted well to various climates around the world, including India.
## Temperature &amp; Humidity
- **Temperature Range:** 15Â°C to 35Â°C
- **Humidity:** Prefers moderate to high humidity levels (50% to 70%). It adapts well to Indian climate conditions and can tolerate both humid and slightly dry conditions.
## Growth
Dwarf Lilyturf is a slow to moderate-growing plant that typically reaches 10-20 cm in height and spreads 15-25 cm wide. It forms dense, compact clumps with arching, grass-like foliage. The plant grows from underground rhizomes and gradually expands to create a thick mat over time. This dwarf variety is smaller and more compact than the regular Ophiopogon japonicus, making it perfect for small spaces, borders, and container gardening.
## Watering
- **Frequency:** Water once or twice a week depending on season, weather conditions, and soil moisture. During summer months, increase frequency; during monsoon, reduce watering.
- **Tips:** Keep the soil consistently moist but not waterlogged. Allow the top layer of soil to dry slightly between waterings. Reduce watering in winter when growth slows down. Ensure good drainage to prevent root rot. If growing indoors, check soil moisture before watering as indoor plants dry out more slowly.
## Sunlight
- **Hours per day:** 3 to 5 hours
- **Type:** Bright indirect light or partial shade. Can tolerate a few hours of gentle morning or evening direct sunlight, but protect from harsh afternoon sun, especially in hot Indian summers.
## Care Tips
- Protect from intense midday sun during peak summer months (April to June) in India
- Grows well in both indoor and outdoor settings in Indian climate
- Tolerates air conditioning and indoor environments very well
- Can handle light frost but protect from extreme cold in North India during winter
- Remove dead or yellowing leaves regularly to maintain appearance
- Works excellently as a border plant along pathways or around flower beds
- Combines well with other shade-loving plants in mixed containers
## Growth Tips
- Use well-draining, fertile soil rich in organic matter. A mix of garden soil, cocopeat, and compost works well
- Add a layer of organic mulch around the plant to retain moisture and keep roots cool
- Fertilize once every 2-3 months during growing season (spring and summer) with a balanced liquid fertilizer or organic compost
- Repot every 2-3 years or when the plant becomes root-bound
- Divide clumps every few years to rejuvenate the plant and create new plants
- Provide good air circulation, especially when growing indoors
## Common Problems
- **Yellowing leaves:** Usually caused by overwatering, poor drainage, or too much direct sunlight
- **Brown leaf tips:** Result of low humidity, underwatering, or salt buildup from fertilizers
- **Slug and snail damage:** These pests may feed on leaves in outdoor settings, especially during monsoon
- **Root rot:** Caused by waterlogged soil and poor drainage. Ensure pots have drainage holes
- **Slow growth:** May indicate poor soil quality, lack of nutrients, or insufficient light
- **Leaf spot diseases:** Can occur in overly humid conditions with poor air circulation. Remove affected leaves and improve ventilation</t>
        </is>
      </c>
      <c r="V153" s="98">
        <f>HYPERLINK("https://rosaryplanthouse.com/plant/"&amp;A153&amp;"-"&amp;SUBSTITUTE(LOWER(E153), " ", "-"))</f>
        <v/>
      </c>
      <c r="W153" t="inlineStr">
        <is>
          <t>🟢 Ophiopogon japonicus 'Nanus' (ID: 152)
🌿 Discover the beauty of the Dwarf Lilyturf! This compact ornamental plant features narrow, lush green leaves that create a stunning dense clump, making it a perfect choice for ground cover or as a border highlight in your garden. 
🌱 **About the Plant**: Originating from the woodlands of East Asia, this resilient beauty thrives in both gardens and indoor spaces. Its graceful arching foliage adds elegance to any environment, whether in a cozy corner or lining your garden pathways.
✨ **Key Details**:
- **Temperature &amp; Humidity**: Thrives in moderate to high humidity (50% to 70%).
- **Sunlight**: Prefers bright indirect light or partial shade.
- **Watering**: Keep soil consistently moist but well-drained.
🌼 Ready to transform your green space? Don’t miss out on bringing home the Dwarf Lilyturf! 🌍✨ **Link in bio**
#Ophiopogon #DwarfLilyturf #PlantLovers #IndoorPlants #GardenGoals #GreenThumb #PlantCare #HomeDecor #NatureLovers #PlantAddict #RosaryPlantHouse #InstaPlants #PlantParent #Gardening #Houseplants #OrnamentalPlants</t>
        </is>
      </c>
    </row>
    <row r="154" ht="99.5" customHeight="1">
      <c r="A154" s="73" t="n">
        <v>153</v>
      </c>
      <c r="B154" s="74" t="inlineStr">
        <is>
          <t>Aeonium Verigated</t>
        </is>
      </c>
      <c r="C154" s="74">
        <f>IF(Local!H154,"1","0")</f>
        <v/>
      </c>
      <c r="D154" s="75" t="n">
        <v>69</v>
      </c>
      <c r="E154" s="66" t="inlineStr">
        <is>
          <t>Aeonium arboreum 'Variegata'</t>
        </is>
      </c>
      <c r="F154" s="76">
        <f>"public/sale_plants/"&amp;A154&amp;".jpg"</f>
        <v/>
      </c>
      <c r="G154" s="77" t="inlineStr">
        <is>
          <t>(2"-3")</t>
        </is>
      </c>
      <c r="H154" s="78" t="inlineStr">
        <is>
          <t>High</t>
        </is>
      </c>
      <c r="I154" s="66" t="inlineStr">
        <is>
          <t>Low</t>
        </is>
      </c>
      <c r="J154" s="66" t="inlineStr">
        <is>
          <t>Medium</t>
        </is>
      </c>
      <c r="K154" s="79" t="n">
        <v>99</v>
      </c>
      <c r="L154" s="80" t="inlineStr">
        <is>
          <t>Succulent</t>
        </is>
      </c>
      <c r="M154" s="80" t="n">
        <v>0</v>
      </c>
      <c r="N154" s="80" t="n">
        <v>0</v>
      </c>
      <c r="O154" s="81" t="n">
        <v>0</v>
      </c>
      <c r="P154" s="81" t="n">
        <v>0</v>
      </c>
      <c r="Q154" s="81">
        <f>IF(Local!I154=TRUE,1,0)</f>
        <v/>
      </c>
      <c r="R154" s="81">
        <f>Local!D154</f>
        <v/>
      </c>
      <c r="S154" s="81">
        <f>Local!F154</f>
        <v/>
      </c>
      <c r="T154" s="81">
        <f>Local!G154</f>
        <v/>
      </c>
      <c r="U154" s="83" t="inlineStr">
        <is>
          <t>## About
Irish Rose is a beautiful variegated succulent with rosettes of spoon-shaped leaves that display stunning cream and green colors. This attractive plant grows on woody stems and creates a tree-like appearance as it matures. It is a popular ornamental plant that adds color and texture to gardens and indoor spaces.
## Origin
This plant originates from the Canary Islands, off the coast of Northwest Africa. In its natural habitat, it grows in rocky areas with mild temperatures and low rainfall. The variegated form has been cultivated and is now popular worldwide among succulent enthusiasts.
## Temperature &amp; Humidity
- **Temperature Range:** 10Â°C to 30Â°C (ideal range is 15Â°C to 25Â°C)
- **Humidity:** This plant prefers moderate humidity levels between 30% to 50%. It can adapt to Indian climate conditions but may need protection during extreme heat or monsoon rains.
## Growth
Irish Rose grows as a branching succulent that can reach 60 to 90 cm in height. The rosettes typically measure 10 to 15 cm in diameter. Growth is moderate, and the plant develops a tree-like structure with woody stems over time. Each branch ends in a rosette of fleshy leaves. The plant tends to be more compact in bright light and may stretch if light is insufficient.
## Watering
- **Frequency:** Water once every 10-15 days depending on season, weather conditions, and pot size. During the hot summer months, you may need to water more frequently, while in winter or monsoon, reduce watering significantly.
- **Tips:** Always check if the soil is completely dry before watering. Water thoroughly until it drains from the bottom, then allow the soil to dry out completely. Avoid getting water on the rosettes as this can cause rot. Reduce watering during the winter months when the plant is dormant.
## Sunlight
- **Hours per day:** 4 to 6 hours
- **Type:** Bright indirect light or filtered morning sunlight. Avoid harsh afternoon sun, especially in Indian summers, as it can scorch the variegated leaves. Morning sun is ideal for maintaining the beautiful cream and green coloration.
## Care Tips
- Protect from intense afternoon sun during Indian summers (March to June) as the variegated leaves are more sensitive to burning
- Bring potted plants indoors or under shade during heavy monsoon rains to prevent root rot
- The plant goes dormant in summer in its native habitat, but in India, it may show dormancy during peak summer heat
- Ensure good air circulation around the plant to prevent fungal issues in humid conditions
- Remove dead or dried lower leaves regularly to keep the plant healthy and attractive
- The cream-colored portions of variegated leaves are more delicate, so handle with care
## Growth Tips
- Use a well-draining succulent or cactus potting mix, or make your own by mixing regular potting soil with cocopeat, sand, and perlite in equal parts
- Add a layer of gravel or small stones at the bottom of the pot for better drainage
- Feed with a diluted balanced liquid fertilizer (NPK 10-10-10) once every 2-3 months during the growing season (post-monsoon to spring)
- Repot every 2-3 years or when the plant becomes root-bound, preferably during spring
- Propagate easily from stem cuttings - allow the cut end to dry for 2-3 days before planting in well-draining soil
- The plant may lose lower leaves as it grows, which is natural and gives it a tree-like appearance
## Common Problems
- **Leaf drop:** Can occur due to overwatering, poor drainage, or natural dormancy during extreme heat
- **Root rot:** Caused by overwatering or poor drainage, especially during monsoon season - avoid waterlogged soil
- **Stretching (etiolation):** Happens when the plant doesn't receive enough light - move to a brighter location
- **Leaf burn:** Brown or black spots on leaves indicate too much direct harsh sunlight - provide filtered light
- **Mealybugs and aphids:** Common pests that appear as white cottony masses or small insects on leaves and stems - treat with neem oil spray
- **Fungal issues:** Can develop in high humidity with poor air circulation - ensure proper ventilation and avoid overhead watering
- **Loss of variegation:** May occur in too much shade - ensure adequate bright light to maintain the cream coloring</t>
        </is>
      </c>
      <c r="V154" s="98">
        <f>HYPERLINK("https://rosaryplanthouse.com/plant/"&amp;A154&amp;"-"&amp;SUBSTITUTE(LOWER(E154), " ", "-"))</f>
        <v/>
      </c>
      <c r="W154" t="inlineStr">
        <is>
          <t>🟢 Aeonium Variegated (ID: 153)
🌿 Meet the stunning Irish Rose, a captivating succulent that brings a splash of color to your space! With its beautiful rosettes of cream and green leaves, this plant is not just a treat for the eyes; it’s a conversation starter. 
✨ About this beauty: Native to the Canary Islands, the Aeonium Variegated thrives in mild temperatures and low humidity. Its tree-like structure and graceful woody stems make it a striking addition to any garden or indoor setting.
🌱 **Key Details:**
- 🌞 Sunlight: Prefers bright indirect light (4-6 hours daily)
- 💧 Watering: Low maintenance, just once every 10-15 days
- 🌬️ Care Tips: Avoid intense afternoon sun and protect from heavy rains
- 👩‍🌾 Perfect for succulent lovers looking to enhance their collection!
Don’t miss out on adding this unique succulent to your home! 🌸 Link in bio for more details.
#Aeonium #VariegatedSucculent #SucculentLove #IndoorGarden #PlantParent #RosaryPlantHouse #GreenThumb #HomeDecor #SucculentCare #PlantCollection #GardeningJoy #NatureLovers #PlantAddict #HousePlants #SucculentsofInstagram #PlantEnthusiast</t>
        </is>
      </c>
    </row>
    <row r="155" ht="99.5" customHeight="1">
      <c r="A155" s="73" t="n">
        <v>154</v>
      </c>
      <c r="B155" s="74" t="inlineStr">
        <is>
          <t>pep small leaf</t>
        </is>
      </c>
      <c r="C155" s="74">
        <f>IF(Local!H155,"1","0")</f>
        <v/>
      </c>
      <c r="D155" s="75" t="n">
        <v>69</v>
      </c>
      <c r="E155" s="66" t="inlineStr">
        <is>
          <t>Peperomia rubella</t>
        </is>
      </c>
      <c r="F155" s="76">
        <f>"public/sale_plants/"&amp;A155&amp;".jpg"</f>
        <v/>
      </c>
      <c r="G155" s="77" t="inlineStr">
        <is>
          <t>(2"-3")</t>
        </is>
      </c>
      <c r="H155" s="78" t="inlineStr">
        <is>
          <t>High</t>
        </is>
      </c>
      <c r="I155" s="66" t="inlineStr">
        <is>
          <t>Medium</t>
        </is>
      </c>
      <c r="J155" s="66" t="inlineStr">
        <is>
          <t>Medium</t>
        </is>
      </c>
      <c r="K155" s="79" t="n">
        <v>69</v>
      </c>
      <c r="L155" s="80" t="inlineStr">
        <is>
          <t>Peperomia</t>
        </is>
      </c>
      <c r="M155" s="80" t="n">
        <v>0</v>
      </c>
      <c r="N155" s="80" t="n">
        <v>0</v>
      </c>
      <c r="O155" s="81" t="n">
        <v>0</v>
      </c>
      <c r="P155" s="80" t="n">
        <v>1</v>
      </c>
      <c r="Q155" s="81">
        <f>IF(Local!I155=TRUE,1,0)</f>
        <v/>
      </c>
      <c r="R155" s="81">
        <f>Local!D155</f>
        <v/>
      </c>
      <c r="S155" s="81">
        <f>Local!F155</f>
        <v/>
      </c>
      <c r="T155" s="81">
        <f>Local!G155</f>
        <v/>
      </c>
      <c r="U155" s="83" t="inlineStr">
        <is>
          <t>## About
Peperomia rubella, commonly known as the Radiator Plant, is a charming compact succulent-like plant with tiny rounded green leaves edged in red. It is a popular indoor plant known for its low maintenance needs and attractive trailing or bushy growth habit that makes it perfect for hanging baskets or small pots.
## Origin
This plant is native to Jamaica and other parts of the Caribbean and Central America. In its natural habitat, it grows as an understory plant in humid tropical forests, thriving in the shade of larger trees with filtered sunlight and warm, humid conditions.
## Temperature &amp; Humidity
- **Temperature Range:** 18Â°C to 27Â°C
- **Humidity:** Peperomia rubella prefers moderate to high humidity levels between 40% to 70%. It can adapt to normal household humidity but thrives better with occasional misting or a humidity tray, especially during dry Indian summers or in air-conditioned rooms.
## Growth
Peperomia rubella is a slow to moderate grower that typically reaches about 10-15 cm in height and can spread up to 20-25 cm wide. It has a trailing or cascading growth habit, making it an excellent choice for hanging baskets or as a table-top plant where its stems can drape elegantly. The plant has thick, fleshy leaves that store water, and the stems develop a beautiful reddish color, especially when exposed to bright light. Its compact size makes it perfect for small spaces.
## Watering
- **Frequency:** Once a week depending on season and weather conditions. In hot Indian summers, you may need to water twice a week, while in monsoon and winter, once every 7-10 days is sufficient.
- **Tips:** Always check the top 2-3 cm of soil before wateringâ€”it should feel dry to touch. Peperomias are semi-succulent and store water in their leaves, so they are more tolerant of underwatering than overwatering. Use well-draining soil and ensure the pot has drainage holes. Water thoroughly but allow excess water to drain completely. Reduce watering in cooler months.
## Sunlight
- **Hours per day:** 3 to 5 hours
- **Type:** Bright indirect light is ideal. The plant can tolerate low light conditions but grows best with filtered or diffused light. Avoid direct harsh afternoon sunlight as it can scorch the delicate leaves. A north or east-facing window is perfect for Indian homes, or place it a few feet away from a south or west-facing window with sheer curtains.
## Care Tips
- Ideal for Indian homes as it tolerates air conditioning well
- Keep away from cold drafts during winter months in North India
- Mist occasionally during dry summer months to maintain humidity
- Wipe leaves gently with a damp cloth to remove dust and help the plant breathe
- Prune leggy stems to encourage bushier growth
- Rotate the plant every few weeks for even growth on all sides
- Very pet-friendly and non-toxic to cats and dogs
## Growth Tips
- Use a well-draining potting mixâ€”a combination of regular potting soil, cocopeat, and perlite or sand works well
- Add organic compost or vermicompost once every 2-3 months during growing season (spring and summer)
- Use a diluted liquid fertilizer (half strength) once a month during active growth
- Repot only when root-bound, typically every 2-3 years, as Peperomias prefer slightly cramped conditions
- Use a shallow pot as the root system is not very deep
- Propagate easily through stem cuttings in water or directly in moist soil
## Common Problems
- **Yellowing leaves:** Usually caused by overwatering or poor drainage. Allow soil to dry between waterings
- **Leaf drop:** Can result from sudden temperature changes, cold drafts, or overwatering
- **Brown leaf tips:** Indicates low humidity or underwatering. Increase humidity and maintain consistent watering
- **Leggy growth:** Insufficient light causes the plant to stretch. Move to a brighter location
- **Root rot:** Result of overwatering and poorly draining soil. Ensure proper drainage
- **Pests:** Generally pest-resistant but occasionally affected by mealybugs or spider mites. Wipe with neem oil solution if noticed
- **Wilting despite moist soil:** Sign of root rot. Check roots and repot in fresh soil if necessary</t>
        </is>
      </c>
      <c r="V155" s="98">
        <f>HYPERLINK("https://rosaryplanthouse.com/plant/"&amp;A155&amp;"-"&amp;SUBSTITUTE(LOWER(E155), " ", "-"))</f>
        <v/>
      </c>
      <c r="W155" t="inlineStr">
        <is>
          <t>🟢 Peperomia rubella (ID: 154)
🌿 Ready to add a touch of charm to your indoor oasis? Meet the Peperomia rubella, also known as the Radiator Plant! This delightful plant boasts tiny, round green leaves edged in red, creating a stunning visual that will brighten up any corner of your home. 
✨ Known for its low-maintenance care and attractive growth habit, the Peperomia rubella is perfect for both hanging baskets and tabletop displays. Its trailing stems drape elegantly, making it a beautiful addition to your plant collection!
🌱 **Key Details:**
- **Watering:** Medium, once a week (more in hot summers)
- **Sunlight:** Thrives in bright indirect light (3-5 hours/day)
- **Humidity:** Prefers moderate to high humidity (40%-70%)
👉 Discover this beauty and bring it home! Link in bio.
#PeperomiaRubella #RadiatorPlant #IndoorPlants #PlantLovers #Houseplant #GreenThumb #PlantCare #HomeDecor #EcoFriendly #RosaryPlantHouse #PlantParent #PlantGoals</t>
        </is>
      </c>
    </row>
    <row r="156" ht="99.5" customHeight="1">
      <c r="A156" s="73" t="n">
        <v>155</v>
      </c>
      <c r="B156" s="74" t="inlineStr">
        <is>
          <t>Ball yellow Flower</t>
        </is>
      </c>
      <c r="C156" s="74">
        <f>IF(Local!H156,"1","0")</f>
        <v/>
      </c>
      <c r="D156" s="75" t="n">
        <v>69</v>
      </c>
      <c r="E156" s="66" t="inlineStr">
        <is>
          <t>Rebutia species</t>
        </is>
      </c>
      <c r="F156" s="76">
        <f>"public/sale_plants/"&amp;A156&amp;".jpg"</f>
        <v/>
      </c>
      <c r="G156" s="77" t="inlineStr">
        <is>
          <t>(2"-3")</t>
        </is>
      </c>
      <c r="H156" s="78" t="inlineStr">
        <is>
          <t>Low</t>
        </is>
      </c>
      <c r="I156" s="66" t="inlineStr">
        <is>
          <t>Low</t>
        </is>
      </c>
      <c r="J156" s="66" t="inlineStr">
        <is>
          <t>High</t>
        </is>
      </c>
      <c r="K156" s="79" t="n">
        <v>79</v>
      </c>
      <c r="L156" s="80" t="inlineStr">
        <is>
          <t>Cactus</t>
        </is>
      </c>
      <c r="M156" s="80" t="n">
        <v>0</v>
      </c>
      <c r="N156" s="80" t="n">
        <v>0</v>
      </c>
      <c r="O156" s="81" t="n">
        <v>0</v>
      </c>
      <c r="P156" s="80" t="n">
        <v>0</v>
      </c>
      <c r="Q156" s="81">
        <f>IF(Local!I156=TRUE,1,0)</f>
        <v/>
      </c>
      <c r="R156" s="81">
        <f>Local!D156</f>
        <v/>
      </c>
      <c r="S156" s="81">
        <f>Local!F156</f>
        <v/>
      </c>
      <c r="T156" s="81">
        <f>Local!G156</f>
        <v/>
      </c>
      <c r="U156" s="83" t="inlineStr">
        <is>
          <t>## About
The Crown Cactus is a small, ball-shaped cactus known for its stunning bright yellow, orange, or red flowers that bloom in spring and summer. Native to the mountains of South America, this charming little cactus is popular among collectors for its compact size and beautiful blooms.
## Origin
This cactus originally comes from the mountainous regions of Bolivia and Argentina in South America. It grows naturally at high altitudes where it experiences cool nights and bright sunny days.
## Temperature &amp; Humidity
- **Temperature Range:** 15Â°C to 35Â°C (can tolerate brief periods down to 5Â°C during winter dormancy)
- **Humidity:** Low to moderate humidity (30% to 50%). This cactus prefers drier conditions and does not need high humidity to thrive.
## Growth
Crown Cactus is a small, slow-growing plant that typically reaches 5 to 10 cm in height and spreads about 8 to 12 cm wide. It forms a rounded, globe-like shape covered with small spines arranged in neat patterns. The plant often produces offsets (baby plants) around the base, creating attractive clusters over time. Growth is slow but steady, especially when given proper care and good sunlight.
## Watering
- **Frequency:** Once every two weeks depending on season and weather conditions. Water less in winter (once a month or less). Allow the soil to dry out completely between waterings.
- **Tips:** Always check if the soil is completely dry before watering again. Use the "soak and dry" method â€“ water thoroughly until water drains from the bottom, then wait until soil is bone dry. Reduce watering significantly during monsoon season and winter months. Never let the plant sit in waterlogged soil as this will cause root rot.
## Sunlight
- **Hours per day:** 4 to 6 hours
- **Type:** Direct bright sunlight is ideal. Morning sunlight is best for Indian conditions. Can tolerate some afternoon sun but provide light shade during the hottest summer months (April-June) to prevent sunburn.
## Care Tips
- Place the cactus in a south or east-facing window indoors for best light
- During Indian summers (April-June), provide partial afternoon shade to prevent scorching
- Ensure excellent drainage â€“ the pot must have drainage holes
- During monsoon season, move the plant to a covered area or indoors to prevent overwatering from rain
- In winter, reduce watering drastically as the plant enters dormancy
- Good air circulation helps prevent fungal problems
- Clean dust off the plant gently with a soft brush
## Growth Tips
- Use a well-draining cactus or succulent potting mix (mix regular soil with 50% coarse sand and perlite)
- Add small pieces of brick or gravel to improve drainage
- Fertilize once a month during growing season (March to October) with diluted cactus fertilizer at half strength
- Stop fertilizing completely in winter months
- Repot every 2 to 3 years in spring using fresh cactus mix
- Choose a pot only slightly larger than the plant â€“ cacti prefer being slightly root-bound
- Use terracotta pots as they dry out faster than plastic
## Common Problems
- **Root rot:** Caused by overwatering or poor drainage. Signs include soft, mushy base and yellowing
- **Sunburn:** Brown or white patches appear when exposed to too intense afternoon sun in peak summer
- **Shriveling:** Usually means the plant needs water, especially if soil is completely dry
- **No flowers:** Insufficient sunlight or lack of winter dormancy (cool, dry rest period needed)
- **Mealybugs:** White cottony pests in crevices â€“ remove with cotton swab dipped in rubbing alcohol
- **Scale insects:** Brown bumps on surface â€“ scrape off gently or treat with neem oil
- **Etiolation (stretching):** Plant becomes elongated and loses compact shape due to insufficient light</t>
        </is>
      </c>
      <c r="V156" s="98">
        <f>HYPERLINK("https://rosaryplanthouse.com/plant/"&amp;A156&amp;"-"&amp;SUBSTITUTE(LOWER(E156), " ", "-"))</f>
        <v/>
      </c>
      <c r="W156" t="inlineStr">
        <is>
          <t>🟢 Rebutia species (ID: 155)
🌼 Brighten your space with the stunning Ball Yellow Flower! This charming little cactus is not just a feast for the eyes but also a low-maintenance companion for plant lovers of all levels. 🌵✨
About this beauty: Native to the high-altitude mountains of Bolivia and Argentina, the Rebutia species is known for its vibrant yellow blooms that burst forth in spring and summer. Compact and slow-growing, it forms delightful clusters over time, making it a perfect addition to your indoor or outdoor garden.
🌞 **Key Details:**
- **Watering:** Low – once every two weeks (even less in winter!)
- **Sunlight:** High – thrives with 4-6 hours of direct bright sunlight daily
- **Care Tips:** Excellent drainage is a must! Keep it in a well-draining pot and let it dry out completely between waterings.
Ready to add a pop of color to your collection? 🌼💚 Check out the details and bring home your own Ball Yellow Flower! Link in bio.
#Rebutia #BallYellowFlower #CactusLove #PlantParent #IndoorPlants #Succulent #CactusCollection #GreenThumb #PlantCare #GardeningJoy #PlantLovers #RosaryPlantHouse</t>
        </is>
      </c>
    </row>
    <row r="157" ht="99.5" customHeight="1">
      <c r="A157" s="73" t="n">
        <v>156</v>
      </c>
      <c r="B157" s="74" t="inlineStr">
        <is>
          <t>Close Fingure</t>
        </is>
      </c>
      <c r="C157" s="74">
        <f>IF(Local!H157,"1","0")</f>
        <v/>
      </c>
      <c r="D157" s="75" t="n">
        <v>59</v>
      </c>
      <c r="E157" s="66" t="inlineStr">
        <is>
          <t>Echeveria prolifica</t>
        </is>
      </c>
      <c r="F157" s="76">
        <f>"public/sale_plants/"&amp;A157&amp;".jpg"</f>
        <v/>
      </c>
      <c r="G157" s="77" t="inlineStr">
        <is>
          <t>(2"-3")</t>
        </is>
      </c>
      <c r="H157" s="78" t="inlineStr">
        <is>
          <t>Low</t>
        </is>
      </c>
      <c r="I157" s="66" t="inlineStr">
        <is>
          <t>Low</t>
        </is>
      </c>
      <c r="J157" s="66" t="inlineStr">
        <is>
          <t>High</t>
        </is>
      </c>
      <c r="K157" s="79" t="n">
        <v>89</v>
      </c>
      <c r="L157" s="81" t="inlineStr">
        <is>
          <t>Echeveria</t>
        </is>
      </c>
      <c r="M157" s="80" t="n">
        <v>0</v>
      </c>
      <c r="N157" s="80" t="n">
        <v>0</v>
      </c>
      <c r="O157" s="81" t="n">
        <v>0</v>
      </c>
      <c r="P157" s="81" t="n">
        <v>0</v>
      </c>
      <c r="Q157" s="81">
        <f>IF(Local!I157=TRUE,1,0)</f>
        <v/>
      </c>
      <c r="R157" s="81">
        <f>Local!D157</f>
        <v/>
      </c>
      <c r="S157" s="81">
        <f>Local!F157</f>
        <v/>
      </c>
      <c r="T157" s="81">
        <f>Local!G157</f>
        <v/>
      </c>
      <c r="U157" s="83" t="inlineStr">
        <is>
          <t>## About
Echeveria prolifica is a beautiful small succulent that forms clusters of plump, green rosettes. True to its name "prolifica," this plant produces many offsets (baby plants) very easily, making it perfect for beginners and collectors alike. It is native to Mexico and belongs to the popular Echeveria family loved for its ornamental appearance.
## Origin
This succulent originates from Mexico, where it grows in rocky areas with excellent drainage and plenty of sunshine. It is adapted to dry, arid conditions with occasional rainfall.
## Temperature &amp; Humidity
- **Temperature Range:** 15Â°C to 35Â°C (can tolerate up to 40Â°C in Indian summers)
- **Humidity:** Low to moderate (30% to 50%). This plant prefers dry conditions and does not like high humidity, making it well-suited to most Indian climates except very humid coastal areas during monsoons.
## Growth
Echeveria prolifica is a small, compact succulent that grows about 5 to 10 cm tall. Each rosette can spread up to 7-8 cm in diameter. The plant grows quickly and produces many offsets around the mother plant, forming attractive clusters within a few months. The leaves are thick, fleshy, and finger-like, arranged in tight rosettes that look like tiny green flowers. Growth is faster during spring and autumn.
## Watering
- **Frequency:** Once every 10-15 days depending on season and weather conditions. In peak summer, water once a week depending on other parameters. In winter and monsoon, water once every two weeks or less depending on other parameters.
- **Tips:** Always water deeply but allow the soil to dry out completely between waterings. Water directly into the soil, avoiding the rosettes and leaves to prevent rot. Reduce watering significantly during the monsoon season and winter months. Use the "soak and dry" method for best results.
## Sunlight
- **Hours per day:** 4 to 6 hours
- **Type:** Direct morning sunlight or bright indirect light. In very hot Indian summers (above 40Â°C), provide afternoon shade to prevent leaf burn. Morning sun is ideal as it's gentler.
## Care Tips
- Protect from heavy monsoon rains by keeping under a shelter or moving indoors, as excessive moisture can cause root rot
- Ensure excellent drainage in potsâ€”always use pots with drainage holes
- Remove dried leaves from the bottom to keep the plant tidy and prevent pests
- During Indian summers, provide shade during the hottest afternoon hours (12 PM to 4 PM)
- In winter, bring indoors if temperatures drop below 10Â°C
- The plant may show stress colors (pink or purple tips) in strong sunlight, which is normal and attractive
- Propagate easily by removing offsets or leaf cuttings during spring or autumn
## Growth Tips
- Use a well-draining succulent or cactus potting mix (mix regular soil with cocopeat and perlite or sand in 1:1:1 ratio)
- Add fertilizer once every 2-3 months during growing season (spring and autumn) with diluted liquid succulent fertilizer or balanced NPK (10:10:10) at quarter strength
- Repot every 1-2 years in spring when the plant becomes overcrowded or pot-bound
- Use shallow, wide pots as Echeverias have shallow root systems
- Add a top layer of small pebbles or gravel for aesthetic look and to prevent water from sitting around the stem
## Common Problems
- **Yellowing leaves:** Overwatering or poor drainageâ€”reduce watering frequency and check drainage holes
- **Stretching (etiolation):** Not enough sunlightâ€”move to a brighter location with more direct light
- **Shriveled leaves:** Underwateringâ€”water more frequently, especially in hot summer months
- **Black or brown mushy leaves:** Root rot from overwatering or fungal infectionâ€”remove affected leaves, reduce watering, and improve air circulation
- **Mealybugs (white cottony spots):** Common pestâ€”remove with cotton swab dipped in rubbing alcohol or spray with neem oil solution
- **Leaf drop:** Natural process for lower leaves, but sudden leaf drop may indicate watering stress or temperature shock
- **Powdery coating wiped off:** Natural protective coating called farinaâ€”handle leaves gently to preserve this coating</t>
        </is>
      </c>
      <c r="V157" s="98">
        <f>HYPERLINK("https://rosaryplanthouse.com/plant/"&amp;A157&amp;"-"&amp;SUBSTITUTE(LOWER(E157), " ", "-"))</f>
        <v/>
      </c>
      <c r="W157" t="inlineStr">
        <is>
          <t>🟢 Echeveria prolifica (ID: 156)
🌿 Looking to add a touch of green magic to your space? Meet the Echeveria prolifica, your new plant companion! 🌟
This charming succulent forms delightful clusters of plump, green rosettes that are not only a feast for the eyes but also super easy to care for. Native to the sunny landscapes of Mexico, this plant thrives in bright light and requires minimal watering, making it perfect for both novices and seasoned plant lovers!
✨ **Key Details:**
- **Watering:** Low - once every 10-15 days
- **Sunlight:** High - 4 to 6 hours a day of direct or bright indirect light
- **Growth Rate:** Fast and prolific, producing offsets quickly
Don’t miss the chance to bring this beauty home! 🌱 Link in bio.
#EcheveriaProlifica #SucculentLove #PlantParent #IndoorPlants #GreenThumb #PlantCollection #HousePlants #SucculentCare #RosaryPlantHouse #PlantAddict #HomeDecor #NatureLovers #PlantLife #Gardening #PlantStyle #SucculentGarden</t>
        </is>
      </c>
    </row>
    <row r="158" ht="99.5" customHeight="1">
      <c r="A158" s="73" t="n">
        <v>157</v>
      </c>
      <c r="B158" s="74" t="inlineStr">
        <is>
          <t>devil's backbone</t>
        </is>
      </c>
      <c r="C158" s="74">
        <f>IF(Local!H158,"1","0")</f>
        <v/>
      </c>
      <c r="D158" s="75" t="n">
        <v>99</v>
      </c>
      <c r="E158" s="66" t="inlineStr">
        <is>
          <t>Kalanchoe daigremontiana</t>
        </is>
      </c>
      <c r="F158" s="76">
        <f>"public/sale_plants/"&amp;A158&amp;".jpg"</f>
        <v/>
      </c>
      <c r="G158" s="77" t="inlineStr">
        <is>
          <t>(2"-3")</t>
        </is>
      </c>
      <c r="H158" s="78" t="inlineStr">
        <is>
          <t>Low</t>
        </is>
      </c>
      <c r="I158" s="66" t="inlineStr">
        <is>
          <t>Low</t>
        </is>
      </c>
      <c r="J158" s="66" t="inlineStr">
        <is>
          <t>Medium</t>
        </is>
      </c>
      <c r="K158" s="79" t="n">
        <v>79</v>
      </c>
      <c r="L158" s="80" t="inlineStr">
        <is>
          <t>Succulent</t>
        </is>
      </c>
      <c r="M158" s="80" t="n">
        <v>0</v>
      </c>
      <c r="N158" s="80" t="n">
        <v>0</v>
      </c>
      <c r="O158" s="81" t="n">
        <v>0</v>
      </c>
      <c r="P158" s="80" t="n">
        <v>0</v>
      </c>
      <c r="Q158" s="81">
        <f>IF(Local!I158=TRUE,1,0)</f>
        <v/>
      </c>
      <c r="R158" s="81">
        <f>Local!D158</f>
        <v/>
      </c>
      <c r="S158" s="81">
        <f>Local!F158</f>
        <v/>
      </c>
      <c r="T158" s="81">
        <f>Local!G158</f>
        <v/>
      </c>
      <c r="U158" s="83" t="inlineStr">
        <is>
          <t>## About
Devil's Backbone is a unique succulent plant known for its unusual ability to grow baby plantlets along the edges of its leaves. This fascinating plant is easy to care for and spreads quickly, making it popular among plant collectors and beginners alike.
## Origin
This plant originally comes from Madagascar, an island off the southeastern coast of Africa. In its natural habitat, it grows in dry, rocky areas with little rainfall. It has adapted well to various climates around the world and thrives in Indian conditions.
## Temperature &amp; Humidity
- **Temperature Range:** 15Â°C to 35Â°C (can tolerate Indian summers well)
- **Humidity:** Low to moderate humidity (30% to 60%). This plant does well in both dry and slightly humid conditions typical of most Indian homes.
## Growth
Devil's Backbone grows upright and can reach 30 to 90 cm in height when mature. The leaves are thick and fleshy with saw-tooth edges. The most interesting feature is the tiny baby plants (called plantlets) that grow along the leaf margins. These babies have roots even while attached to the mother leaf. The plant grows at a moderate speed and can spread rapidly through these baby plants that drop and root in the soil.
## Watering
- **Frequency:** Water once every 10-14 days depending on season and weather conditions. In summer, you may need to water once a week depending on other parameters. In monsoon and winter, reduce watering.
- **Tips:** Always let the soil dry completely between waterings. Water less in winter months. This plant stores water in its thick leaves, so it can handle drought better than too much water. Pour water directly into the soil, avoiding the leaves.
## Sunlight
- **Hours per day:** 4 to 6 hours
- **Type:** Bright indirect light is best, but can tolerate a few hours of direct morning sunlight. Avoid harsh afternoon sun which can burn the leaves.
## Care Tips
- Keep in a bright spot near a window but protect from intense afternoon sun
- Remove dead or yellowing lower leaves regularly
- During hot Indian summers, move to a shadier spot if leaves start turning brown
- In monsoon season, keep the plant in a covered area to prevent overwatering from rain
- The plant is toxic if eaten, so keep away from children and pets
- Wipe dust off leaves gently with a soft cloth every few weeks
- Good air circulation helps prevent fungal issues in humid weather
## Growth Tips
- Use well-draining succulent or cactus soil mix. You can make your own by mixing regular potting soil with sand and perlite
- Add organic fertilizer once every 2-3 months during growing season (spring and summer)
- Repot once a year or when the plant becomes too tall and top-heavy
- Propagation is extremely easy â€“ just plant the baby plantlets that fall from the leaves
- Use terracotta or clay pots as they allow better drainage than plastic
- Add a thin layer of small stones or gravel on top of soil to prevent fungal growth
## Common Problems
- **Yellowing leaves:** Usually caused by overwatering. Reduce watering frequency and check that pot has drainage holes
- **Brown leaf tips:** Too much direct sun or fertilizer burn. Move to filtered light location
- **Leggy growth:** Not enough sunlight. Move to a brighter location
- **Soft, mushy leaves:** Root rot from too much water. Stop watering and let soil dry completely
- **Mealybugs:** White cotton-like pests on leaves. Wipe with rubbing alcohol on cotton swab
- **Aphids on flowers:** Small insects on flower stalks. Spray with neem oil solution
- **Slow growth:** Needs fertilizer or more light. Feed plant and ensure adequate bright light
- **Plant falling over:** Top-heavy growth. Stake the plant or trim the top and propagate</t>
        </is>
      </c>
      <c r="V158" s="98">
        <f>HYPERLINK("https://rosaryplanthouse.com/plant/"&amp;A158&amp;"-"&amp;SUBSTITUTE(LOWER(E158), " ", "-"))</f>
        <v/>
      </c>
      <c r="W158" t="inlineStr">
        <is>
          <t>🟢 Kalanchoe daigremontiana (ID: 157)
🌿 Meet the captivating Devil's Backbone, a succulent that's as unique as it is easy to care for! This stunning plant is renowned for its ability to grow adorable baby plantlets right along the edges of its leaves, making it a must-have for any plant lover! 
💚 **About:** Originating from Madagascar, this resilient beauty thrives in various climates and is perfect for both seasoned collectors and beginners. With its upright growth and fascinating leaf structure, it’s sure to be a conversation starter in your home!
✨ **Key Details:**
- 🌡️ **Temperature:** Thrives between 15°C to 35°C
- 💧 **Watering:** Low maintenance; water every 10-14 days
- ☀️ **Sunlight:** Prefers bright indirect light, tolerates some morning sun
🌱 Ready to bring home this enchanting plant? Tap the link in bio to explore more about the Devil's Backbone!
#Kalanchoe #DevilsBackbone #SucculentLove #PlantParent #IndoorPlants #EasyCarePlants #PlantCollection #Houseplants #Gardening #PlantCommunity #RosaryPlantHouse</t>
        </is>
      </c>
    </row>
    <row r="159" ht="99.5" customHeight="1">
      <c r="A159" s="73" t="n">
        <v>158</v>
      </c>
      <c r="B159" s="74" t="inlineStr">
        <is>
          <t>Aeonium Draft</t>
        </is>
      </c>
      <c r="C159" s="74">
        <f>IF(Local!H159,"1","0")</f>
        <v/>
      </c>
      <c r="D159" s="75" t="n">
        <v>120</v>
      </c>
      <c r="E159" s="66" t="inlineStr">
        <is>
          <t>Aeonium haworthii</t>
        </is>
      </c>
      <c r="F159" s="76">
        <f>"public/sale_plants/"&amp;A159&amp;".jpg"</f>
        <v/>
      </c>
      <c r="G159" s="77" t="inlineStr">
        <is>
          <t>(2"-3")</t>
        </is>
      </c>
      <c r="H159" s="78" t="inlineStr">
        <is>
          <t>Low</t>
        </is>
      </c>
      <c r="I159" s="66" t="inlineStr">
        <is>
          <t>Low</t>
        </is>
      </c>
      <c r="J159" s="66" t="inlineStr">
        <is>
          <t>Medium</t>
        </is>
      </c>
      <c r="K159" s="79" t="n">
        <v>69</v>
      </c>
      <c r="L159" s="80" t="inlineStr">
        <is>
          <t>Succulent</t>
        </is>
      </c>
      <c r="M159" s="80" t="n">
        <v>0</v>
      </c>
      <c r="N159" s="80" t="n">
        <v>0</v>
      </c>
      <c r="O159" s="81" t="n">
        <v>0</v>
      </c>
      <c r="P159" s="80" t="n">
        <v>0</v>
      </c>
      <c r="Q159" s="81" t="n">
        <v>1</v>
      </c>
      <c r="R159" s="81">
        <f>Local!D159</f>
        <v/>
      </c>
      <c r="S159" s="81">
        <f>Local!F159</f>
        <v/>
      </c>
      <c r="T159" s="81">
        <f>Local!G159</f>
        <v/>
      </c>
      <c r="U159" s="83" t="inlineStr">
        <is>
          <t>## About
Pinwheel Aeonium is a beautiful succulent plant with rosette-shaped clusters of fleshy green leaves that form a stunning pinwheel pattern. This attractive plant originates from the Canary Islands and is loved by gardeners for its unique appearance and easy care requirements.
## Origin
Aeonium haworthii is native to the Canary Islands, specifically Tenerife, where it grows naturally on rocky cliffs and volcanic slopes. It thrives in coastal Mediterranean climates and has adapted well to various growing conditions around the world.
## Temperature &amp; Humidity
- **Temperature Range:** 10Â°C to 35Â°C
- **Humidity:** Low to moderate humidity (30% to 50%). This plant can tolerate dry conditions well and doesn't need high humidity. In Indian climates, it adapts well to most regions except extremely humid coastal areas during monsoons.
## Growth
The Pinwheel Aeonium grows as a small shrub reaching 30 to 60 cm in height. The plant develops multiple rosettes on branching stems over time. Each rosette can grow 8 to 12 cm wide with tightly packed, rounded leaves. Growth is moderate and the plant tends to branch naturally as it matures, creating an attractive bushy appearance. During hot summers, the plant may enter a dormant phase and slow down its growth.
## Watering
- **Frequency:** Once every week to ten days depending on season, weather conditions, and soil dryness. Water more during winter growing season and less during hot summers.
- **Tips:** Allow the soil to dry out completely between waterings. Water deeply until it drains from the bottom, then wait. Reduce watering during summer dormancy period. Overwatering is the biggest threat to this plant. In monsoon season, protect from excessive rain or reduce watering significantly if kept outdoors.
## Sunlight
- **Hours per day:** 4 to 6 hours
- **Type:** Bright indirect light or morning direct sun with afternoon shade. Can tolerate some direct sunlight but too much intense sun can cause leaf burn. In Indian climate, morning sun is ideal while harsh afternoon sun should be avoided.
## Care Tips
- Protect from intense afternoon sun during Indian summers, especially from April to June
- Provide good air circulation to prevent fungal issues during humid monsoon months
- Keep in a well-ventilated spot if growing indoors
- Clean dust from leaves occasionally with a soft brush
- During winter months (November to February), the plant is actively growing, so provide better light and adequate water
- In peak summer, the plant goes dormant, so minimal care is needed
- Can be grown both indoors near bright windows and outdoors in partial shade
## Growth Tips
- Use well-draining cactus or succulent potting mix with added perlite or cocopeat
- Add sand or pumice to regular potting soil if making your own mix
- Feed with diluted liquid fertilizer once a month during the growing season (winter months)
- Avoid fertilizing during summer dormancy
- Repot every 2 to 3 years or when the plant becomes root-bound
- Use terracotta or clay pots for better drainage and air circulation
- Propagate easily from stem cuttings or offsets during cooler months
## Common Problems
- **Leaf drop or mushy leaves:** Usually caused by overwatering or poor drainage. Reduce watering frequency immediately.
- **Stretched or leggy growth:** Not enough sunlight. Move the plant to a brighter location.
- **Brown or crispy leaf tips:** Too much direct harsh sunlight or underwatering. Provide shade during peak hours.
- **Mealybugs and aphids:** Common pests that appear as white cottony masses. Remove with cotton swabs dipped in rubbing alcohol.
- **Root rot:** Caused by waterlogged soil. Ensure pots have drainage holes and soil drains quickly.
- **Yellowing leaves:** Natural aging of lower leaves is normal, but widespread yellowing indicates overwatering or nutrient deficiency.</t>
        </is>
      </c>
      <c r="V159" s="98">
        <f>HYPERLINK("https://rosaryplanthouse.com/plant/"&amp;A159&amp;"-"&amp;SUBSTITUTE(LOWER(E159), " ", "-"))</f>
        <v/>
      </c>
      <c r="W159" t="inlineStr">
        <is>
          <t>🟢 Aeonium Draft (ID: 158)
🌿 Meet the stunning **Aeonium haworthii**, also known as the Pinwheel Aeonium! This charming succulent boasts rosette-shaped clusters of fleshy green leaves that create a mesmerizing pinwheel pattern. A true gem from the Canary Islands, it's perfect for adding a touch of the exotic to your space!
✨ **About the Plant**: The Pinwheel Aeonium thrives in various conditions, making it an easy-care choice for both novice and experienced gardeners. With its moderate growth and bushy appearance, it’s sure to be a conversation starter!
🌞 **Key Details**:
- **Watering**: Low – just once every week to ten days!
- **Sunlight**: Prefers bright indirect light or morning sun 🌅
- **Humidity**: Low to moderate – perfect for drier climates
💚 Ready to elevate your plant game with the beautiful Aeonium Draft? 🌱 Don't miss out—**Link in bio** to shop now!
#RosaryPlantHouse #AeoniumDraft #SucculentLove #IndoorPlants #PlantParent #GreenThumb #HomeDecor #PlantCollection #CanaryIslands #SucculentCare #PlantsofInstagram #GardeningLife #HousePlants</t>
        </is>
      </c>
    </row>
    <row r="160" ht="99.5" customHeight="1">
      <c r="A160" s="73" t="n">
        <v>159</v>
      </c>
      <c r="B160" s="74" t="inlineStr">
        <is>
          <t>Red Tip (Big)</t>
        </is>
      </c>
      <c r="C160" s="74">
        <f>IF(Local!H160,"1","0")</f>
        <v/>
      </c>
      <c r="D160" s="75" t="n">
        <v>150</v>
      </c>
      <c r="E160" s="66" t="inlineStr">
        <is>
          <t>Sempervivum tectorum</t>
        </is>
      </c>
      <c r="F160" s="76">
        <f>"public/sale_plants/"&amp;A160&amp;".jpg"</f>
        <v/>
      </c>
      <c r="G160" s="77" t="inlineStr">
        <is>
          <t>4"+</t>
        </is>
      </c>
      <c r="H160" s="78" t="inlineStr">
        <is>
          <t>Low</t>
        </is>
      </c>
      <c r="I160" s="66" t="inlineStr">
        <is>
          <t>Low</t>
        </is>
      </c>
      <c r="J160" s="66" t="inlineStr">
        <is>
          <t>High</t>
        </is>
      </c>
      <c r="K160" s="79" t="n">
        <v>199</v>
      </c>
      <c r="L160" s="80" t="inlineStr">
        <is>
          <t>Succulent</t>
        </is>
      </c>
      <c r="M160" s="80" t="n">
        <v>1</v>
      </c>
      <c r="N160" s="80" t="n">
        <v>0</v>
      </c>
      <c r="O160" s="81" t="n">
        <v>0</v>
      </c>
      <c r="P160" s="81" t="n">
        <v>0</v>
      </c>
      <c r="Q160" s="81" t="n">
        <v>1</v>
      </c>
      <c r="R160" s="81">
        <f>Local!D160</f>
        <v/>
      </c>
      <c r="S160" s="81">
        <f>Local!F160</f>
        <v/>
      </c>
      <c r="T160" s="81">
        <f>Local!G160</f>
        <v/>
      </c>
      <c r="U160" s="83" t="inlineStr">
        <is>
          <t>## About
Sempervivum tectorum, commonly known as Hen and Chicks or Houseleek, is a stunning succulent with beautiful rosette formations. This particular variety features mint-green leaves with striking red-pink tips, creating a gorgeous geometric pattern. The plant gets its common name from the way it produces small baby plants (chicks) around the mother plant (hen).
## Origin
This plant is native to the mountains of southern Europe, particularly the Alps and Pyrenees. It naturally grows on rocky slopes, walls, and rooftops. The name "tectorum" actually means "of the roofs" because in ancient times, people planted these succulents on rooftops believing they protected homes from lightning and fire.
## Temperature &amp; Humidity
- **Temperature Range:** 15Â°C to 35Â°C (can tolerate temperatures as low as -20Â°C and as high as 40Â°C)
- **Humidity:** Low to moderate (30% to 50%). This plant prefers dry conditions and does not require high humidity. It thrives in the dry climate of many Indian regions.
## Growth
Sempervivum grows in compact rosettes that typically reach 7-15 cm in diameter. The plant spreads by producing offsets (baby plants) around the mother rosette, forming attractive clusters over time. Growth is moderate to slow, depending on conditions. In Indian climate, it grows more actively during cooler months (October to March) and may slow down during extreme summer heat.
## Watering
- **Frequency:** Once every 10-14 days depending on season and weather conditions. Water less in monsoon and winter, slightly more during hot summer months.
- **Tips:** Always check if the soil is completely dry before watering. Water at the base of the plant, avoiding the rosette center as water sitting in the leaves can cause rot. This plant is drought-tolerant and prefers to stay on the dry side. Overwatering is the biggest mistake you can make with this succulent.
## Sunlight
- **Hours per day:** 4 to 6 hours of direct sunlight
- **Type:** Direct sunlight is best. The red-pink coloring on the leaf tips becomes more intense with more sun exposure. Can tolerate some partial shade but colors will fade and the plant may become leggy.
## Care Tips
- **Perfect for Indian climate:** This plant adapts very well to most Indian regions, especially areas with dry climates like Rajasthan, Gujarat, and Maharashtra
- **Monsoon care:** Reduce watering drastically during monsoon season. If kept outdoors, ensure excellent drainage or move under shelter to prevent waterlogging
- **Summer care:** Can handle Indian summer heat well if gradually acclimatized. Provide some afternoon shade in extremely hot regions (above 42Â°C)
- **Winter care:** This is the best growing season. The plant loves the cool, dry winter weather of North India
- **Keep rosette dry:** Avoid water collecting in the center of the rosette, especially during humid weather
## Growth Tips
- **Soil:** Use a very well-draining cactus or succulent mix. Add 50% sand, perlite, or pumice to regular potting soil to improve drainage
- **Container:** Must have drainage holes. Terracotta pots work best as they allow soil to dry faster
- **Fertilizer:** Feed sparingly, only once during the growing season (spring or autumn) with diluted succulent fertilizer. Over-fertilizing can harm the plant
- **Repotting:** Repot every 2-3 years or when the plant outgrows its container. Best done in early spring
- **Propagation:** Very easy! Simply detach the baby offsets and plant them in well-draining soil
## Common Problems
- **Rot (brown, mushy leaves):** Caused by overwatering or water trapped in the rosette. Reduce watering immediately
- **Leggy growth:** Not enough sunlight. Move to a brighter location
- **Pale or fading colors:** Insufficient light. The beautiful red tips need good sun exposure to develop
- **Mealybugs:** White cottony insects between leaves. Remove with cotton swab dipped in rubbing alcohol
- **Shriveling leaves:** Underwatering (rare) or extremely hot conditions. Water lightly and provide some shade during peak summer
- **Root rot:** Black, mushy roots from poor drainage or overwatering. Repot in fresh, dry soil and cut away affected roots
- **Closed rosette turning brown:** Normal lifecycle - the mother rosette dies after flowering (usually after 2-3 years), but leaves many offsets behind</t>
        </is>
      </c>
      <c r="V160" s="98">
        <f>HYPERLINK("https://rosaryplanthouse.com/plant/"&amp;A160&amp;"-"&amp;SUBSTITUTE(LOWER(E160), " ", "-"))</f>
        <v/>
      </c>
      <c r="W160" t="inlineStr">
        <is>
          <t>🟢 Sempervivum Tectorum (ID: 159)
🌟 Meet the stunning Red Tip, a succulent that will elevate your plant game! With its mesmerizing rosette formations and eye-catching mint-green leaves tipped with vibrant red-pink hues, this beauty is a must-have for any plant lover! 🌱💖
✨ **About:** Known as Hen and Chicks, this resilient plant thrives in dry conditions and is perfect for Indian climates. Its unique growth habit produces adorable offsets around the mother plant, creating an enchanting cluster over time. 
🌞 **Key Details:**
- **Sunlight:** Loves 4-6 hours of direct sunlight for vibrant color!
- **Watering:** Low maintenance – water every 10-14 days!
- **Care:** Thrives in well-draining soil and is drought-tolerant. 
👉 Ready to bring home this beauty? Link in bio! 
#SucculentLove #RedTip #Sempervivum #PlantParents #HouseplantClub #IndoorJungle #PlantCare #RosaryPlantHouse #GreenThumb #PlantsOfInstagram #SucculentCollection #HomeDecor #PlantAesthetic</t>
        </is>
      </c>
    </row>
    <row r="161" ht="99.5" customHeight="1">
      <c r="A161" s="73" t="n">
        <v>160</v>
      </c>
      <c r="B161" s="74" t="inlineStr">
        <is>
          <t>Echeviria (Big)</t>
        </is>
      </c>
      <c r="C161" s="74">
        <f>IF(Local!H161,"1","0")</f>
        <v/>
      </c>
      <c r="D161" s="75" t="n">
        <v>99</v>
      </c>
      <c r="E161" s="66" t="inlineStr">
        <is>
          <t>Echeveria 'Perle von NÃ¼rnberg'</t>
        </is>
      </c>
      <c r="F161" s="76">
        <f>"public/sale_plants/"&amp;A161&amp;".jpg"</f>
        <v/>
      </c>
      <c r="G161" s="77" t="inlineStr">
        <is>
          <t>5"+</t>
        </is>
      </c>
      <c r="H161" s="78" t="inlineStr">
        <is>
          <t>Low</t>
        </is>
      </c>
      <c r="I161" s="66" t="inlineStr">
        <is>
          <t>Low</t>
        </is>
      </c>
      <c r="J161" s="66" t="inlineStr">
        <is>
          <t>High</t>
        </is>
      </c>
      <c r="K161" s="79" t="n">
        <v>199</v>
      </c>
      <c r="L161" s="80" t="inlineStr">
        <is>
          <t>Succulent</t>
        </is>
      </c>
      <c r="M161" s="80" t="n">
        <v>1</v>
      </c>
      <c r="N161" s="80" t="n">
        <v>0</v>
      </c>
      <c r="O161" s="81" t="n">
        <v>0</v>
      </c>
      <c r="P161" s="80" t="n">
        <v>0</v>
      </c>
      <c r="Q161" s="81">
        <f>IF(Local!I161=TRUE,1,0)</f>
        <v/>
      </c>
      <c r="R161" s="81">
        <f>Local!D161</f>
        <v/>
      </c>
      <c r="S161" s="81">
        <f>Local!F161</f>
        <v/>
      </c>
      <c r="T161" s="81">
        <f>Local!G161</f>
        <v/>
      </c>
      <c r="U161" s="83" t="inlineStr">
        <is>
          <t>## About
This beautiful succulent is known for its stunning rose-shaped rosette with pastel pink and blue-green leaves that have a powdery coating. It's one of the most popular ornamental succulents grown in India and worldwide. The plant gets its romantic colors from the right amount of sun exposure and stress, making it a favorite among succulent collectors.
## Origin
This Echeveria is a hybrid variety that was originally cultivated in Germany. The parent species of Echeveria come from semi-desert regions of Central America and Mexico. They naturally grow in rocky, well-draining areas with lots of sunlight.
## Temperature &amp; Humidity
- **Temperature Range:** 15Â°C to 35Â°C (can tolerate up to 40Â°C in Indian summers with proper care)
- **Humidity:** Prefers low to moderate humidity, around 30% to 50%. This plant does well in the dry climate of most Indian regions. During monsoon season, protect from excessive moisture.
## Growth
This Echeveria grows in a compact rosette formation that can reach 10 to 15 cm in diameter when mature. It grows slowly to moderately, forming offsets (baby plants) around the base over time. The plant stays low and compact, rarely growing taller than 10 cm in height. With proper care, the rosette becomes fuller and the colors become more vibrant with pink and purple tones on the leaf edges.
## Watering
- **Frequency:** Once every 10-14 days depending on season and weather conditions. Water less during monsoon and winter, more frequently during hot summer months.
- **Tips:** Always water the soil directly, avoid getting water on the leaves as it can damage the powdery coating. Allow the soil to dry completely between waterings. Use the "soak and dry" method - water thoroughly until it drains out, then wait until soil is bone dry. Reduce watering to once every 3 weeks during winter months.
## Sunlight
- **Hours per day:** 4 to 6 hours
- **Type:** Bright direct sunlight, especially morning sun. In extremely hot Indian summers (above 40Â°C), provide some afternoon shade to prevent leaf burn. The pink and purple colors develop best with good sun exposure. Can tolerate bright indirect light indoors but colors will be less vibrant.
## Care Tips
- Place in a spot with good morning sunlight for best colors
- Protect from heavy monsoon rains - move under a roof or indoors
- During Indian summers above 40Â°C, provide shade during peak afternoon hours (12 PM to 3 PM)
- The white powdery coating (farina) is natural - avoid touching or cleaning the leaves
- Keep in a clay pot with drainage holes for better air circulation
- Remove dried lower leaves to prevent pest hiding spots
- In winter, reduce watering and protect from cold drafts below 10Â°C
## Growth Tips
- Use a well-draining succulent mix: combine regular soil with 50-60% coarse sand, perlite, or pumice
- Add a small amount of organic compost for nutrients
- Fertilize very lightly once every 2-3 months during growing season (spring and autumn) with diluted liquid succulent fertilizer
- Repot every 2-3 years in fresh soil, or when the plant outgrows its pot
- Best time to repot is early spring or autumn, avoid monsoon season
- Propagate easily from leaf cuttings or offsets that form around the base
## Common Problems
- **Overwatering:** Soft, mushy, translucent leaves; root rot. Most common problem. Always let soil dry completely between waterings
- **Sunburn:** Brown or white crispy patches on leaves from too much harsh afternoon sun in peak summer
- **Etiolation:** Plant stretches and loses compact shape due to insufficient light. Rosette opens up and looks leggy
- **Mealybugs:** White cottony spots between leaves. Common in humid conditions. Treat with rubbing alcohol or neem oil
- **Fungal issues:** Black spots during monsoon due to high humidity and water on leaves
- **Loss of color:** Turns pale green when not getting enough sunlight. Needs more direct sun to maintain pink tones
- **Leaf drop:** Lower leaves naturally dry and fall off as plant grows, this is normal</t>
        </is>
      </c>
      <c r="V161" s="98">
        <f>HYPERLINK("https://rosaryplanthouse.com/plant/"&amp;A161&amp;"-"&amp;SUBSTITUTE(LOWER(E161), " ", "-"))</f>
        <v/>
      </c>
      <c r="W161" t="inlineStr">
        <is>
          <t>🟢 Echeveria 'Perle von Nürnberg' (ID: 160)
🌸 Elevate your plant game with this stunning succulent! 
Meet the Echeveria 'Perle von Nürnberg' 🌿, a breathtaking beauty known for its romantic rose-shaped rosette adorned with pastel pink and blue-green leaves. This charming plant thrives on a little sunlight and a dash of stress, making it a must-have for succulent lovers everywhere! 
✨ **Key Details:**
- **Watering:** Low - only every 10-14 days! 💧
- **Sunlight:** Thrives in 4-6 hours of bright direct sunlight! ☀️
- **Transit:** Low - perfect for easy handling! ✈️
Transform your space with its vibrant colors and captivating presence. Don't miss out—this beauty can be yours! 💚 
👉 Link in bio for details!
#Echeveria #SucculentLove #PlantParents #IndoorGarden #Houseplants #GreenThumb #PlantAddict #SucculentCare #PlantLovers #GardenGoals #RosaryPlantHouse #PlantAesthetic #HomeDecor #SucculentCollection</t>
        </is>
      </c>
    </row>
    <row r="162" ht="99.5" customHeight="1">
      <c r="A162" s="73" t="n">
        <v>161</v>
      </c>
      <c r="B162" s="74" t="inlineStr">
        <is>
          <t>portulaka(green)</t>
        </is>
      </c>
      <c r="C162" s="74">
        <f>IF(Local!H162,"1","0")</f>
        <v/>
      </c>
      <c r="D162" s="75" t="n">
        <v>149</v>
      </c>
      <c r="E162" s="66" t="inlineStr">
        <is>
          <t>Portulaca oleracea</t>
        </is>
      </c>
      <c r="F162" s="76">
        <f>"public/sale_plants/"&amp;A162&amp;".jpg"</f>
        <v/>
      </c>
      <c r="G162" s="77" t="inlineStr">
        <is>
          <t>(4"-5")</t>
        </is>
      </c>
      <c r="H162" s="78" t="inlineStr">
        <is>
          <t>Moderate</t>
        </is>
      </c>
      <c r="I162" s="66" t="inlineStr">
        <is>
          <t>Low</t>
        </is>
      </c>
      <c r="J162" s="66" t="inlineStr">
        <is>
          <t>High</t>
        </is>
      </c>
      <c r="K162" s="79" t="n">
        <v>49</v>
      </c>
      <c r="L162" s="80" t="inlineStr">
        <is>
          <t>Others</t>
        </is>
      </c>
      <c r="M162" s="80" t="n">
        <v>0</v>
      </c>
      <c r="N162" s="80" t="n">
        <v>0</v>
      </c>
      <c r="O162" s="81" t="n">
        <v>0</v>
      </c>
      <c r="P162" s="80" t="n">
        <v>0</v>
      </c>
      <c r="Q162" s="81">
        <f>IF(Local!I162=TRUE,1,0)</f>
        <v/>
      </c>
      <c r="R162" s="81">
        <f>Local!D162</f>
        <v/>
      </c>
      <c r="S162" s="81">
        <f>Local!F162</f>
        <v/>
      </c>
      <c r="T162" s="81">
        <f>Local!G162</f>
        <v/>
      </c>
      <c r="U162" s="83" t="inlineStr">
        <is>
          <t>## About
This is Portulaca, commonly known as Purslane or Moss Rose. It is a cheerful, low-maintenance succulent plant famous for its bright yellow flowers and fleshy green leaves. Native to tropical and subtropical regions, this plant is perfect for Indian gardens and thrives in hot, sunny conditions.
## Origin
Portulaca originates from South America, particularly Brazil and Argentina. It has spread across tropical and warm temperate regions worldwide and grows naturally in many parts of India. The plant is well-adapted to dry, hot climates and poor soil conditions.
## Temperature &amp; Humidity
- **Temperature Range:** 20Â°C to 40Â°C
- **Humidity:** This plant prefers low to moderate humidity levels (30% to 50%). It is highly drought-tolerant and does not need high humidity to thrive. It performs exceptionally well in India's hot and dry summer months.
## Growth
Portulaca is a fast-growing, low-spreading succulent that typically grows 10 to 15 cm in height and can spread up to 30 to 45 cm wide. It has a creeping or trailing growth habit, making it suitable for ground cover, hanging baskets, and borders. The stems are thick, reddish-brown, and fleshy. Leaves are small, cylindrical, and green. The plant produces abundant bright yellow, pink, red, orange, or white flowers that open in sunlight and close in the evening or on cloudy days.
## Watering
- **Frequency:** Once a week depending on season and weather conditions. During monsoon, reduce watering significantly.
- **Tips:** Portulaca is a succulent and stores water in its fleshy leaves and stems. It prefers dry conditions and can tolerate drought very well. Water only when the soil is completely dry. Overwatering is the main cause of root rot in this plant. In summer, water once a week. In winter and rainy season, water sparingly or not at all if there is rain.
## Sunlight
- **Hours per day:** 6 to 8 hours
- **Type:** Direct sunlight. Portulaca loves full, bright sun and will produce the most flowers when exposed to maximum sunlight. It will not bloom well in shade or indirect light.
## Care Tips
- Plant in a location that receives full sun throughout the day for best flowering.
- This plant is extremely heat-tolerant and perfect for Indian summers.
- Deadhead (remove) faded flowers regularly to encourage more blooms.
- Portulaca is pest-resistant and generally disease-free.
- Avoid planting in waterlogged areas; ensure excellent drainage.
- In coastal regions, the plant grows vigorously due to warm temperatures and humidity.
- Can be grown in pots, hanging baskets, garden beds, or as ground cover.
## Growth Tips
- **Soil:** Use well-draining, sandy or cactus potting mix. Add cocopeat and perlite for better drainage. Avoid heavy clay soil.
- **Fertilizer:** Portulaca does not need much fertilizer. Feed once a month during the growing season (spring and summer) with a balanced liquid fertilizer diluted to half strength. Avoid high-nitrogen fertilizers as they promote leaf growth over flowers.
- **Repotting:** Repot once a year in spring if growing in containers. Use fresh, well-draining soil.
- **Propagation:** Very easy to propagate from stem cuttings or seeds. Simply press cuttings into moist soil and they will root within a week.
## Common Problems
- **No flowers or fewer flowers:** Not enough sunlight. Move the plant to a sunnier spot. Flowers also close on cloudy days or in the evening.
- **Root rot or wilting:** Overwatering or poor drainage. Allow soil to dry completely between waterings and improve drainage.
- **Leggy growth:** Insufficient sunlight causes the plant to stretch. Provide at least 6 hours of direct sun.
- **Yellowing leaves:** Could be due to overwatering or nutrient deficiency. Check watering habits and feed lightly if needed.
- **Pests:** Generally pest-free, but aphids may occasionally appear. Spray with neem oil solution if needed.
- **Fungal issues:** Rarely occur, but can happen in overly wet or humid conditions with poor air circulation.</t>
        </is>
      </c>
      <c r="V162" s="98">
        <f>HYPERLINK("https://rosaryplanthouse.com/plant/"&amp;A162&amp;"-"&amp;SUBSTITUTE(LOWER(E162), " ", "-"))</f>
        <v/>
      </c>
      <c r="W162" t="inlineStr">
        <is>
          <t>🟢 Portulaca oleracea (ID: 161)
🌞 Bring a burst of color to your garden with our vibrant Portulaca, also known as Purslane or Moss Rose! This low-maintenance succulent loves the sun and thrives in hot, dry conditions, making it the perfect addition to your outdoor space. 
🏵️ With its cheerful yellow flowers and fleshy green leaves, this plant doesn't just beautify your garden; it's also a resilient companion that requires minimal care. Native to tropical regions, it flourishes in Indian summers and is drought-tolerant, ensuring your garden stays colorful even in the heat!
✨ **Key Details:**
- ☀️ Sunlight: Requires 6-8 hours of direct sunlight daily
- 💧 Watering: Water sparingly, only when soil is dry
- 🌱 Growth Habit: Fast-growing and spreading, ideal for ground cover or hanging baskets
🌟 Ready to add this delightful plant to your collection? Find out more! Link in bio.
#Portulaca #Purslane #Succulent #PlantLovers #Gardening #HomeGarden #PlantGoals #GreenThumb #IndoorPlants #OutdoorPlants #GardenInspiration #FlowerPower #RosaryPlantHouse</t>
        </is>
      </c>
    </row>
    <row r="163" ht="99.5" customHeight="1">
      <c r="A163" s="73" t="n">
        <v>162</v>
      </c>
      <c r="B163" s="74" t="inlineStr">
        <is>
          <t>needle sedum</t>
        </is>
      </c>
      <c r="C163" s="74">
        <f>IF(Local!H163,"1","0")</f>
        <v/>
      </c>
      <c r="D163" s="75" t="n">
        <v>39</v>
      </c>
      <c r="E163" s="66" t="inlineStr">
        <is>
          <t>Sedum corsican stonecrop</t>
        </is>
      </c>
      <c r="F163" s="76">
        <f>"public/sale_plants/"&amp;A163&amp;".jpg"</f>
        <v/>
      </c>
      <c r="G163" s="77" t="inlineStr">
        <is>
          <t>(3"-4")</t>
        </is>
      </c>
      <c r="H163" s="78" t="inlineStr">
        <is>
          <t>Low</t>
        </is>
      </c>
      <c r="I163" s="66" t="inlineStr">
        <is>
          <t>Low</t>
        </is>
      </c>
      <c r="J163" s="66" t="inlineStr">
        <is>
          <t>High</t>
        </is>
      </c>
      <c r="K163" s="79" t="n">
        <v>99</v>
      </c>
      <c r="L163" s="80" t="inlineStr">
        <is>
          <t>Sedum</t>
        </is>
      </c>
      <c r="M163" s="80" t="n">
        <v>0</v>
      </c>
      <c r="N163" s="80" t="n">
        <v>1</v>
      </c>
      <c r="O163" s="81" t="n">
        <v>0</v>
      </c>
      <c r="P163" s="81" t="n">
        <v>0</v>
      </c>
      <c r="Q163" s="81">
        <f>IF(Local!I163=TRUE,1,0)</f>
        <v/>
      </c>
      <c r="R163" s="81">
        <f>Local!D163</f>
        <v/>
      </c>
      <c r="S163" s="81">
        <f>Local!F163</f>
        <v/>
      </c>
      <c r="T163" s="81">
        <f>Local!G163</f>
        <v/>
      </c>
      <c r="U163" s="83" t="inlineStr">
        <is>
          <t>## About
Sedum Corsican Stonecrop, commonly known as Lizard Tail Sedum, is a beautiful miniature succulent with distinctive finger-like blue-green leaves that cluster together in tight rosettes. This charming plant gets its "lizard tail" nickname from the way its tiny, bead-like leaves arrange themselves along the stems, resembling the texture of a lizard's tail.
## Origin
This Sedum variety originates from the Mediterranean region, particularly areas with rocky, well-drained terrain. It is naturally adapted to growing in poor soil conditions and can thrive in crevices and rocky outcrops where other plants struggle to survive.
## Temperature &amp; Humidity
- **Temperature Range:** 15Â°C to 35Â°C (can tolerate up to 40Â°C in Indian summers with proper care)
- **Humidity:** Low to moderate humidity (30% to 50%). This plant prefers drier conditions and can handle the dry climate found in many parts of India. It does not require high humidity and actually performs better in less humid environments.
## Growth
Lizard Tail Sedum is a slow to moderate-growing succulent that forms compact, mounding clumps. Individual rosettes can grow to about 5-8 cm in diameter, and the plant can spread to 10-15 cm wide over time. The growth is dense and clustered, creating a beautiful textured appearance. In ideal conditions, it produces multiple offsets that create a fuller, more attractive display. The plant stays relatively small, making it perfect for small pots, fairy gardens, and succulent arrangements.
## Watering
- **Frequency:** Once every 10-14 days depending on season and weather conditions. During monsoon, reduce watering significantly or stop completely. In hot summer months, water once a week depending on soil dryness.
- **Tips:** Always check if the soil is completely dry before watering. Water thoroughly until it drains from the bottom, then allow the soil to dry completely. Avoid getting water on the leaves as this can cause rot. During winter months (November to February), reduce watering to once every 2-3 weeks. The leaves will wrinkle slightly when the plant needs water.
## Sunlight
- **Hours per day:** 4 to 6 hours
- **Type:** Direct sunlight is best, especially morning sun. Can tolerate bright indirect light but colors will be less vibrant. In very hot Indian summers (above 40Â°C), provide some afternoon shade to prevent leaf burn.
## Care Tips
- Place in a location with good air circulation to prevent fungal issues, especially during monsoon
- Protect from heavy rain during monsoon season as excessive moisture can cause root rot
- In winter, reduce watering drastically as the plant goes semi-dormant
- Keep away from areas with standing water or poor drainage
- The blue-green color intensifies with more sunlight and slight stress
- Clean dust from leaves gently with a soft brush to maintain healthy photosynthesis
- This plant is quite hardy and can handle the temperature variations in most Indian climates
## Growth Tips
- Use a well-draining succulent or cactus mix with added perlite or cocopeat (50% potting soil, 30% cocopeat, 20% perlite)
- Add a layer of small pebbles or gravel on top of the soil for aesthetics and to prevent stem rot
- Fertilize sparingly â€“ once every 2-3 months during growing season (March to October) with diluted liquid succulent fertilizer
- Repot every 2-3 years or when the plant outgrows its container
- Use terracotta or clay pots for better drainage and air circulation
- Propagate easily from stem cuttings or individual rosettes â€“ let cuttings dry for 2-3 days before planting
- During active growing season, you may notice faster growth with proper sunlight and occasional feeding
## Common Problems
- **Stretching (Etiolation):** Caused by insufficient sunlight; stems become leggy and spaces between leaves increase
- **Root rot:** Due to overwatering or poor drainage; leaves become mushy and translucent
- **Leaf drop:** Usually from overwatering or sudden temperature changes
- **Shriveled leaves:** Sign of underwatering, though this plant is quite drought-tolerant
- **Mealybugs:** White cottony pests that hide between leaves; treat with neem oil solution
- **Brown or black spots:** Fungal infection from excess moisture or high humidity during monsoon
- **Faded color:** Not enough sunlight; move to a brighter location
- **Pest infestation:** Aphids and scale insects can attack; spray with diluted neem oil every 15 days as prevention</t>
        </is>
      </c>
      <c r="V163" s="98">
        <f>HYPERLINK("https://rosaryplanthouse.com/plant/"&amp;A163&amp;"-"&amp;SUBSTITUTE(LOWER(E163), " ", "-"))</f>
        <v/>
      </c>
      <c r="W163" t="inlineStr">
        <is>
          <t>🟢 Sedum Corsican Stonecrop (ID: 162)
🌿 Meet the charming Needle Sedum, also known as Lizard Tail Sedum! This little beauty features unique finger-like blue-green leaves that create stunning rosettes, perfect for adding a touch of whimsy to your plant collection. 🦎✨
💧 **Key Details:**
- **Watering:** Low maintenance! Just every 10-14 days.
- **Sunlight:** Thrives in 4-6 hours of direct sunlight daily. ☀️
- **Growth:** Slow to moderate, ideal for small pots and fairy gardens.
This Mediterranean gem is perfect for those looking to brighten up their space with minimal fuss! Remember, drier conditions are best for this succulent! 
👉 Ready to bring home this delightful plant? Check out the “Link in bio” for more info!
#NeedleSedum #SedumCorsican #LizardTailSedum #SucculentLove #PlantMoments #PlantCollection #IndoorGardening #GreenThumb #RosaryPlantHouse #SucculentCare #PlantLovers #GardeningJoy</t>
        </is>
      </c>
    </row>
    <row r="164" ht="99.5" customHeight="1">
      <c r="A164" s="73" t="n">
        <v>163</v>
      </c>
      <c r="B164" s="74" t="inlineStr">
        <is>
          <t>Echeveria cabbage</t>
        </is>
      </c>
      <c r="C164" s="74">
        <f>IF(Local!H164,"1","0")</f>
        <v/>
      </c>
      <c r="D164" s="75" t="n">
        <v>149</v>
      </c>
      <c r="E164" s="66" t="inlineStr">
        <is>
          <t>Echeveria shaviana</t>
        </is>
      </c>
      <c r="F164" s="76">
        <f>"public/sale_plants/"&amp;A164&amp;".jpg"</f>
        <v/>
      </c>
      <c r="G164" s="77" t="inlineStr">
        <is>
          <t>(2"-3")</t>
        </is>
      </c>
      <c r="H164" s="78" t="inlineStr">
        <is>
          <t>Moderate</t>
        </is>
      </c>
      <c r="I164" s="66" t="inlineStr">
        <is>
          <t>Low</t>
        </is>
      </c>
      <c r="J164" s="66" t="inlineStr">
        <is>
          <t>Medium</t>
        </is>
      </c>
      <c r="K164" s="79" t="n">
        <v>199</v>
      </c>
      <c r="L164" s="81" t="inlineStr">
        <is>
          <t>Echeveria</t>
        </is>
      </c>
      <c r="M164" s="80" t="n">
        <v>0</v>
      </c>
      <c r="N164" s="80" t="n">
        <v>0</v>
      </c>
      <c r="O164" s="81" t="n">
        <v>0</v>
      </c>
      <c r="P164" s="80" t="n">
        <v>0</v>
      </c>
      <c r="Q164" s="81">
        <f>IF(Local!I164=TRUE,1,0)</f>
        <v/>
      </c>
      <c r="R164" s="81">
        <f>Local!D164</f>
        <v/>
      </c>
      <c r="S164" s="81">
        <f>Local!F164</f>
        <v/>
      </c>
      <c r="T164" s="81">
        <f>Local!G164</f>
        <v/>
      </c>
      <c r="U164" s="83" t="inlineStr">
        <is>
          <t>## About
Echeveria shaviana, commonly called Mexican Hen, is a stunning succulent known for its beautiful blue-green rosette with distinctive pink to red wavy edges. This attractive plant is popular among succulent collectors for its unique frilly leaf margins and powdery coating that gives it a frosted appearance.
## Origin
This plant originates from Mexico, specifically from the rocky mountainous regions of Nuevo LeÃ³n. It grows naturally on rocky slopes and cliffs where it has adapted to dry conditions and well-draining soil.
## Temperature &amp; Humidity
- **Temperature Range:** 15Â°C to 35Â°C
- **Humidity:** Low to moderate humidity (30% to 50%). This plant prefers dry conditions and can tolerate the typical Indian climate well, though it may struggle during extremely humid monsoon seasons in coastal areas.
## Growth
Echeveria shaviana grows as a compact rosette that can reach 15 to 20 cm in diameter. It is a slow to moderate grower that stays relatively small, making it perfect for small pots and container gardens. The plant typically grows upright in a single rosette form but can produce offsets (baby plants) from the base. The leaves are thick, fleshy, and spoon-shaped with characteristic wavy, ruffled edges that become more pronounced with good care and adequate light.
## Watering
- **Frequency:** Once every 10-15 days depending on season and weather conditions. Water less frequently during monsoon and winter months.
- **Tips:** Always water at the soil level, never on the leaves, as water droplets can wash away the protective powdery coating and cause rot. Allow the soil to dry out completely between waterings. Use the "soak and dry" methodâ€”water thoroughly until it drains from the bottom, then wait until soil is completely dry before watering again. In Indian summers, you may need to water slightly more frequently, while in monsoons and winters, reduce watering significantly.
## Sunlight
- **Hours per day:** 4 to 6 hours
- **Type:** Bright indirect light or morning direct sunlight. Avoid harsh afternoon sun, especially during Indian summers (April-June) as it can cause sunburn. The pink-red edge coloring intensifies with proper light exposure. If kept indoors, place near a bright window.
## Care Tips
- Protect from direct afternoon sun during peak Indian summer months (40Â°C+) as it can scorch the leaves
- During monsoon season, move the plant to a covered area or indoors to prevent overwatering from rain
- The powdery coating (farina) on the leaves is natural protectionâ€”avoid touching the leaves unnecessarily
- Good air circulation is important, especially during humid months, to prevent fungal issues
- In winter months (December-January), reduce watering as the plant goes semi-dormant
- This plant is perfect for Indian climate zones with moderate temperatures and low rainfall
## Growth Tips
- Use a well-draining succulent or cactus potting mix (mix regular potting soil with 50% sand or perlite)
- Add a layer of small pebbles or grit on top of the soil to prevent water from settling around the stem
- Fertilize sparinglyâ€”once every 2-3 months during growing season (spring and autumn) with diluted succulent fertilizer
- Repot every 2-3 years or when the plant outgrows its container
- Use terracotta or clay pots which allow better air circulation and help soil dry faster
- Ensure pots have drainage holesâ€”this is essential for preventing root rot
## Common Problems
- **Leaf rot or mushy leaves:** Caused by overwatering or water trapped in the rosette center. Always water at soil level and reduce watering frequency.
- **Stretching (etiolation):** Plant becomes tall and leggy with spaces between leaves. This means insufficient lightâ€”move to brighter location.
- **Brown or black spots on leaves:** Usually fungal infection due to high humidity and poor air circulation during monsoons. Remove affected leaves and improve ventilation.
- **Mealybugs:** White cottony insects on leaves or in leaf joints. Treat with neem oil solution or rubbing alcohol on cotton swab.
- **Loss of pink edges:** Insufficient sunlight. Increase light exposure gradually to bring back the colorful margins.
- **Shriveled leaves:** Underwatering. While these are drought-tolerant, they still need regular watering when soil is dry.
- **Sunburn (white or brown patches):** Too much direct harsh sunlight. Provide shade during hottest part of the day.</t>
        </is>
      </c>
      <c r="V164" s="98">
        <f>HYPERLINK("https://rosaryplanthouse.com/plant/"&amp;A164&amp;"-"&amp;SUBSTITUTE(LOWER(E164), " ", "-"))</f>
        <v/>
      </c>
      <c r="W164" t="inlineStr">
        <is>
          <t>🟢 Echeveria shaviana (ID: 163)  
✨ Meet the stunning Echeveria shaviana, also known as the Mexican Hen! This eye-catching succulent boasts a beautiful blue-green rosette adorned with lovely pink to red wavy edges. 🌿💖 Perfect for adding a unique touch to your plant collection!
🌱 **About:** Echeveria shaviana thrives in the rocky mountains of Mexico, showcasing its resilience in dry conditions. With its compact rosette growth and striking leaf margins, it’s a must-have for any succulent lover!
🌞 **Key Details:**  
- 🌡️ Temperature: 15°C to 35°C  
- 💧 Watering: Low (every 10-15 days)  
- ☀️ Sunlight: 4-6 hours of bright indirect light  
🌐 Ready to elevate your plant game? Discover more about Echeveria shaviana and bring this beauty home! Link in bio.  
#Echeveria #SucculentLove #PlantParent #IndoorPlants #PlantCollection #SucculentCare #GreenThumb #RosaryPlantHouse #PlantLovers #HomeDecor #Gardening #PlantAddict #SucculentGarden #EcheveriaShaviana #MexicanHen #Houseplants</t>
        </is>
      </c>
    </row>
    <row r="165" ht="99.5" customHeight="1">
      <c r="A165" s="73" t="n">
        <v>164</v>
      </c>
      <c r="B165" s="74" t="inlineStr">
        <is>
          <t>Pink sedum</t>
        </is>
      </c>
      <c r="C165" s="74">
        <f>IF(Local!H165,"1","0")</f>
        <v/>
      </c>
      <c r="D165" s="75" t="n">
        <v>89</v>
      </c>
      <c r="E165" s="66" t="inlineStr">
        <is>
          <t>Graptopetalum paraguayense</t>
        </is>
      </c>
      <c r="F165" s="76">
        <f>"public/sale_plants/"&amp;A165&amp;".jpg"</f>
        <v/>
      </c>
      <c r="G165" s="77" t="inlineStr">
        <is>
          <t>(2"-3")</t>
        </is>
      </c>
      <c r="H165" s="78" t="inlineStr">
        <is>
          <t>Moderate</t>
        </is>
      </c>
      <c r="I165" s="66" t="inlineStr">
        <is>
          <t>Low</t>
        </is>
      </c>
      <c r="J165" s="66" t="inlineStr">
        <is>
          <t>High</t>
        </is>
      </c>
      <c r="K165" s="79" t="n">
        <v>79</v>
      </c>
      <c r="L165" s="80" t="inlineStr">
        <is>
          <t>Succulent</t>
        </is>
      </c>
      <c r="M165" s="80" t="n">
        <v>0</v>
      </c>
      <c r="N165" s="80" t="n">
        <v>0</v>
      </c>
      <c r="O165" s="81" t="n">
        <v>0</v>
      </c>
      <c r="P165" s="80" t="n">
        <v>0</v>
      </c>
      <c r="Q165" s="81">
        <f>IF(Local!I165=TRUE,1,0)</f>
        <v/>
      </c>
      <c r="R165" s="81">
        <f>Local!D165</f>
        <v/>
      </c>
      <c r="S165" s="81">
        <f>Local!F165</f>
        <v/>
      </c>
      <c r="T165" s="81">
        <f>Local!G165</f>
        <v/>
      </c>
      <c r="U165" s="83" t="inlineStr">
        <is>
          <t>## About
The Ghost Plant is a beautiful succulent with thick, fleshy leaves that form rosettes. The leaves have a stunning greyish-purple to blue-grey color with a powdery coating that gives them a ghostly appearance. This easy-care plant is perfect for beginners and adds a unique color to any succulent collection.
## Origin
Native to Mexico, this plant grows naturally in rocky, dry areas where it receives plenty of sunlight. It has adapted to survive in poor soil conditions with minimal water, making it an excellent choice for low-maintenance gardens.
## Temperature &amp; Humidity
- **Temperature Range:** 15Â°C to 35Â°C (can tolerate up to 40Â°C in Indian summers)
- **Humidity:** Low to moderate humidity (30% to 50%). This plant prefers drier conditions and does not need high humidity. It grows well in most Indian climates except during heavy monsoon seasons.
## Growth
Ghost Plant grows in compact rosettes that can reach 10-15 cm in diameter. The plant spreads by producing offsets (baby plants) around the base. It grows at a moderate pace and can form clusters over time. The stems can trail slightly as the plant matures, creating a beautiful cascading effect, but it's primarily an upright rosette-forming succulent.
## Watering
- **Frequency:** Once every 10-14 days depending on season and weather conditions. Water less during monsoon and winter, and slightly more during hot summer months.
- **Tips:** Always check if the soil is completely dry before watering. Water deeply but allow all excess water to drain out. Never let the plant sit in water as this causes root rot. Reduce watering during the rainy season. The leaves will start to wrinkle slightly when the plant needs water.
## Sunlight
- **Hours per day:** 4 to 6 hours
- **Type:** Direct morning sunlight is best. Can tolerate bright indirect light but colors will be less vibrant. In hot Indian summers (above 40Â°C), provide shade during harsh afternoon sun to prevent leaf burn. Morning sun brings out the beautiful purple-grey coloring.
## Care Tips
- Protect from heavy monsoon rains by moving under a shed or indoors
- The powdery coating on leaves is natural - avoid touching leaves too much as it removes this protective layer
- In coastal areas with high humidity, ensure excellent air circulation to prevent fungal issues
- During Indian summers, water early morning or late evening, never in afternoon heat
- Can be grown both indoors near a bright window and outdoors
- Remove dead lower leaves to keep the plant tidy and prevent pest hiding spots
## Growth Tips
- Use well-draining cactus or succulent soil mix; add 50% coarse sand or perlite to regular potting soil
- Fertilize once every 2-3 months during growing season (February to October) with diluted liquid fertilizer
- Repot every 2-3 years in spring when the plant outgrows its pot
- Propagate easily from leaves or offsets - just place on soil and they will root
- Use terracotta pots for better drainage and to prevent overwatering
- Add a layer of small stones or gravel on top of soil for decoration and to prevent stem rot
## Common Problems
- **Leaves turning brown and mushy:** Overwatering or root rot - reduce watering frequency
- **Leaves losing color and stretching:** Not enough sunlight - move to brighter location
- **Powdery white coating disappearing:** Too much handling or water on leaves - avoid overhead watering
- **Mealybugs (white cotton-like bugs):** Common in monsoon season - wipe with alcohol-soaked cotton or use neem oil spray
- **Black spots on leaves:** Fungal infection from excess moisture - improve air circulation and reduce watering
- **Shriveled leaves:** Underwatering - increase watering frequency slightly
- **Leggy growth:** Insufficient light causing the plant to stretch - provide more direct sunlight</t>
        </is>
      </c>
      <c r="V165" s="98">
        <f>HYPERLINK("https://rosaryplanthouse.com/plant/"&amp;A165&amp;"-"&amp;SUBSTITUTE(LOWER(E165), " ", "-"))</f>
        <v/>
      </c>
      <c r="W165" t="inlineStr">
        <is>
          <t>🟢 Pink Sedum (ID: 164)  
🌟 Meet the enchanting Ghost Plant, a succulent that brings a touch of elegance to your collection! With its thick, fleshy leaves boasting a mesmerizing greyish-purple hue, this beauty is perfect for both beginners and seasoned plant lovers alike! 🌱  
✨ **About:**  
Originating from the sun-soaked landscapes of Mexico, the Ghost Plant thrives in dry, rocky conditions and is a true survivor in low-maintenance gardens. Its rosettes can spread gracefully, creating stunning cascades that are sure to catch anyone's eye!  
🌞 **Key Details:**  
- **Sunlight:** Loves 4-6 hours of direct morning sun  
- **Watering:** Low - every 10-14 days, let the soil dry completely  
- **Temperature:** Thrives in 15°C to 35°C, tolerates up to 40°C  
👉 Ready to add this ghostly charm to your plant family? Tap the link in bio!  
#PinkSedum #GhostPlant #SucculentLove #PlantCollection #IndoorPlants #SucculentCare #Houseplants #PlantParenthood #GreenThumb #RosaryPlantHouse #PlantLovers #HomeDecor #GardeningJoy #SucculentStyle</t>
        </is>
      </c>
    </row>
    <row r="166" ht="99.5" customHeight="1">
      <c r="A166" s="73" t="n">
        <v>165</v>
      </c>
      <c r="B166" s="74" t="inlineStr">
        <is>
          <t>String of Dolphin</t>
        </is>
      </c>
      <c r="C166" s="74">
        <f>IF(Local!H166,"1","0")</f>
        <v/>
      </c>
      <c r="D166" s="75" t="n">
        <v>69</v>
      </c>
      <c r="E166" s="66" t="inlineStr">
        <is>
          <t>Senecio peregrinus</t>
        </is>
      </c>
      <c r="F166" s="76">
        <f>"public/sale_plants/"&amp;A166&amp;".jpg"</f>
        <v/>
      </c>
      <c r="G166" s="77" t="inlineStr">
        <is>
          <t>(3"-4")</t>
        </is>
      </c>
      <c r="H166" s="78" t="inlineStr">
        <is>
          <t>Low</t>
        </is>
      </c>
      <c r="I166" s="66" t="inlineStr">
        <is>
          <t>Low</t>
        </is>
      </c>
      <c r="J166" s="66" t="inlineStr">
        <is>
          <t>Medium</t>
        </is>
      </c>
      <c r="K166" s="79" t="n">
        <v>79</v>
      </c>
      <c r="L166" s="80" t="inlineStr">
        <is>
          <t>Succulent</t>
        </is>
      </c>
      <c r="M166" s="80" t="n">
        <v>0</v>
      </c>
      <c r="N166" s="80" t="n">
        <v>0</v>
      </c>
      <c r="O166" s="81" t="n">
        <v>0</v>
      </c>
      <c r="P166" s="81" t="n">
        <v>0</v>
      </c>
      <c r="Q166" s="81" t="n">
        <v>1</v>
      </c>
      <c r="R166" s="81">
        <f>Local!D166</f>
        <v/>
      </c>
      <c r="S166" s="81">
        <f>Local!F166</f>
        <v/>
      </c>
      <c r="T166" s="81">
        <f>Local!G166</f>
        <v/>
      </c>
      <c r="U166" s="83" t="inlineStr">
        <is>
          <t>## About
String of Dolphins is a charming succulent with leaves that look exactly like tiny jumping dolphins. This trailing plant is a hybrid succulent that has become very popular among plant collectors in India for its unique appearance and easy care requirements.
## Origin
String of Dolphins is a hybrid cross between Senecio rowleyanus (String of Pearls) and Senecio articulatus (Hot Dog Plant). It originated in cultivation and does not occur naturally in the wild. Its parent plants are native to South Africa.
## Temperature &amp; Humidity
- **Temperature Range:** 15Â°C to 30Â°C
- **Humidity:** Low to moderate humidity levels (30% to 50%). This plant is drought-tolerant and does not require high humidity. It adapts well to typical Indian home conditions and can tolerate the dry air during winter months.
## Growth
String of Dolphins is a trailing succulent that grows relatively slowly compared to other plants. The stems can reach 30 to 60 cm in length when mature. Each "dolphin" leaf is about 1-2 cm long. The plant grows in a cascading manner, making it perfect for hanging baskets or tall pots. Growth is faster during the warmer months (spring and summer) and slows down during winter.
## Watering
- **Frequency:** Once every two weeks depending on season and weather conditions. Water less in monsoon and winter, slightly more in hot summer months.
- **Tips:** Always allow the soil to dry out completely between waterings. Check by inserting your finger 2-3 cm into the soil. The dolphin-shaped leaves will start to look slightly wrinkled when the plant needs water. Water less frequently during the monsoon season and Indian winter. Use the soak and dry method - water thoroughly until it drains from the bottom, then wait until completely dry before watering again. Overwatering is the biggest killer of this plant.
## Sunlight
- **Hours per day:** 4 to 6 hours
- **Type:** Bright indirect light is best. Can tolerate 2-3 hours of gentle morning direct sunlight, but protect from harsh afternoon sun which can burn the leaves. Filtered or dappled light works excellently, especially during Indian summers.
## Care Tips
- Place near an east-facing window where it gets gentle morning sun in Indian homes
- Protect from direct afternoon sun during peak summer months (April-June) as it can scorch the delicate leaves
- During monsoon season (June-September), reduce watering significantly and ensure good air circulation to prevent rot
- The plant can handle Indian winter temperatures well but bring it indoors if temperatures drop below 10Â°C
- Avoid placing near air conditioner vents or in areas with cold drafts
- Clean the leaves gently with a soft brush occasionally to remove dust
- The "dolphins" may lose their shape if the plant doesn't get enough light
## Growth Tips
- Use a well-draining succulent or cactus potting mix. You can make your own by mixing regular potting soil with cocopeat, perlite, and sand in equal parts
- Add a layer of small stones or gravel at the bottom of the pot for extra drainage
- Fertilize sparingly - once every 2-3 months during the growing season (spring and summer) with a diluted succulent fertilizer at half strength
- Repot only when the plant has completely outgrown its pot, typically every 2-3 years
- Use a terracotta or clay pot as it allows excess moisture to evaporate quickly
- Propagate easily from stem cuttings - let the cut end dry for 2-3 days before planting in soil
- Prune leggy stems to encourage bushier growth
## Common Problems
- **Shriveled, wrinkled leaves:** Underwatering - the plant needs a drink
- **Mushy, translucent leaves:** Overwatering or root rot - reduce watering immediately and check roots
- **Leaves losing their dolphin shape and becoming elongated:** Not enough light - move to a brighter location
- **Brown, crispy leaves:** Too much direct harsh sunlight or sunburn
- **Yellowing leaves:** Overwatering or poor drainage
- **Pests:** Watch for mealybugs (white cottony masses) and aphids, especially during warmer months. Treat with neem oil solution
- **Leggy, sparse growth:** Insufficient light causes the plant to stretch and lose its compact appearance
- **Root rot:** Common during monsoon if drainage is poor - ensure pot has drainage holes and soil dries between waterings</t>
        </is>
      </c>
      <c r="V166" s="98">
        <f>HYPERLINK("https://rosaryplanthouse.com/plant/"&amp;A166&amp;"-"&amp;SUBSTITUTE(LOWER(E166), " ", "-"))</f>
        <v/>
      </c>
      <c r="W166" t="inlineStr">
        <is>
          <t>🟢 String of Dolphin (ID: 165)
🌊 Dive into the enchanting world of the String of Dolphin, where each leaf resembles a tiny jumping dolphin! This charming succulent is perfect for collectors and beginners alike, bringing a unique touch to your indoor space. 🐬✨
🌱 **About:** The String of Dolphins is a delightful hybrid succulent, a cross between the String of Pearls and Hot Dog Plant. It's easy to care for, making it a favorite among plant lovers in India! 
🌞 **Key Details:**
- **Watering:** Low – water every two weeks, allowing soil to dry completely between waterings.
- **Sunlight:** Medium – thrives in bright, indirect light with a touch of gentle morning sun.
- **Growth:** Cascading beauty that grows slowly, perfect for hanging baskets or tall pots.
💚 Ready to add this adorable succulent to your collection? Don’t miss out! **Link in bio** to shop now! 
#StringOfDolphins #SenecioPeregrinus #SucculentLove #PlantMom #IndoorPlants #HomeDecor #PlantCollector #SucculentCare #GreenThumb #RosaryPlantHouse #PlantAddict #HangingPlants #DroughtTolerant #PlantLovers #HousePlants #PlantParenthood</t>
        </is>
      </c>
    </row>
    <row r="167" ht="99.5" customHeight="1">
      <c r="A167" s="73" t="n">
        <v>166</v>
      </c>
      <c r="B167" s="74" t="inlineStr">
        <is>
          <t>brown echeveria</t>
        </is>
      </c>
      <c r="C167" s="74">
        <f>IF(Local!H167,"1","0")</f>
        <v/>
      </c>
      <c r="D167" s="75" t="n">
        <v>89</v>
      </c>
      <c r="E167" s="66" t="inlineStr">
        <is>
          <t>Aeonium arboreum 'Zwartkop'</t>
        </is>
      </c>
      <c r="F167" s="76">
        <f>"public/sale_plants/"&amp;A167&amp;".jpg"</f>
        <v/>
      </c>
      <c r="G167" s="77" t="inlineStr">
        <is>
          <t>(2"-3")</t>
        </is>
      </c>
      <c r="H167" s="78" t="inlineStr">
        <is>
          <t>Low</t>
        </is>
      </c>
      <c r="I167" s="66" t="inlineStr">
        <is>
          <t>Low</t>
        </is>
      </c>
      <c r="J167" s="66" t="inlineStr">
        <is>
          <t>High</t>
        </is>
      </c>
      <c r="K167" s="79" t="n">
        <v>120</v>
      </c>
      <c r="L167" s="81" t="inlineStr">
        <is>
          <t>Echeveria</t>
        </is>
      </c>
      <c r="M167" s="80" t="n">
        <v>0</v>
      </c>
      <c r="N167" s="80" t="n">
        <v>0</v>
      </c>
      <c r="O167" s="81" t="n">
        <v>0</v>
      </c>
      <c r="P167" s="80" t="n">
        <v>0</v>
      </c>
      <c r="Q167" s="81" t="n">
        <v>1</v>
      </c>
      <c r="R167" s="81">
        <f>Local!D167</f>
        <v/>
      </c>
      <c r="S167" s="81">
        <f>Local!F167</f>
        <v/>
      </c>
      <c r="T167" s="81">
        <f>Local!G167</f>
        <v/>
      </c>
      <c r="U167" s="83" t="inlineStr">
        <is>
          <t>## About
The Black Rose Succulent is a stunning ornamental plant known for its dramatic dark purple to almost black rosette-shaped leaves with bright green centers. This eye-catching succulent is popular among plant collectors and adds a bold, architectural element to any garden or indoor space.
## Origin
This plant is native to the Canary Islands, particularly found in rocky, mountainous regions. It belongs to the Aeonium genus and thrives in Mediterranean-like climates with mild winters and dry summers.
## Temperature &amp; Humidity
- **Temperature Range:** 10Â°C to 30Â°C
- **Humidity:** Prefers low to moderate humidity levels, around 30% to 50%. The plant is quite adaptable but does not like excessive humidity which can lead to rot.
## Growth
The Black Rose Succulent grows as a branching shrub and can reach heights of 60 to 90 cm when mature. It has a tree-like growth pattern with woody stems that support the rosettes at the tips. The rosettes can grow 15 to 20 cm in diameter. This plant is a moderate grower and can become quite bushy over time with proper care.
## Watering
- **Frequency:** Once every 10 to 14 days depending on season and weather conditions. During monsoon or winter, reduce watering to once every 3 weeks.
- **Tips:** Water deeply but allow the soil to dry out completely between waterings. This succulent is dormant in summer and more active in winter, so adjust watering accordingly. In Indian summers, if the plant goes dormant, water very sparingly. Always water at the base and avoid getting water in the rosette center to prevent rot.
## Sunlight
- **Hours per day:** 4 to 6 hours
- **Type:** Bright direct sunlight or bright indirect light. The darker coloration develops best with adequate sunlight. Morning sun with afternoon shade works well in hot Indian climates.
## Care Tips
- Protect from harsh afternoon sun during peak Indian summer (April to June) as leaves may scorch
- The plant naturally loses lower leaves as it grows taller, which is normal
- In very hot and dry conditions, provide some afternoon shade to prevent leaf burn
- During monsoon season, ensure excellent drainage and reduce watering significantly
- The green color in the center indicates new growth; darker outer leaves show mature foliage
- Can be grown outdoors in most parts of India except very humid coastal areas where rot is a concern
## Growth Tips
- Use a well-draining cactus or succulent mix with added perlite or coarse sand
- Add a layer of gravel or small stones at the pot bottom for extra drainage
- Fertilize once in 2 to 3 months during the growing season (October to March) with a diluted balanced liquid fertilizer or succulent-specific fertilizer
- Repot every 2 to 3 years or when the plant becomes top-heavy
- Prune leggy stems to encourage branching and bushier growth
- Propagate easily from stem cuttings; let them dry for a few days before planting
## Common Problems
- **Leaf drop:** Caused by overwatering or poor drainage; ensure soil dries between waterings
- **Pale or green leaves instead of dark color:** Insufficient sunlight; move to a brighter location
- **Root rot:** Excessive watering during dormant summer period or monsoon season
- **Mealybugs:** White cottony pests in leaf joints; treat with neem oil or rubbing alcohol
- **Aphids:** Small insects on new growth during cooler months; spray with soapy water solution
- **Leggy growth:** Not enough light; provide more direct sunlight
- **Wilting rosettes:** Underwatering or root problems; check soil moisture and root health</t>
        </is>
      </c>
      <c r="V167" s="98">
        <f>HYPERLINK("https://rosaryplanthouse.com/plant/"&amp;A167&amp;"-"&amp;SUBSTITUTE(LOWER(E167), " ", "-"))</f>
        <v/>
      </c>
      <c r="W167" t="inlineStr">
        <is>
          <t>🟢 Aeonium arboreum 'Zwartkop' (ID: 166)
🌟 Transform your space with the stunning Black Rose Succulent! This eye-catching plant features dramatic dark purple to almost black rosette-shaped leaves that will add a bold, architectural element to any indoor or outdoor garden. 
🌱 **About:** Native to the rocky mountains of the Canary Islands, this succulent thrives in Mediterranean-like climates and is a favorite among plant collectors. With its unique appearance and low maintenance needs, it's perfect for both novice and experienced plant parents! 
✨ **Key Details:**
- **Watering:** Low - water every 10-14 days; reduce in monsoon.
- **Sunlight:** High - 4-6 hours of bright light daily.
- **Growth:** Moderate grower, can reach heights of 60-90 cm with proper care.
🌍 Ready to add this beauty to your collection? **Link in bio!**
#Aeonium #BlackRoseSucculent #Echeveria #SucculentLove #PlantParent #Houseplants #IndoorGardening #PlantCollection #RosaryPlantHouse #GreenThumb #GardeningCommunity #HomeDecor #PlantCare #SucculentCare</t>
        </is>
      </c>
    </row>
    <row r="168" ht="99.5" customHeight="1">
      <c r="A168" s="73" t="n">
        <v>167</v>
      </c>
      <c r="B168" s="74" t="inlineStr">
        <is>
          <t>Baby sun flower</t>
        </is>
      </c>
      <c r="C168" s="74">
        <f>IF(Local!H168,"1","0")</f>
        <v/>
      </c>
      <c r="D168" s="75" t="n">
        <v>69</v>
      </c>
      <c r="E168" s="66" t="inlineStr">
        <is>
          <t>Portulaca oleracea</t>
        </is>
      </c>
      <c r="F168" s="76">
        <f>"public/sale_plants/"&amp;A168&amp;".jpg"</f>
        <v/>
      </c>
      <c r="G168" s="77" t="inlineStr">
        <is>
          <t>(4"-5")</t>
        </is>
      </c>
      <c r="H168" s="78" t="inlineStr">
        <is>
          <t>Moderate</t>
        </is>
      </c>
      <c r="I168" s="66" t="inlineStr">
        <is>
          <t>Low</t>
        </is>
      </c>
      <c r="J168" s="66" t="inlineStr">
        <is>
          <t>High</t>
        </is>
      </c>
      <c r="K168" s="79" t="n">
        <v>69</v>
      </c>
      <c r="L168" s="80" t="inlineStr">
        <is>
          <t>Others</t>
        </is>
      </c>
      <c r="M168" s="80" t="n">
        <v>0</v>
      </c>
      <c r="N168" s="80" t="n">
        <v>0</v>
      </c>
      <c r="O168" s="81" t="n">
        <v>0</v>
      </c>
      <c r="P168" s="80" t="n">
        <v>0</v>
      </c>
      <c r="Q168" s="81">
        <f>IF(Local!I168=TRUE,1,0)</f>
        <v/>
      </c>
      <c r="R168" s="81">
        <f>Local!D168</f>
        <v/>
      </c>
      <c r="S168" s="81">
        <f>Local!F168</f>
        <v/>
      </c>
      <c r="T168" s="81">
        <f>Local!G168</f>
        <v/>
      </c>
      <c r="U168" s="83" t="inlineStr">
        <is>
          <t>## About
Baby Sun Rose is a charming succulent plant with small, fleshy, bright green leaves that grow in a trailing or spreading pattern. This plant is popular for its low maintenance needs and ability to produce colorful flowers that brighten up any space. It's perfect for beginners and busy gardeners who want a beautiful plant without much fuss.
## Origin
This plant is native to South Africa and thrives in warm, dry climates. It has adapted to rocky, sandy soils and can tolerate harsh conditions. Over time, it has become a popular ornamental plant in gardens and homes around the world, including India.
## Temperature &amp; Humidity
- **Temperature Range:** 15Â°C to 35Â°C
- **Humidity:** This plant prefers low to moderate humidity levels (30% to 50%). It can tolerate dry air very well and doesn't need high humidity to thrive. Indian climate conditions are generally suitable for this plant.
## Growth
Baby Sun Rose is a fast-growing succulent that spreads horizontally and can trail down from pots or hanging baskets. It typically grows 10-15 cm in height but can spread up to 30-45 cm wide. The plant produces dense clusters of small, rounded leaves on thin stems. Its compact growth habit makes it ideal for container gardening, rock gardens, and hanging planters.
## Watering
- **Frequency:** Once every one to two weeks depending on season and weather conditions. Water less frequently during monsoon and winter months.
- **Tips:** Allow the soil to dry out completely between waterings. This plant stores water in its fleshy leaves, so it's better to underwater than overwater. During hot summer months in India, you may need to water slightly more often. Always check the soil moisture before watering. Avoid getting water on the leaves to prevent rot.
## Sunlight
- **Hours per day:** 4 to 6 hours
- **Type:** Direct sunlight is best. The plant can tolerate bright indirect light but will produce more vibrant growth and better flowering with direct sun exposure. Morning sunlight is ideal in very hot regions.
## Care Tips
- Place the plant in a location where it receives good morning sunlight, especially during Indian summers
- Protect from heavy monsoon rains as too much water can cause root rot
- The plant is heat-tolerant and thrives in hot Indian summers
- Prune regularly to maintain shape and encourage bushier growth
- Remove dead or dried leaves to keep the plant healthy
- Can be easily propagated from stem cuttings, which root quickly in soil
- Suitable for balconies, windowsills, and terrace gardens
## Growth Tips
- Use well-draining soil mix with sand, perlite, or cocopeat added to regular potting soil
- Add a handful of river sand to improve drainage
- Feed with a balanced liquid fertilizer diluted to half strength once a month during growing season (spring and summer)
- Repot once every 1-2 years or when the plant outgrows its container
- Use terracotta or clay pots which allow better air circulation and drainage
- Pinch off stem tips to encourage branching and fuller growth
## Common Problems
- **Yellowing leaves:** Usually caused by overwatering or poor drainage. Reduce watering frequency and ensure proper drainage holes in the pot.
- **Leggy growth:** Insufficient sunlight causes stems to stretch and become thin. Move the plant to a brighter location.
- **Root rot:** Black, mushy roots indicate root rot from excessive moisture. Repot in fresh, dry soil and reduce watering.
- **Aphids and mealybugs:** Small white cottony insects may appear on stems. Wipe them off with a cotton swab dipped in rubbing alcohol or spray with neem oil solution.
- **Leaf drop:** Sudden temperature changes or extreme cold can cause leaf drop. Protect from cold drafts during winter months.
- **No flowers:** Lack of sunlight or over-fertilization with nitrogen-rich fertilizer. Ensure adequate sunlight and use balanced or phosphorus-rich fertilizer to promote blooming.</t>
        </is>
      </c>
      <c r="V168" s="98">
        <f>HYPERLINK("https://rosaryplanthouse.com/plant/"&amp;A168&amp;"-"&amp;SUBSTITUTE(LOWER(E168), " ", "-"))</f>
        <v/>
      </c>
      <c r="W168" t="inlineStr">
        <is>
          <t>🟢 Baby Sun Flower (ID: 167)  
🌞 Brighten up your space with the cheerful charm of the Baby Sun Flower! This low-maintenance succulent is perfect for busy plant lovers who want a splash of color without the fuss.  
🌿 **About**: Native to South Africa, the Baby Sun Rose thrives in warm, dry climates and produces vibrant clusters of small, fleshy leaves. It's an ideal choice for container gardening, rock gardens, and hanging planters.  
✨ **Key Details**:  
- **Watering**: Low; let the soil dry out between waterings.  
- **Sunlight**: Loves 4-6 hours of direct sunlight daily!  
- **Care Tips**: Great for balconies, windowsills, and terrace gardens. Prune regularly for a bushier look!  
🌼 Don't miss out on adding this beauty to your collection. Discover more about the Baby Sun Flower—Link in bio!  
#BabySunFlower #SucculentLove #PlantParents #IndoorGardening #PlantCare #RosaryPlantHouse #GardenGoals #HomeDecor #SucculentAddict #GreenThumb #NatureLovers #PlantLife</t>
        </is>
      </c>
    </row>
    <row r="169" ht="99.5" customHeight="1">
      <c r="A169" s="73" t="n">
        <v>168</v>
      </c>
      <c r="B169" s="74" t="inlineStr">
        <is>
          <t>doller colour</t>
        </is>
      </c>
      <c r="C169" s="74">
        <f>IF(Local!H169,"1","0")</f>
        <v/>
      </c>
      <c r="D169" s="75" t="n">
        <v>99</v>
      </c>
      <c r="E169" s="66" t="inlineStr">
        <is>
          <t>Kalanchoe marnierian</t>
        </is>
      </c>
      <c r="F169" s="76">
        <f>"public/sale_plants/"&amp;A169&amp;".jpg"</f>
        <v/>
      </c>
      <c r="G169" s="77" t="inlineStr">
        <is>
          <t>(3"-4")</t>
        </is>
      </c>
      <c r="H169" s="78" t="inlineStr">
        <is>
          <t>Low</t>
        </is>
      </c>
      <c r="I169" s="66" t="inlineStr">
        <is>
          <t>Low</t>
        </is>
      </c>
      <c r="J169" s="66" t="inlineStr">
        <is>
          <t>Medium</t>
        </is>
      </c>
      <c r="K169" s="79" t="n">
        <v>79</v>
      </c>
      <c r="L169" s="80" t="inlineStr">
        <is>
          <t>Succulent</t>
        </is>
      </c>
      <c r="M169" s="80" t="n">
        <v>0</v>
      </c>
      <c r="N169" s="80" t="n">
        <v>0</v>
      </c>
      <c r="O169" s="81" t="n">
        <v>0</v>
      </c>
      <c r="P169" s="81" t="n">
        <v>0</v>
      </c>
      <c r="Q169" s="81">
        <f>IF(Local!I169=TRUE,1,0)</f>
        <v/>
      </c>
      <c r="R169" s="81">
        <f>Local!D169</f>
        <v/>
      </c>
      <c r="S169" s="81">
        <f>Local!F169</f>
        <v/>
      </c>
      <c r="T169" s="81">
        <f>Local!G169</f>
        <v/>
      </c>
      <c r="U169" s="83" t="inlineStr">
        <is>
          <t>## About
Kalanchoe marnierian is a beautiful succulent with rounded, paddle-shaped leaves that have striking pink to red edges. This plant is popular among succulent collectors for its unique leaf shape and colorful margins that become more vibrant with sun exposure.
## Origin
This plant comes from Madagascar, where it grows in rocky, dry areas. It is naturally adapted to warm climates with little rainfall, making it perfect for Indian growing conditions.
## Temperature &amp; Humidity
- **Temperature Range:** 15Â°C to 35Â°C
- **Humidity:** This plant prefers low to moderate humidity (30% to 50%). It can tolerate the dry indoor air found in most Indian homes and also handles the humidity during monsoon season well as long as drainage is good.
## Growth
Kalanchoe marnierian grows upright and can reach about 30 to 45 cm in height. The plant grows at a moderate pace and develops thick stems that hold clusters of rounded leaves. Over time, it can become slightly woody at the base. The leaves grow in an alternating pattern along the stem, creating an attractive layered look.
## Watering
- **Frequency:** Once every 10-14 days depending on season and weather conditions. Water less during monsoon and winter, more during hot summer months.
- **Tips:** Always check if the soil is completely dry before watering again. Water thoroughly until water drains out from the bottom, then allow the soil to dry completely. During monsoon season, reduce watering significantly. Overwatering is the biggest threat to this plant, so when in doubt, wait longer before watering.
## Sunlight
- **Hours per day:** 4 to 6 hours
- **Type:** Bright indirect light or morning direct sunlight. This plant does best with some direct sun (especially morning sun) which helps develop the beautiful red edges on the leaves. Avoid harsh afternoon sun in peak summer as it can burn the leaves.
## Care Tips
- The pink to red edges on the leaves become brighter with more sunlight exposure
- Protect from heavy rain during monsoon by keeping under a shed or bringing indoors
- This plant is drought-tolerant and prefers being underwater rather than overwatered
- Remove dead or dried leaves from the bottom to keep the plant tidy
- Can handle Indian summer heat well if kept in partial shade during peak afternoon hours
- During winter, place in a sunny spot and reduce watering to once every 2-3 weeks
## Growth Tips
- Use a well-draining cactus or succulent soil mix; you can make your own by mixing regular potting soil with coarse sand and perlite
- Add fertilizer only during the growing season (spring and early summer), once every 4-6 weeks with a diluted balanced fertilizer or cactus fertilizer
- Repot every 2-3 years in spring when the plant becomes root-bound
- Use terracotta pots as they help soil dry faster and prevent root rot
- Propagation is very easy through stem or leaf cuttings; just let the cuttings dry for a day before planting
## Common Problems
- **Leaf drop:** Usually caused by overwatering or sudden temperature changes
- **Brown, mushy leaves:** Sign of root rot from too much water; reduce watering immediately
- **Stretched, leggy growth:** Not enough sunlight; move to a brighter location
- **Pale or yellow leaves:** Can indicate overwatering or poor drainage
- **Mealybugs or aphids:** Small white cottony pests or tiny insects on leaves; wipe with neem oil solution
- **Fungal issues:** Can occur during monsoon if plant stays wet; ensure good air circulation and avoid wetting leaves</t>
        </is>
      </c>
      <c r="V169" s="98">
        <f>HYPERLINK("https://rosaryplanthouse.com/plant/"&amp;A169&amp;"-"&amp;SUBSTITUTE(LOWER(E169), " ", "-"))</f>
        <v/>
      </c>
      <c r="W169" t="inlineStr">
        <is>
          <t>🟢 Kalanchoe Marnierian (ID: 168)  
🌿 Brighten up your space with the stunning Kalanchoe Marnierian! This beautiful succulent, with its rounded paddle-shaped leaves and vibrant pink to red edges, is a must-have for any plant enthusiast. 🌈  
✨ **About:** Native to the rocky terrains of Madagascar, this resilient plant flourishes in warm climates, making it the perfect addition to your indoor garden. With moderate watering needs and a preference for bright indirect light, caring for this beauty is a breeze!  
💧 **Key Details:**  
- 🌞 Sunlight: 4-6 hours of bright indirect light  
- 💧 Watering: Once every 10-14 days (less during monsoon)  
- 🌡️ Temperature: Thrives in 15°C to 35°C  
Don't miss out on adding this gorgeous plant to your collection! 🌱✨ Link in bio for more details!  
#KalanchoeMarnierian #SucculentLove #PlantGoals #IndoorGarden #HouseplantClub #PlantParent #GreenThumb #SucculentCare #RosaryPlantHouse #PlantLovers #GardeningJoy #MadagascarBeauty #HomeDecor #PlantAddict</t>
        </is>
      </c>
    </row>
    <row r="170" ht="99.5" customHeight="1">
      <c r="A170" s="73" t="n">
        <v>169</v>
      </c>
      <c r="B170" s="74" t="inlineStr">
        <is>
          <t>doller</t>
        </is>
      </c>
      <c r="C170" s="74">
        <f>IF(Local!H170,"1","0")</f>
        <v/>
      </c>
      <c r="D170" s="75" t="n">
        <v>99</v>
      </c>
      <c r="E170" s="66" t="inlineStr">
        <is>
          <t>Kalanchoe panamensis</t>
        </is>
      </c>
      <c r="F170" s="76">
        <f>"public/sale_plants/"&amp;A170&amp;".jpg"</f>
        <v/>
      </c>
      <c r="G170" s="77" t="inlineStr">
        <is>
          <t>(2"-3")</t>
        </is>
      </c>
      <c r="H170" s="78" t="inlineStr">
        <is>
          <t>Low</t>
        </is>
      </c>
      <c r="I170" s="66" t="inlineStr">
        <is>
          <t>Low</t>
        </is>
      </c>
      <c r="J170" s="66" t="inlineStr">
        <is>
          <t>High</t>
        </is>
      </c>
      <c r="K170" s="79" t="n">
        <v>79</v>
      </c>
      <c r="L170" s="80" t="inlineStr">
        <is>
          <t>Succulent</t>
        </is>
      </c>
      <c r="M170" s="80" t="n">
        <v>0</v>
      </c>
      <c r="N170" s="80" t="n">
        <v>0</v>
      </c>
      <c r="O170" s="81" t="n">
        <v>0</v>
      </c>
      <c r="P170" s="80" t="n">
        <v>0</v>
      </c>
      <c r="Q170" s="81">
        <f>IF(Local!I170=TRUE,1,0)</f>
        <v/>
      </c>
      <c r="R170" s="81">
        <f>Local!D170</f>
        <v/>
      </c>
      <c r="S170" s="81">
        <f>Local!F170</f>
        <v/>
      </c>
      <c r="T170" s="81">
        <f>Local!G170</f>
        <v/>
      </c>
      <c r="U170" s="83" t="inlineStr">
        <is>
          <t>## About
Kalanchoe panamensis is a beautiful succulent plant with thick, rounded, paddle-shaped leaves that have a dusty blue-green color with a powdery coating. This unique plant grows upright and features leaves that are arranged in an attractive spiral pattern along the stem. It is a hardy, drought-tolerant plant that is perfect for beginners and experienced plant lovers alike.
## Origin
Kalanchoe panamensis is native to Panama and other parts of Central America. In its natural habitat, it grows in dry, rocky areas where water is scarce. The plant has adapted to survive in harsh conditions with bright sunlight and minimal rainfall.
## Temperature &amp; Humidity
- **Temperature Range:** 15Â°C to 35Â°C
- **Humidity:** This plant prefers low to moderate humidity levels, typically between 30% to 50%. It can tolerate the dry conditions common in many Indian homes and does not require high humidity. However, it can adapt to slightly higher humidity levels as well.
## Growth
Kalanchoe panamensis is a slow to moderate grower. It typically reaches a height of 15 to 30 centimeters when grown indoors or in containers. The plant grows upright with a single stem that produces thick, fleshy leaves. As the plant matures, the lower leaves may drop naturally, creating a more tree-like appearance. The growth rate depends on sunlight, temperature, and care conditions. During the active growing season (spring and summer), you may notice faster growth compared to winter months.
## Watering
- **Frequency:** Water once every two weeks depending on season, weather conditions, and pot size. In hot summer months, you may need to water slightly more often, while in winter you can reduce watering.
- **Tips:** Always check if the soil is completely dry before watering. Stick your finger about 2 inches into the soil - if it feels dry, it's time to water. Water thoroughly until water drains from the bottom holes, then discard excess water from the saucer. Never let the plant sit in standing water as this can cause root rot. The powdery coating on the leaves is natural and helps protect the plant, so try to water the soil directly rather than wetting the leaves.
## Sunlight
- **Hours per day:** 4 to 6 hours
- **Type:** Bright direct sunlight is ideal, though it can tolerate bright indirect light. In India, morning sunlight is perfect. If keeping indoors, place near a south or west-facing window. If the plant doesn't get enough light, it may become leggy and lose its compact form.
## Care Tips
- Keep the plant in a well-ventilated area to prevent fungal issues, especially during monsoon season
- Protect from heavy rain during monsoons as excess moisture can damage the plant
- The powdery coating on leaves is natural (called farina) - avoid touching or rubbing the leaves as this removes the protective layer
- During Indian summers (April-June), provide some afternoon shade if temperatures exceed 40Â°C
- In winter, reduce watering significantly and protect from temperatures below 10Â°C
- Clean dust from leaves gently with a soft, dry brush rather than wiping with water
- Good air circulation is important to prevent pests and diseases
## Growth Tips
- Use a well-draining succulent or cactus potting mix, or make your own by mixing regular soil with sand and perlite in equal parts
- Add some cocopeat for better water retention in very hot, dry conditions
- Fertilize sparingly - once every 2-3 months during the growing season (March to October) with a diluted succulent fertilizer or half-strength balanced liquid fertilizer
- Repot only when the plant becomes root-bound, typically every 2-3 years
- Choose a pot with drainage holes - terracotta pots work excellently as they allow soil to dry faster
- Propagate easily from leaf or stem cuttings - let the cut end dry for 2-3 days before planting
- Top dress with small pebbles or gravel to prevent soil splash and improve appearance
## Common Problems
- **Leaf drop or soft, mushy leaves:** This is usually caused by overwatering or poor drainage. Reduce watering frequency and ensure pot has proper drainage holes
- **Stretching or leggy growth:** Insufficient sunlight causes the plant to stretch toward light sources. Move to a brighter location
- **Brown or black spots on leaves:** Could be due to fungal infection from excess moisture or water sitting on leaves. Remove affected leaves and improve air circulation
- **Shriveled or wrinkled leaves:** Sign of underwatering. Increase watering frequency slightly
- **Mealybugs (white cottony pests):** Common in Indian conditions, especially during humid weather. Remove with cotton swabs dipped in rubbing alcohol or neem oil solution
- **Root rot:** Caused by overwatering or poor drainage. Prevention is better than cure - always use well-draining soil and appropriate watering schedule
- **Yellowing leaves:** May indicate overwatering or natural aging of lower leaves. Adjust watering if needed</t>
        </is>
      </c>
      <c r="V170" s="98">
        <f>HYPERLINK("https://rosaryplanthouse.com/plant/"&amp;A170&amp;"-"&amp;SUBSTITUTE(LOWER(E170), " ", "-"))</f>
        <v/>
      </c>
      <c r="W170" t="inlineStr">
        <is>
          <t>🟢 Kalanchoe panamensis (ID: 169)
🌿 Meet the stunning Kalanchoe panamensis, also known as the Doller! This captivating succulent features thick, paddle-shaped leaves that boast a beautiful dusty blue-green hue, perfect for adding a touch of elegance to any space.
✨ Known for its low maintenance and drought-tolerant nature, this hardy plant thrives in bright sunlight and is ideal for both beginners and seasoned plant enthusiasts. Let its unique spiral leaf arrangement charm you as it grows upright, creating a delightful tree-like appearance over time!
🌱 **Key Details:**
- 🌞 **Sunlight:** Prefers bright direct light (4-6 hours/day)
- 💧 **Watering:** Low frequency – water every two weeks
- 🌬️ **Humidity:** Thrives in low to moderate humidity (30%-50%)
- 🌡️ **Temperature Range:** 15°C to 35°C
👉 Ready to bring home this lovely succulent? Click the 'Link in bio' to explore more!
#Kalanchoe #SucculentLove #DollerPlant #IndoorPlants #PlantParent #PlantCare #HomeDecor #PlantAddict #GreenThumb #RosaryPlantHouse #SucculentCare #Houseplants #BotanicalBeauty #PlantGoals #UrbanJungle #PlantLovers #NatureInspiration</t>
        </is>
      </c>
    </row>
    <row r="171" ht="99.5" customHeight="1">
      <c r="A171" s="73" t="n">
        <v>170</v>
      </c>
      <c r="B171" s="74" t="inlineStr">
        <is>
          <t>Rose Cactus</t>
        </is>
      </c>
      <c r="C171" s="74">
        <f>IF(Local!H171,"1","0")</f>
        <v/>
      </c>
      <c r="D171" s="75" t="n">
        <v>59</v>
      </c>
      <c r="E171" s="66" t="inlineStr">
        <is>
          <t>Echeveria elegans</t>
        </is>
      </c>
      <c r="F171" s="76">
        <f>"public/sale_plants/"&amp;A171&amp;".jpg"</f>
        <v/>
      </c>
      <c r="G171" s="77" t="inlineStr">
        <is>
          <t>(2"-3")</t>
        </is>
      </c>
      <c r="H171" s="78" t="inlineStr">
        <is>
          <t>Low</t>
        </is>
      </c>
      <c r="I171" s="66" t="inlineStr">
        <is>
          <t>Low</t>
        </is>
      </c>
      <c r="J171" s="66" t="inlineStr">
        <is>
          <t>High</t>
        </is>
      </c>
      <c r="K171" s="79" t="n">
        <v>89</v>
      </c>
      <c r="L171" s="80" t="inlineStr">
        <is>
          <t>Succulent</t>
        </is>
      </c>
      <c r="M171" s="80" t="n">
        <v>0</v>
      </c>
      <c r="N171" s="80" t="n">
        <v>0</v>
      </c>
      <c r="O171" s="81" t="n">
        <v>0</v>
      </c>
      <c r="P171" s="80" t="n">
        <v>0</v>
      </c>
      <c r="Q171" s="81">
        <f>IF(Local!I171=TRUE,1,0)</f>
        <v/>
      </c>
      <c r="R171" s="81">
        <f>Local!D171</f>
        <v/>
      </c>
      <c r="S171" s="81">
        <f>Local!F171</f>
        <v/>
      </c>
      <c r="T171" s="81">
        <f>Local!G171</f>
        <v/>
      </c>
      <c r="U171" s="83" t="inlineStr">
        <is>
          <t>## About
The Mexican Snowball is a beautiful succulent plant with pale blue-green leaves arranged in a perfect rosette pattern that looks like a blooming rose. This plant is popular among succulent lovers in India because it is easy to care for and looks attractive throughout the year.
## Origin
This plant originally comes from the semi-desert regions of Mexico, where it grows on rocky slopes and cliffs. It is naturally adapted to dry conditions with plenty of sunlight and well-draining soil.
## Temperature &amp; Humidity
- **Temperature Range:** 15Â°C to 35Â°C
- **Humidity:** This plant prefers low to moderate humidity levels (30% to 50%). It can tolerate the dry conditions common in many parts of India and does well even during hot summer months. However, it should be protected from frost and temperatures below 10Â°C.
## Growth
The Mexican Snowball grows as a compact rosette that typically reaches 10 to 15 cm in diameter. It is a slow to moderate grower and stays relatively small, making it perfect for small pots and indoor spaces. The plant can produce offsets (baby plants) around the base, which can be separated and replanted to grow new plants. Over time, you can create a nice collection or cluster of these beautiful rosettes.
## Watering
- **Frequency:** Once every 10-15 days depending on season and weather conditions. Water less frequently during monsoon and winter months.
- **Tips:** Allow the soil to dry out completely between waterings. Water the soil directly and avoid getting water on the leaves, as this can cause rot or fungal issues. During the monsoon season, reduce watering significantly or skip it completely if the plant is kept outdoors. In summer, you may need to water once a week depending on how quickly the soil dries out. Always check the soil moisture before watering.
## Sunlight
- **Hours per day:** 4 to 6 hours
- **Type:** Bright direct sunlight or very bright indirect light. Morning sun is ideal in Indian climate.
## Care Tips
- Keep the plant in a spot where it receives morning sunlight, especially during hot summer months in India
- Protect from harsh afternoon sun in peak summer (April-June) which can scorch the leaves
- During monsoon season, keep the plant in a covered area to prevent waterlogging
- Ensure good air circulation around the plant to prevent fungal infections
- The pale blue-green color develops best with adequate sunlight exposure
- Remove any dried or dead leaves from the bottom to keep the plant healthy
- If kept indoors, place near a bright south or east-facing window
## Growth Tips
- Use a well-draining succulent or cactus soil mix. You can make your own by mixing regular potting soil with coarse sand and perlite in equal parts
- Add some small stones or grit at the bottom of the pot for extra drainage
- Feed with a diluted liquid succulent fertilizer once during spring and once during early autumn
- Repot every 2 to 3 years or when the plant outgrows its pot, preferably during spring
- Use terracotta or clay pots which allow better air circulation and help soil dry faster
- When repotting, carefully separate offsets to propagate new plants
## Common Problems
- **Stretching or elongation:** Caused by insufficient sunlight. Move the plant to a brighter location
- **Leaf rot or mushy leaves:** Result of overwatering or water sitting on leaves. Reduce watering frequency and water only the soil
- **Yellowing leaves:** Can indicate overwatering or poor drainage. Check soil and reduce water
- **Shriveled leaves:** Sign of underwatering. Increase watering frequency slightly
- **Mealybugs:** Small white cotton-like pests that appear on leaves. Remove with cotton swab dipped in rubbing alcohol
- **Brown or black spots:** May indicate fungal infection due to excessive moisture. Improve air circulation and reduce humidity
- **Leaf drop:** Can happen due to sudden temperature changes or overwatering during monsoon</t>
        </is>
      </c>
      <c r="V171" s="98">
        <f>HYPERLINK("https://rosaryplanthouse.com/plant/"&amp;A171&amp;"-"&amp;SUBSTITUTE(LOWER(E171), " ", "-"))</f>
        <v/>
      </c>
      <c r="W171" t="inlineStr">
        <is>
          <t>🟢 Echeveria Elegans (ID: 170)
🌹 Meet the stunning Rose Cactus! This enchanting succulent, often called the Mexican Snowball, is a delightful addition to any plant lover's collection. With its pale blue-green leaves forming a perfect rosette, it truly resembles a blooming rose! 
✨ **About:** 
Easy to care for and incredibly beautiful all year round, this plant thrives in sunny spots and adds a touch of elegance to your space.
🌞 **Key Details:**
- **Watering:** Low maintenance; water every 10-15 days.
- **Sunlight:** Enjoys 4-6 hours of bright light.
- **Origin:** Native to the semi-desert regions of Mexico.
🌿 Ready to elevate your plant game? Grab your Rose Cactus today! Link in bio.
#EcheveriaElegans #RoseCactus #Succulents #PlantLovers #IndoorPlants #HomeDecor #GreenThumb #PlantCare #SucculentLove #Gardening #PlantAddict #RosaryPlantHouse</t>
        </is>
      </c>
    </row>
    <row r="172" ht="99.5" customHeight="1">
      <c r="A172" s="73" t="n">
        <v>171</v>
      </c>
      <c r="B172" s="74" t="inlineStr">
        <is>
          <t>thick-leaved sedum</t>
        </is>
      </c>
      <c r="C172" s="74">
        <f>IF(Local!H172,"1","0")</f>
        <v/>
      </c>
      <c r="D172" s="75" t="n">
        <v>99</v>
      </c>
      <c r="E172" s="66" t="inlineStr">
        <is>
          <t>Sedum dasyphyllum 'Corsican Stonecrop'</t>
        </is>
      </c>
      <c r="F172" s="76">
        <f>"public/sale_plants/"&amp;A172&amp;".jpg"</f>
        <v/>
      </c>
      <c r="G172" s="77" t="inlineStr">
        <is>
          <t>(2"-3")</t>
        </is>
      </c>
      <c r="H172" s="78" t="inlineStr">
        <is>
          <t>High</t>
        </is>
      </c>
      <c r="I172" s="66" t="inlineStr">
        <is>
          <t>Low</t>
        </is>
      </c>
      <c r="J172" s="66" t="inlineStr">
        <is>
          <t>Medium</t>
        </is>
      </c>
      <c r="K172" s="79" t="n">
        <v>79</v>
      </c>
      <c r="L172" s="80" t="inlineStr">
        <is>
          <t>Sedum</t>
        </is>
      </c>
      <c r="M172" s="80" t="n">
        <v>0</v>
      </c>
      <c r="N172" s="80" t="n">
        <v>1</v>
      </c>
      <c r="O172" s="81" t="n">
        <v>0</v>
      </c>
      <c r="P172" s="81" t="n">
        <v>0</v>
      </c>
      <c r="Q172" s="81">
        <f>IF(Local!I172=TRUE,1,0)</f>
        <v/>
      </c>
      <c r="R172" s="81">
        <f>Local!D172</f>
        <v/>
      </c>
      <c r="S172" s="81">
        <f>Local!F172</f>
        <v/>
      </c>
      <c r="T172" s="81">
        <f>Local!G172</f>
        <v/>
      </c>
      <c r="U172" s="83" t="inlineStr">
        <is>
          <t>## About
Corsican Stonecrop is a beautiful blue-grey succulent that forms dense, cushion-like mounds of tiny, plump leaves. This charming plant is perfect for small pots, rock gardens, and fairy gardens, creating a delicate yet striking appearance with its unusual powdery blue color.
## Origin
This plant is native to the Mediterranean region, particularly Corsica (hence the name), Sardinia, and parts of North Africa. It naturally grows on rocky slopes, stone walls, and cliff faces where it thrives in well-drained, mineral-rich soil.
## Temperature &amp; Humidity
- **Temperature Range:** 10Â°C to 35Â°C (can tolerate brief drops to 5Â°C but protect from frost)
- **Humidity:** Prefers low to moderate humidity levels (30% to 50%). Being a Mediterranean plant, it does well in dry conditions and adapts well to most Indian climates except extremely humid coastal regions during monsoon.
## Growth
Corsican Stonecrop is a slow to moderate growing succulent that typically reaches 3-5 cm in height and can spread 15-30 cm wide over time. It grows in a creeping manner, forming dense mats of tiny, bead-like leaves arranged along delicate stems. The plant maintains a compact, low-growing habit and creates an attractive ground cover effect even in small containers.
## Watering
- **Frequency:** Once every 10-14 days depending on season and weather conditions. Water more frequently during hot summer months and reduce to once every 2-3 weeks in winter.
- **Tips:** Allow the soil to dry completely between waterings. Water thoroughly until it drains from the bottom, then let it dry out. The leaves will start to shrivel slightly when the plant needs water. Avoid overhead watering to prevent rot. In monsoon season, protect from excessive rain and reduce watering significantly.
## Sunlight
- **Hours per day:** 4 to 6 hours
- **Type:** Bright indirect light or morning direct sun with afternoon shade. In Indian conditions, avoid harsh afternoon summer sun which can scorch the delicate leaves. East-facing windows are ideal for indoor growing.
## Care Tips
- Protect from intense afternoon sun during Indian summers (April-June) as it can burn the powdery coating on leaves
- Ensure excellent drainage to prevent root rot, especially during monsoon season
- The powdery blue coating (farina) on leaves is natural - avoid touching leaves as it removes this protective layer
- Works wonderfully in shallow bowls, terracotta pots, or mixed succulent arrangements
- Keep away from areas with excessive moisture or poor air circulation
- In winter months (December-February), reduce watering and provide maximum sunlight
## Growth Tips
- Use a well-draining cactus or succulent soil mix (60% regular potting soil + 40% coarse sand or perlite)
- Add small pieces of charcoal to the soil to prevent fungal growth
- Fertilize sparingly - once every 2-3 months during growing season (spring and autumn) with diluted liquid succulent fertilizer
- Repot every 2-3 years in spring, using a pot only slightly larger than the current one
- Propagates easily from stem cuttings - allow cuttings to dry for 2-3 days before planting
- Top-dress with small pebbles or gravel for aesthetic appeal and to prevent soil splashing on leaves
## Common Problems
- **Leaf drop and mushy stems:** Caused by overwatering or poor drainage. Reduce watering frequency immediately
- **Stretching and loss of compact form:** Not enough light. Move to a brighter location
- **Brown, crispy leaves:** Sunburn from too much direct harsh sun or underwatering. Adjust sun exposure
- **White cottony patches:** Mealybugs - common in Indian conditions. Remove with cotton swab dipped in rubbing alcohol
- **Root rot:** Excessive moisture, especially during monsoon. Ensure drainage holes are clear and soil dries between waterings
- **Loss of blue color:** Too much water or humidity removes the natural farina coating. Handle less and keep drier
- **Slow or no growth:** Normal during extreme heat (above 38Â°C) or winter - this is the plant's rest period</t>
        </is>
      </c>
      <c r="V172" s="98">
        <f>HYPERLINK("https://rosaryplanthouse.com/plant/"&amp;A172&amp;"-"&amp;SUBSTITUTE(LOWER(E172), " ", "-"))</f>
        <v/>
      </c>
      <c r="W172" t="inlineStr">
        <is>
          <t>🟢 Sedum dasyphyllum 'Corsican Stonecrop' (ID: 171)  
🌟 Meet your new favorite succulent! The Corsican Stonecrop is a stunning blue-grey beauty that brings a touch of the Mediterranean right to your home. With its tiny, plump leaves forming cushion-like mounds, it's perfect for small pots or rock gardens!  
✨ **About the Plant:**  
Native to the rocky slopes of Corsica, this slow-growing gem thrives in well-drained soil and adapts beautifully to various climates. Its unique powdery blue color adds a delicate yet striking appearance to any space.  
🌱 **Key Details:**  
- **Watering:** Low; every 10-14 days  
- **Sunlight:** Medium; 4-6 hours of bright indirect light  
- **Humidity:** Prefers low to moderate levels  
👉 Ready to add the Corsican Stonecrop to your collection? Check out the **Link in bio**!  
#SucculentLove #IndoorPlants #PlantParenthood #GreenThumb #HomeDecor #SucculentCare #PlantAddict #RosaryPlantHouse #PlantGoals #GardeningLife #MediterraneanPlants #CactusAndSucculents #HouseplantClub #PlantStyle</t>
        </is>
      </c>
    </row>
    <row r="173" ht="99.5" customHeight="1">
      <c r="A173" s="73" t="n">
        <v>172</v>
      </c>
      <c r="B173" s="74" t="inlineStr">
        <is>
          <t>green-pink sedum</t>
        </is>
      </c>
      <c r="C173" s="74">
        <f>IF(Local!H173,"1","0")</f>
        <v/>
      </c>
      <c r="D173" s="75" t="n">
        <v>69</v>
      </c>
      <c r="E173" s="66" t="inlineStr">
        <is>
          <t>Crassula ovata 'Gollum' or Crassula arborescens subsp.</t>
        </is>
      </c>
      <c r="F173" s="76">
        <f>"public/sale_plants/"&amp;A173&amp;".jpg"</f>
        <v/>
      </c>
      <c r="G173" s="77" t="inlineStr">
        <is>
          <t>(2"-3")</t>
        </is>
      </c>
      <c r="H173" s="78" t="inlineStr">
        <is>
          <t>Moderate</t>
        </is>
      </c>
      <c r="I173" s="66" t="inlineStr">
        <is>
          <t>Low</t>
        </is>
      </c>
      <c r="J173" s="66" t="inlineStr">
        <is>
          <t>High</t>
        </is>
      </c>
      <c r="K173" s="79" t="n">
        <v>69</v>
      </c>
      <c r="L173" s="80" t="inlineStr">
        <is>
          <t>Succulent</t>
        </is>
      </c>
      <c r="M173" s="80" t="n">
        <v>0</v>
      </c>
      <c r="N173" s="80" t="n">
        <v>0</v>
      </c>
      <c r="O173" s="81" t="n">
        <v>0</v>
      </c>
      <c r="P173" s="80" t="n">
        <v>0</v>
      </c>
      <c r="Q173" s="81">
        <f>IF(Local!I173=TRUE,1,0)</f>
        <v/>
      </c>
      <c r="R173" s="81">
        <f>Local!D173</f>
        <v/>
      </c>
      <c r="S173" s="81">
        <f>Local!F173</f>
        <v/>
      </c>
      <c r="T173" s="81">
        <f>Local!G173</f>
        <v/>
      </c>
      <c r="U173" s="83" t="inlineStr">
        <is>
          <t>## About
Finger Jade is a unique succulent with tubular, finger-like leaves that curve inward at the tips. This compact plant belongs to the Crassula family and is a popular choice among succulent collectors in India due to its unusual appearance and easy care requirements.
## Origin
This plant originates from South Africa, where it grows in rocky, dry regions. It has been cultivated worldwide as an ornamental succulent and thrives particularly well in warm, dry climates similar to many parts of India.
## Temperature &amp; Humidity
- **Temperature Range:** 15Â°C to 35Â°C
- **Humidity:** Low to moderate humidity (30% to 50%). This plant prefers dry conditions and can handle the typical Indian climate very well, especially during hot summers.
## Growth
Finger Jade is a slow-growing succulent that typically reaches 15 to 30 cm in height when grown in containers. It forms compact rosettes with cylindrical leaves that look like little green fingers. The plant grows upright and can spread slightly as it matures. New growth appears from the center and sides of the plant.
## Watering
- **Frequency:** Once every 10-14 days depending on season and weather conditions. During monsoon, reduce watering to once every 2-3 weeks or even less.
- **Tips:** Always check if the soil is completely dry before watering. Water thoroughly but ensure excess water drains out completely. Reduce watering significantly during winter months. Overwatering is the most common cause of problems with this plant.
## Sunlight
- **Hours per day:** 4 to 6 hours
- **Type:** Direct bright sunlight is ideal. Morning sun is best in extremely hot regions. Can tolerate some afternoon sun but may need slight shade during peak summer in very hot areas. Avoid deep shade as it causes leggy growth.
## Care Tips
- Place in the sunniest spot available, preferably outdoors or on a bright windowsill
- Use well-draining soil mix specifically for succulents or cacti
- Protect from excessive monsoon rain by moving under a covered area
- The leaves may turn reddish at the tips when exposed to bright sunlight â€“ this is normal and healthy
- Wipe dust off leaves occasionally to help with photosynthesis
- Avoid keeping the plant in air-conditioned rooms for extended periods
- During Indian summers, morning sun is gentler than harsh afternoon sun
## Growth Tips
- Use a pot with drainage holes â€“ terracotta pots work excellently
- Soil should be 60% regular potting mix + 40% coarse sand or perlite for drainage
- Feed with diluted succulent fertilizer once every 2-3 months during growing season (spring and autumn)
- Repot every 2-3 years or when the plant outgrows its container
- Propagate easily from leaf or stem cuttings â€“ let cuttings dry for 2-3 days before planting
- Prune leggy growth to maintain compact shape
## Common Problems
- **Soft, mushy leaves:** Caused by overwatering or poor drainage. Reduce watering frequency immediately.
- **Leaves turning yellow and dropping:** Sign of root rot from excessive water. Check roots and repot in fresh, dry soil.
- **Stretched, elongated growth:** Not getting enough sunlight. Move to a brighter location.
- **Shriveled leaves:** Underwatering. Increase watering slightly but don't overdo it.
- **Mealybugs:** White cottony pests in leaf joints. Remove with cotton dipped in rubbing alcohol.
- **Brown spots on leaves:** Sunburn from sudden exposure to intense sun. Gradually acclimate the plant to bright light.
- **Slow or no growth:** Normal during winter. Also can indicate need for fertilizer during growing season.</t>
        </is>
      </c>
      <c r="V173" s="98">
        <f>HYPERLINK("https://rosaryplanthouse.com/plant/"&amp;A173&amp;"-"&amp;SUBSTITUTE(LOWER(E173), " ", "-"))</f>
        <v/>
      </c>
      <c r="W173" t="inlineStr">
        <is>
          <t>🟢 Crassula ovata 'Gollum' (ID: 172)
🌱 Looking to add a touch of whimsy to your plant collection? Meet the Finger Jade, a unique succulent that’s sure to turn heads! 
This captivating plant features tubular, finger-like leaves that curve inward at the tips, making it a popular choice among succulent enthusiasts. Originating from the rocky terrains of South Africa, this beauty thrives in warm, dry climates and is perfect for both beginners and seasoned collectors alike!
✨ **Key Details:**
- **Watering:** Low maintenance; water every 10-14 days!
- **Sunlight:** Loves bright, direct sunlight for 4-6 hours a day.
- **Growth:** Compact rosettes that grow upright, resembling little green fingers.
Ready to bring home this delightful succulent? 🌿 **Link in bio!**
#Crassula #FingerJade #SucculentLove #PlantParent #GreenThumb #IndoorPlants #Houseplants #PlantCollection #RosaryPlantHouse #GardeningJoy #PlantLovers #SucculentAddict #PlantCare #EcommercePlants</t>
        </is>
      </c>
    </row>
    <row r="174" ht="99.5" customHeight="1">
      <c r="A174" s="73" t="n">
        <v>173</v>
      </c>
      <c r="B174" s="74" t="inlineStr">
        <is>
          <t>cactus daddy</t>
        </is>
      </c>
      <c r="C174" s="74">
        <f>IF(Local!H174,"1","0")</f>
        <v/>
      </c>
      <c r="D174" s="75" t="n">
        <v>59</v>
      </c>
      <c r="E174" s="66" t="inlineStr">
        <is>
          <t>Echinopsis tubiflora</t>
        </is>
      </c>
      <c r="F174" s="76">
        <f>"public/sale_plants/"&amp;A174&amp;".jpg"</f>
        <v/>
      </c>
      <c r="G174" s="77" t="inlineStr">
        <is>
          <t>(2"-3")</t>
        </is>
      </c>
      <c r="H174" s="78" t="inlineStr">
        <is>
          <t>Low</t>
        </is>
      </c>
      <c r="I174" s="66" t="inlineStr">
        <is>
          <t>Low</t>
        </is>
      </c>
      <c r="J174" s="66" t="inlineStr">
        <is>
          <t>High</t>
        </is>
      </c>
      <c r="K174" s="79" t="n">
        <v>79</v>
      </c>
      <c r="L174" s="80" t="inlineStr">
        <is>
          <t>Cactus</t>
        </is>
      </c>
      <c r="M174" s="80" t="n">
        <v>0</v>
      </c>
      <c r="N174" s="80" t="n">
        <v>0</v>
      </c>
      <c r="O174" s="81" t="n">
        <v>0</v>
      </c>
      <c r="P174" s="80" t="n">
        <v>0</v>
      </c>
      <c r="Q174" s="81">
        <f>IF(Local!I174=TRUE,1,0)</f>
        <v/>
      </c>
      <c r="R174" s="81">
        <f>Local!D174</f>
        <v/>
      </c>
      <c r="S174" s="81">
        <f>Local!F174</f>
        <v/>
      </c>
      <c r="T174" s="81">
        <f>Local!G174</f>
        <v/>
      </c>
      <c r="U174" s="83" t="inlineStr">
        <is>
          <t>## About
Echinopsis tubiflora, commonly known as White Torch Cactus, is a beautiful globular cactus that produces stunning white tubular flowers. This cactus is popular among collectors for its neat, round shape and spectacular blooms that often appear at night.
## Origin
This cactus is native to Argentina, particularly found in the mountainous regions of Catamarca, Tucuman, and Salta provinces. It grows naturally in rocky, well-drained areas at moderate to high elevations where it experiences bright sunlight and dry conditions.
## Temperature &amp; Humidity
- **Temperature Range:** 15Â°C to 35Â°C
- **Humidity:** Low to moderate humidity (30% to 50%). This cactus prefers dry air and can tolerate the hot, dry conditions typical of many Indian climates. It can survive brief periods of cooler temperatures but should be protected from frost.
## Growth
Echinopsis tubiflora typically grows as a solitary globe-shaped cactus, though mature plants may produce offsets at the base. It usually reaches 10-15 cm in diameter and about 10-20 cm in height. The growth rate is slow to moderate. The body is bright green with prominent ribs arranged in vertical rows. Each areole (the small bumps on the cactus) has clusters of straight, sharp spines that range from yellow-brown to cream colored, giving the plant an attractive appearance.
## Watering
- **Frequency:** Once every 10-15 days during summer, depending on temperature and pot size. Reduce to once a month or less during winter monsoon season.
- **Tips:** Always check that the soil is completely dry before watering again. Water thoroughly until it drains from the bottom, but never let the pot sit in water. During the rainy season (July-September), protect from excessive rain and reduce watering significantly. In Indian climate, less water is better than too much water.
## Sunlight
- **Hours per day:** 4 to 6 hours
- **Type:** Direct sunlight is ideal. Morning sun is best in very hot regions. In coastal humid areas, provide bright direct light. Can tolerate partial shade but may not flower well without adequate sun.
## Care Tips
- Place in a location with good air circulation to prevent fungal issues during humid monsoon months
- Use a very well-draining cactus mix or add extra coarse sand and perlite to regular potting soil
- During monsoons, move the plant under a covered area or reduce watering to near zero
- In extremely hot regions (above 40Â°C), provide light afternoon shade
- Keep away from areas where water may accumulate during heavy rains
- Handle carefully as the spines are sharp
- Wipe dust off the plant body gently with a soft brush to keep it healthy
## Growth Tips
- **Soil:** Use a cactus-specific soil mix with at least 50% inorganic material like coarse sand, perlite, or pumice for excellent drainage
- **Fertilizer:** Feed with a diluted cactus fertilizer once during the growing season (spring or early summer). Avoid feeding during monsoon or winter
- **Repotting:** Repot every 2-3 years in spring. Choose a pot only slightly larger than the current one, as cacti prefer snug pots
- **Propagation:** Can be propagated from offsets (pups) that appear at the base or from seeds
- Use terracotta or clay pots which dry out faster than plastic pots, especially important in humid climates
## Common Problems
- **Yellowing or soft body:** Usually caused by overwatering or poor drainage. Root rot is a serious issue, so always ensure soil dries completely between waterings
- **Elongated growth (etiolation):** Not enough sunlight. Move to a brighter location with more direct sun
- **Brown spots or patches:** Sunburn from sudden exposure to intense afternoon sun, or fungal infection during humid weather
- **Mealybugs:** Small white cottony pests that hide between spines. Remove with cotton swabs dipped in rubbing alcohol
- **Scale insects:** Small brown bumps on the plant. Scrape off or treat with neem oil
- **No flowering:** Insufficient sunlight, over-fertilizing, or lack of a slight cool period in winter months
- **Shriveling:** Underwatering. Give a thorough watering and establish a regular schedule
- **Base rotting:** Excessive moisture, especially during monsoons. Ensure pot has drainage holes and soil drains quickly</t>
        </is>
      </c>
      <c r="V174" s="98">
        <f>HYPERLINK("https://rosaryplanthouse.com/plant/"&amp;A174&amp;"-"&amp;SUBSTITUTE(LOWER(E174), " ", "-"))</f>
        <v/>
      </c>
      <c r="W174" t="inlineStr">
        <is>
          <t>🟢 Echinopsis tubiflora (ID: 173)
🌵 Meet the stunning Cactus Daddy, your new favorite companion for a low-maintenance yet beautiful home! This globular beauty boasts extraordinary white tubular flowers that bloom at night, making it a unique addition to any plant collection.
✨ **About**: Originating from the high-altitude regions of Argentina, the Echinopsis tubiflora thrives in bright sunlight and dry conditions. With its neat shape and vibrant green body adorned with sharp spines, it’s not just a plant; it's a statement piece!
🌞 **Key Details**: 
- **Watering**: Low frequency; just once every 10-15 days in summer. 
- **Sunlight**: Prefers 4-6 hours of direct sunlight daily. 
- **Care**: Excellent drainage is a must! Use a cactus mix for best results.
👉 Ready to bring this gorgeous Cactus Daddy home? Link in bio!
#EchinopsisTubiflora #CactusDaddy #PlantLovers #IndoorPlants #CactusCollection #HomeDecor #GreenThumb #PlantParent #SucculentLove #Houseplants #PlantCare #RosaryPlantHouse</t>
        </is>
      </c>
    </row>
    <row r="175" ht="99.5" customHeight="1">
      <c r="A175" s="73" t="n">
        <v>174</v>
      </c>
      <c r="B175" s="74" t="inlineStr">
        <is>
          <t>flapjacks</t>
        </is>
      </c>
      <c r="C175" s="74">
        <f>IF(Local!H175,"1","0")</f>
        <v/>
      </c>
      <c r="D175" s="75" t="n">
        <v>79</v>
      </c>
      <c r="E175" s="66" t="inlineStr">
        <is>
          <t>Kalanchoe thyrsiflora</t>
        </is>
      </c>
      <c r="F175" s="76">
        <f>"public/sale_plants/"&amp;A175&amp;".jpg"</f>
        <v/>
      </c>
      <c r="G175" s="77" t="inlineStr">
        <is>
          <t>(2"-3")</t>
        </is>
      </c>
      <c r="H175" s="78" t="inlineStr">
        <is>
          <t>Low</t>
        </is>
      </c>
      <c r="I175" s="66" t="inlineStr">
        <is>
          <t>Low</t>
        </is>
      </c>
      <c r="J175" s="66" t="inlineStr">
        <is>
          <t>High</t>
        </is>
      </c>
      <c r="K175" s="79" t="n">
        <v>99</v>
      </c>
      <c r="L175" s="80" t="inlineStr">
        <is>
          <t>Succulent</t>
        </is>
      </c>
      <c r="M175" s="80" t="n">
        <v>0</v>
      </c>
      <c r="N175" s="80" t="n">
        <v>0</v>
      </c>
      <c r="O175" s="81" t="n">
        <v>0</v>
      </c>
      <c r="P175" s="81" t="n">
        <v>0</v>
      </c>
      <c r="Q175" s="81">
        <f>IF(Local!I175=TRUE,1,0)</f>
        <v/>
      </c>
      <c r="R175" s="81">
        <f>Local!D175</f>
        <v/>
      </c>
      <c r="S175" s="81">
        <f>Local!F175</f>
        <v/>
      </c>
      <c r="T175" s="81">
        <f>Local!G175</f>
        <v/>
      </c>
      <c r="U175" s="83" t="inlineStr">
        <is>
          <t>## About
The Flapjack Plant is a beautiful succulent with paddle-shaped leaves that stack in a rosette pattern. The leaves are green at the center and develop stunning red or pink edges when exposed to bright sunlight, making it a popular choice for gardens and indoor plant collections in India.
## Origin
This plant is native to South Africa, particularly found in the rocky areas of the Northern Cape and Eastern Cape provinces. It grows naturally in dry, sunny conditions with well-draining soil.
## Temperature &amp; Humidity
- **Temperature Range:** 15Â°C to 35Â°C
- **Humidity:** Low to moderate humidity (30% to 50%). This plant is very adaptable and can tolerate the dry conditions common in many parts of India, as well as more humid coastal climates.
## Growth
The Flapjack Plant grows as an upright rosette that can reach 30 to 45 cm in height and spread up to 30 cm wide. It is a slow to moderate grower. The plant produces offsets (baby plants) around the base which can be separated for propagation. The leaves grow in opposite pairs, creating a distinctive paddle or clam-shell appearance. As the plant matures, it may produce a tall flower spike.
## Watering
- **Frequency:** Once every 10-14 days depending on season and weather conditions. Water less frequently during monsoon and winter, and slightly more during hot summer months.
- **Tips:** Always allow the soil to dry out completely between waterings. Water thoroughly until it drains from the bottom, but never let the plant sit in water. Reduce watering significantly during winter months. Overwatering is the most common cause of problems with this plant.
## Sunlight
- **Hours per day:** 4 to 6 hours
- **Type:** Direct sunlight is best for developing the beautiful red and pink coloring on the leaf edges. The plant can tolerate bright indirect light but will remain mostly green without direct sun exposure.
## Care Tips
- The plant develops its best coloring (red and pink edges) when given plenty of direct sunlight and some stress from heat
- Protect from heavy monsoon rains as excessive moisture can cause root rot
- In extremely hot Indian summers (above 40Â°C), provide some afternoon shade to prevent leaf burn
- Keep the plant in a well-ventilated area to prevent fungal issues during humid months
- The powdery coating on the leaves is natural - avoid touching or rubbing the leaves unnecessarily
- Remove dead lower leaves to maintain appearance and prevent pest problems
## Growth Tips
- Use a well-draining succulent or cactus potting mix, or create your own by mixing regular soil with 50% coarse sand or perlite
- Add broken terracotta pieces or pebbles at the bottom of the pot for extra drainage
- Fertilize sparingly - once every 2-3 months during growing season (spring and summer) with a diluted balanced liquid fertilizer or succulent-specific fertilizer
- Repot every 2-3 years or when the plant outgrows its container, preferably during spring
- Use terracotta or clay pots which allow better airflow and help soil dry faster
- Propagate easily by removing offsets or by leaf cuttings - let cuttings dry for 2-3 days before planting
## Common Problems
- **Yellowing or mushy leaves:** Sign of overwatering or poor drainage - reduce watering frequency and check soil drainage
- **Leaves staying completely green:** Insufficient sunlight - move to a brighter location with more direct sun
- **Brown, crispy leaf tips:** Sunburn from intense afternoon sun during peak summer - provide light shade during hottest hours
- **Mealybugs:** White cottony pests in leaf crevices - wipe with cotton dipped in rubbing alcohol or neem oil solution
- **Root rot:** Caused by waterlogged soil or poor drainage - reduce watering and improve soil mix
- **Leggy growth:** Not enough light causes the plant to stretch - move to brighter location
- **Leaf drop:** Natural for older lower leaves, but excessive dropping indicates watering issues (too much or too little)</t>
        </is>
      </c>
      <c r="V175" s="98">
        <f>HYPERLINK("https://rosaryplanthouse.com/plant/"&amp;A175&amp;"-"&amp;SUBSTITUTE(LOWER(E175), " ", "-"))</f>
        <v/>
      </c>
      <c r="W175" t="inlineStr">
        <is>
          <t>🟢 Kalanchoe thyrsiflora (ID: 174)
🌿 Get ready to fall in love with the stunning Flapjack Plant! With its unique paddle-shaped leaves that boast vibrant red and pink edges, this succulent is a true showstopper for your indoor garden or patio. 
🌞 Native to the sun-kissed rocky regions of South Africa, the Flapjack thrives in bright sunlight and adds a pop of color to any space. It’s low-maintenance and perfect for those looking to brighten up their plant collection without the fuss!
✨ **Key Details:**
- 🌱 **Watering:** Low - allow soil to dry completely between waterings.
- ☀️ **Sunlight:** Needs 4-6 hours of direct sunlight for those beautiful leaf colors.
- 🌤️ **Temperature:** Thrives in temperatures from 15°C to 35°C.
👉 Ready to bring home this beauty? 🌸 Link in bio!
#FlapjackPlant #KalanchoeThyrsiflora #SucculentLove #PlantParent #IndoorGarden #GreenThumb #PlantCare #Houseplant #PlantsOfInstagram #SucculentCollection #RosaryPlantHouse #PlantEnthusiast #NatureLovers #HomeDecor #PlantAddict</t>
        </is>
      </c>
    </row>
    <row r="176" ht="99.5" customHeight="1">
      <c r="A176" s="73" t="n">
        <v>175</v>
      </c>
      <c r="B176" s="74" t="inlineStr">
        <is>
          <t>cotton</t>
        </is>
      </c>
      <c r="C176" s="74">
        <f>IF(Local!H176,"1","0")</f>
        <v/>
      </c>
      <c r="D176" s="75" t="n">
        <v>99</v>
      </c>
      <c r="E176" s="66" t="inlineStr">
        <is>
          <t>Tradescantia sillamontana</t>
        </is>
      </c>
      <c r="F176" s="76">
        <f>"public/sale_plants/"&amp;A176&amp;".jpg"</f>
        <v/>
      </c>
      <c r="G176" s="77" t="inlineStr">
        <is>
          <t>(3"-4")</t>
        </is>
      </c>
      <c r="H176" s="78" t="inlineStr">
        <is>
          <t>Low</t>
        </is>
      </c>
      <c r="I176" s="66" t="inlineStr">
        <is>
          <t>Low</t>
        </is>
      </c>
      <c r="J176" s="66" t="inlineStr">
        <is>
          <t>Medium</t>
        </is>
      </c>
      <c r="K176" s="79" t="n">
        <v>69</v>
      </c>
      <c r="L176" s="80" t="inlineStr">
        <is>
          <t>Succulent</t>
        </is>
      </c>
      <c r="M176" s="80" t="n">
        <v>0</v>
      </c>
      <c r="N176" s="80" t="n">
        <v>0</v>
      </c>
      <c r="O176" s="81" t="n">
        <v>0</v>
      </c>
      <c r="P176" s="80" t="n">
        <v>0</v>
      </c>
      <c r="Q176" s="81">
        <f>IF(Local!I176=TRUE,1,0)</f>
        <v/>
      </c>
      <c r="R176" s="81">
        <f>Local!D176</f>
        <v/>
      </c>
      <c r="S176" s="81">
        <f>Local!F176</f>
        <v/>
      </c>
      <c r="T176" s="81">
        <f>Local!G176</f>
        <v/>
      </c>
      <c r="U176" s="83" t="inlineStr">
        <is>
          <t>## About
White Velvet is a unique and beautiful succulent-like plant known for its soft, fuzzy white leaves that look like they are covered in velvet. This plant is native to Mexico and belongs to the Tradescantia family. It grows in a compact rosette form and can trail over time, making it perfect for hanging baskets or tabletop displays.
## Origin
This plant originates from the dry, rocky regions of northeastern Mexico, particularly in areas with warm temperatures and low rainfall. In its natural habitat, it grows on rocky slopes and adapts well to drought conditions.
## Temperature &amp; Humidity
- **Temperature Range:** 15Â°C to 35Â°C
- **Humidity:** This plant prefers low to moderate humidity levels, around 30% to 50%. It can tolerate the dry conditions common in many Indian homes and does not need high humidity like tropical plants.
## Growth
White Velvet grows slowly and forms compact rosettes of thick, fuzzy leaves. Each rosette can grow up to 10-15 cm in diameter. The plant produces stems that can trail or cascade down, reaching lengths of 20-30 cm over time. This trailing growth makes it suitable for hanging planters. The white fuzzy coating on the leaves is actually fine hairs that help protect the plant from intense sun and reduce water loss.
## Watering
- **Frequency:** Once every 10-14 days depending on season and weather conditions. In monsoon season, water less frequently as humidity is higher.
- **Tips:** Allow the soil to dry out completely between waterings. Water thoroughly but make sure excess water drains out completely. During Indian summers, you may need to water slightly more often, while in winter and monsoon, reduce watering frequency. Always check the soil before watering - if it feels moist, wait a few more days. Overwatering is the most common cause of problems with this plant.
## Sunlight
- **Hours per day:** 4 to 6 hours
- **Type:** Bright indirect light is best, but it can tolerate a few hours of gentle morning direct sunlight. Avoid harsh afternoon sun in Indian summers as it can scorch the leaves. Filtered light through a curtain or placement near an east-facing window works perfectly.
## Care Tips
- Keep the plant in a well-ventilated area to prevent fungal issues, especially during monsoon season
- Avoid getting water on the fuzzy leaves as this can cause rot or fungal spots
- The white fuzzy coating may appear less dense if the plant doesn't get enough light
- During Indian summers (April-June), provide some shade during peak afternoon hours
- This plant is relatively pest-resistant due to its fuzzy coating
- Can be kept outdoors in covered balconies or patios where it gets bright indirect light
- Protect from heavy monsoon rains as excessive moisture can harm the plant
## Growth Tips
- Use a well-draining potting mix, ideally a cactus or succulent mix with added perlite or cocopeat
- Add 30-40% coarse sand or perlite to regular potting soil to improve drainage
- Fertilize once every 2-3 months during growing season (spring and summer) with a diluted balanced liquid fertilizer
- Repot only when the plant outgrows its pot, typically once every 2-3 years
- Use terracotta or clay pots which allow better air circulation and moisture evaporation
- Propagation is easy through stem cuttings - simply cut a healthy stem and plant it in moist soil
## Common Problems
- **Leaf rot or brown spots:** Usually caused by overwatering or water sitting on the fuzzy leaves. Always water at the soil level, not on the leaves
- **Leggy growth with sparse leaves:** Not enough sunlight. Move the plant to a brighter location
- **Loss of white fuzzy coating:** Can happen due to insufficient light or too much humidity
- **Yellowing leaves:** Often a sign of overwatering or poor drainage. Check the roots for rot
- **Shriveled leaves:** Underwatering. The plant needs a good deep watering
- **Mealybugs:** Occasionally affect this plant. Remove with cotton swabs dipped in rubbing alcohol
- **Root rot:** Caused by waterlogged soil or pots without drainage holes. Always ensure proper drainage</t>
        </is>
      </c>
      <c r="V176" s="98">
        <f>HYPERLINK("https://rosaryplanthouse.com/plant/"&amp;A176&amp;"-"&amp;SUBSTITUTE(LOWER(E176), " ", "-"))</f>
        <v/>
      </c>
      <c r="W176" t="inlineStr">
        <is>
          <t>🟢 Tradescantia Sillamontana (ID: 175)
✨ Meet your new favorite companion - the stunning White Velvet! 🌿 This exquisite succulent boasts soft, fuzzy white leaves that look like they’re covered in luxurious velvet. Perfect for adding a touch of elegance to your space, it’s a true showstopper! 
🌱 **About the Plant**: Native to the dry, rocky terrains of northeastern Mexico, this beauty thrives in low to moderate humidity and requires minimal watering. Its trailing growth makes it ideal for hanging baskets or as a tabletop display, effortlessly elevating your home décor.
💧 **Care Tips**:
- Water every 10-14 days, allowing the soil to dry out completely between watering.
- Prefer bright, indirect sunlight with a few hours of gentle morning rays. 
- Avoid water on the fuzzy leaves to prevent rot.
👉 **Link in bio** to bring home this unique plant and enjoy its beauty! 
#Tradescantia #WhiteVelvet #SucculentLove #PlantParent #IndoorPlants #HomeDecor #GreenThumb #PlantCare #Houseplants #SucculentCare #PlantAddict #PlantLovers #RosaryPlantHouse</t>
        </is>
      </c>
    </row>
    <row r="177" ht="99.5" customHeight="1">
      <c r="A177" s="73" t="n">
        <v>176</v>
      </c>
      <c r="B177" s="88" t="inlineStr">
        <is>
          <t>arrowhead plant</t>
        </is>
      </c>
      <c r="C177" s="74">
        <f>IF(Local!H177,"1","0")</f>
        <v/>
      </c>
      <c r="D177" s="75" t="n">
        <v>69</v>
      </c>
      <c r="E177" s="66" t="inlineStr">
        <is>
          <t>Syngonium podophyllum</t>
        </is>
      </c>
      <c r="F177" s="76">
        <f>"public/sale_plants/"&amp;A177&amp;".jpg"</f>
        <v/>
      </c>
      <c r="G177" s="77" t="inlineStr">
        <is>
          <t>(3"-4")</t>
        </is>
      </c>
      <c r="H177" s="78" t="inlineStr">
        <is>
          <t>High</t>
        </is>
      </c>
      <c r="I177" s="66" t="inlineStr">
        <is>
          <t>Medium</t>
        </is>
      </c>
      <c r="J177" s="66" t="inlineStr">
        <is>
          <t>Medium</t>
        </is>
      </c>
      <c r="K177" s="89" t="n">
        <v>79</v>
      </c>
      <c r="L177" s="80" t="inlineStr">
        <is>
          <t>Others</t>
        </is>
      </c>
      <c r="M177" s="80" t="n">
        <v>0</v>
      </c>
      <c r="N177" s="80" t="n">
        <v>0</v>
      </c>
      <c r="O177" s="81" t="n">
        <v>0</v>
      </c>
      <c r="P177" s="80" t="n">
        <v>0</v>
      </c>
      <c r="Q177" s="81">
        <f>IF(Local!I177=TRUE,1,0)</f>
        <v/>
      </c>
      <c r="R177" s="81">
        <f>Local!D177</f>
        <v/>
      </c>
      <c r="S177" s="81">
        <f>Local!F177</f>
        <v/>
      </c>
      <c r="T177" s="81">
        <f>Local!G177</f>
        <v/>
      </c>
      <c r="U177" s="83" t="inlineStr">
        <is>
          <t>## About
The Arrowhead Plant is a beautiful indoor plant with arrow-shaped leaves that feature stunning white and green patterns. This easy-to-grow plant is perfect for beginners and adds a tropical touch to any Indian home or office.
## Origin
This plant originally comes from the tropical rainforests of Central and South America, including Mexico, Brazil, and Bolivia. It grows naturally in warm, humid forest floors where it climbs up trees and spreads along the ground.
## Temperature &amp; Humidity
- **Temperature Range:** 18Â°C to 30Â°C
- **Humidity:** Prefers moderate to high humidity levels between 40% to 60%. It adapts well to normal Indian household humidity but grows better with occasional misting, especially during dry winter months or in air-conditioned rooms.
## Growth
The Arrowhead Plant is a moderate to fast-growing plant that can reach 3 to 6 feet in height when grown indoors. Young plants have compact, upright growth with arrow-shaped leaves. As the plant matures, it develops a climbing or trailing habit with leaves that become larger and more lobed. In hanging baskets, the vines can trail down beautifully. The plant can also be trained to climb on moss poles or trellises.
## Watering
- **Frequency:** Once or twice a week depending on season, temperature, and humidity conditions
- **Tips:** Water when the top 2-3 cm of soil feels dry to touch. During hot Indian summers (April-June), you may need to water more frequently. Reduce watering during monsoon and winter months. Always check soil moisture before watering. Use room-temperature water and ensure excess water drains out completely. Never let the plant sit in waterlogged soil.
## Sunlight
- **Hours per day:** 4 to 6 hours
- **Type:** Bright indirect light or filtered sunlight. Avoid direct harsh afternoon sun which can burn the beautiful variegated leaves. Morning sunlight for 1-2 hours is beneficial. Can tolerate low light conditions but growth will be slower and variegation may fade.
## Care Tips
- Place near east or north-facing windows for best light in Indian homes
- Mist the leaves once or twice a week during dry summer months to maintain humidity
- Wipe leaves gently with a damp cloth to remove dust and keep them shiny
- Rotate the plant every few weeks for even growth on all sides
- Protect from cold drafts during winter, especially in North India
- Keep away from direct air conditioner or fan blowing as it reduces humidity
- Prune regularly to maintain bushy shape and control leggy growth
- The plant is toxic if ingested, so keep away from pets and children
## Growth Tips
- Use well-draining potting mix with equal parts regular soil, cocopeat, and perlite or sand
- Feed with balanced liquid fertilizer diluted to half strength once a month during growing season (March to October)
- Repot every 1-2 years in spring when roots start coming out of drainage holes
- Use a pot only 1-2 inches larger than the current one during repotting
- Propagate easily through stem cuttings in water or soil during warm months
- Provide a moss pole or support if you want the plant to climb upward
- Pinch off growing tips to encourage bushier, fuller growth
## Common Problems
- **Yellow leaves:** Usually caused by overwatering or poor drainage. Let soil dry out between waterings
- **Brown leaf tips:** Low humidity or use of chlorinated water. Mist regularly and use filtered water
- **Fading variegation:** Insufficient light. Move to a brighter spot with indirect light
- **Leggy growth:** Not enough light causes long stems with few leaves. Provide more bright light
- **Spider mites:** Tiny pests that appear in dry conditions. Increase humidity and spray with neem oil solution
- **Root rot:** Caused by overwatering or poor drainage. Reduce watering and ensure pot has drainage holes
- **Drooping leaves:** Can indicate both underwatering or overwatering. Check soil moisture to determine the cause</t>
        </is>
      </c>
      <c r="V177" s="98">
        <f>HYPERLINK("https://rosaryplanthouse.com/plant/"&amp;A177&amp;"-"&amp;SUBSTITUTE(LOWER(E177), " ", "-"))</f>
        <v/>
      </c>
      <c r="W177" t="inlineStr">
        <is>
          <t>🟢 Syngonium Podophyllum (ID: 176)
✨ Ready to elevate your indoor jungle? Meet the stunning Arrowhead Plant! 🌿 This beauty features arrow-shaped leaves adorned with striking white and green patterns that will bring a tropical vibe to any space. Perfect for beginners, it's not just a plant; it's a statement! 
🌱 **About the Arrowhead Plant:**
Originally hailing from the lush tropical rainforests of Central and South America, this moderate to fast-growing plant can reach impressive heights indoors. With its climbing and trailing habits, it adds a unique touch to your decor. 
🌞 **Key Care Details:**
- **Watering:** Once or twice a week; let the top soil dry out between waterings.
- **Sunlight:** Prefers bright indirect light; avoid harsh afternoon sun.
- **Humidity:** Thrives in moderate to high humidity; mist regularly during dry months.
👉 Don’t miss out on transforming your home! Check the link in bio for more details.
#ArrowheadPlant #SyngoniumPodophyllum #IndoorPlants #PlantCare #TropicalPlants #HousePlants #HomeDecor #PlantLovers #GreenThumb #PlantParent #RosaryPlantHouse #EcoFriendly #PlantLife #NatureLovers #UrbanJungle #IndoorGarden</t>
        </is>
      </c>
    </row>
    <row r="178" ht="99.5" customHeight="1">
      <c r="A178" s="73" t="n">
        <v>177</v>
      </c>
      <c r="B178" s="74" t="inlineStr">
        <is>
          <t>Cone Tree (Big)</t>
        </is>
      </c>
      <c r="C178" s="74">
        <f>IF(Local!H178,"1","0")</f>
        <v/>
      </c>
      <c r="D178" s="75" t="n">
        <v>49</v>
      </c>
      <c r="E178" s="66" t="inlineStr">
        <is>
          <t>Crassula tetragona</t>
        </is>
      </c>
      <c r="F178" s="76">
        <f>"public/sale_plants/"&amp;A178&amp;".jpg"</f>
        <v/>
      </c>
      <c r="G178" s="77" t="inlineStr">
        <is>
          <t>(5"-6")</t>
        </is>
      </c>
      <c r="H178" s="78" t="inlineStr">
        <is>
          <t>Moderate</t>
        </is>
      </c>
      <c r="I178" s="66" t="inlineStr">
        <is>
          <t>Low</t>
        </is>
      </c>
      <c r="J178" s="66" t="inlineStr">
        <is>
          <t>High</t>
        </is>
      </c>
      <c r="K178" s="79" t="n">
        <v>99</v>
      </c>
      <c r="L178" s="80" t="inlineStr">
        <is>
          <t>Crassula</t>
        </is>
      </c>
      <c r="M178" s="80" t="n">
        <v>1</v>
      </c>
      <c r="N178" s="80" t="n">
        <v>0</v>
      </c>
      <c r="O178" s="81" t="n">
        <v>0</v>
      </c>
      <c r="P178" s="81" t="n">
        <v>0</v>
      </c>
      <c r="Q178" s="81">
        <f>IF(Local!I178=TRUE,1,0)</f>
        <v/>
      </c>
      <c r="R178" s="81">
        <f>Local!D178</f>
        <v/>
      </c>
      <c r="S178" s="81">
        <f>Local!F178</f>
        <v/>
      </c>
      <c r="T178" s="81">
        <f>Local!G178</f>
        <v/>
      </c>
      <c r="U178" s="83" t="inlineStr">
        <is>
          <t>## About
Crassula tetragona, commonly known as the Miniature Pine Tree, is a beautiful succulent that looks like a tiny pine or conifer tree. This charming plant from South Africa has thin, needle-like leaves that grow in a spiral pattern along upright stems, creating a tree-like appearance that makes it a favorite among succulent collectors.
## Origin
This plant is native to South Africa, particularly the Eastern Cape region. It grows naturally in rocky areas and slopes where the climate is dry and sunny. The plant has adapted to survive in poor soil conditions with little water.
## Temperature &amp; Humidity
- **Temperature Range:** 15Â°C to 35Â°C (can tolerate up to 40Â°C in Indian summers)
- **Humidity:** Low to moderate humidity (30% to 50%). This plant prefers dry conditions and does well in most Indian climates, especially in drier regions. It can handle the monsoon season if drainage is good.
## Growth
Crassula tetragona is a slow to moderate grower that can reach heights of 30 to 90 cm when mature. The plant grows upright with woody stems that become brown and bark-like at the base as it ages. The stems branch out naturally, creating a bushy, tree-like shape. Young plants are compact, but older specimens develop a nice sculptural form. The leaves are cylindrical, pointed, and about 2-4 cm long, arranged in four rows along the stems. With proper care, it can become quite a statement piece in your garden or indoor collection.
## Watering
- **Frequency:** Once every 10-14 days depending on season and weather conditions. During summer, water once a week depending on other parameters. In monsoon, reduce watering significantly. In winter, water once every 2-3 weeks depending on other parameters.
- **Tips:** Always allow the soil to dry completely between waterings. Water thoroughly until water drains from the bottom, then wait. Overwatering is the biggest killer of this plant. During the rainy season, protect from excessive rain or move to a covered area. The leaves will start to shrivel slightly when the plant needs water. In hot Indian summers, check the soil more frequently as it dries faster.
## Sunlight
- **Hours per day:** 6 to 8 hours
- **Type:** Direct bright sunlight. This plant loves full sun and will develop the best color and compact growth when given plenty of direct light. In extremely hot regions (above 42Â°C), provide some afternoon shade.
## Care Tips
- Place in the brightest spot available, such as a south-facing window or open terrace
- Use a pot with drainage holes to prevent water logging, which is crucial during monsoon season
- Rotate the pot occasionally to ensure even growth on all sides
- This plant can handle Indian summers very well but needs protection from excessive monsoon rains
- Clean the leaves gently with a soft brush to remove dust
- Prune leggy growth to maintain the tree-like shape
- The plant can be kept outdoors year-round in most parts of India
## Growth Tips
- **Soil:** Use a well-draining cactus or succulent mix. You can make your own by mixing regular potting soil with coarse sand and perlite in equal parts (1:1:1 ratio)
- **Fertilizer:** Feed once a month during the growing season (spring and summer) with a diluted balanced liquid fertilizer (NPK 10:10:10) at half strength. No feeding needed in winter
- **Repotting:** Repot every 2-3 years in spring. Choose a pot only slightly larger than the current one, as this plant prefers being slightly root-bound
- **Propagation:** Very easy to propagate from stem cuttings. Let cuttings dry for 2-3 days, then plant in dry soil and water after a week
## Common Problems
- **Yellowing and mushy leaves:** Caused by overwatering or poor drainage. Reduce watering immediately and check for root rot
- **Leaf drop:** Can happen due to sudden temperature changes or overwatering. Maintain consistent conditions
- **Leggy, stretched growth:** Not enough sunlight. Move to a brighter location with more direct sun
- **Brown, crispy leaf tips:** Underwatering or too much direct hot sun during peak summer. Increase watering frequency slightly
- **Mealybugs (white cottony pests):** Common pest problem. Remove with cotton swabs dipped in rubbing alcohol or spray with neem oil solution
- **Soft, rotting stems at base:** Root rot from overwatering. This is serious - you may need to cut healthy portions and re-propagate
- **Slow growth:** Normal for this plant, but can also indicate need for fertilizer during growing season</t>
        </is>
      </c>
      <c r="V178" s="98">
        <f>HYPERLINK("https://rosaryplanthouse.com/plant/"&amp;A178&amp;"-"&amp;SUBSTITUTE(LOWER(E178), " ", "-"))</f>
        <v/>
      </c>
      <c r="W178" t="inlineStr">
        <is>
          <t>🟢 Crassula Tetragona (ID: 177)
🌲 Meet the charming Cone Tree! This delightful succulent, also known as the Miniature Pine Tree, brings a touch of the outdoors into your home with its unique tree-like appearance. 
✨ Originating from the sunny slopes of South Africa, the Crassula tetragona is a resilient plant that thrives in low-water conditions and loves basking in bright sunlight. Its needle-like leaves spiral elegantly, creating a stunning focal point for any plant collection! 
🌞 **Key Details:**
- **Watering:** Low maintenance; water every 10-14 days.
- **Sunlight:** A sun-lover; needs 6-8 hours of direct sunlight daily.
- **Growth:** Slow to moderate; can reach impressive heights with time.
🌿 Ready to add this stunning succulent to your plant family? Discover more through the 'Link in bio'! 
#CrassulaTetragona #ConeTree #SucculentLove #PlantParents #GreenThumb #IndoorPlants #PlantCollection #SucculentCare #HouseplantGoals #RosaryPlantHouse #PlantShop #PlantAddict #PlantLife #HomeDecor #GardenGoals</t>
        </is>
      </c>
    </row>
    <row r="179" ht="99.5" customHeight="1">
      <c r="A179" s="73" t="n">
        <v>178</v>
      </c>
      <c r="B179" s="74" t="inlineStr">
        <is>
          <t>Tree Cactus (Big)</t>
        </is>
      </c>
      <c r="C179" s="74">
        <f>IF(Local!H179,"1","0")</f>
        <v/>
      </c>
      <c r="D179" s="75" t="n">
        <v>99</v>
      </c>
      <c r="E179" s="66" t="inlineStr">
        <is>
          <t>Opuntia monacantha</t>
        </is>
      </c>
      <c r="F179" s="76">
        <f>"public/sale_plants/"&amp;A179&amp;".jpg"</f>
        <v/>
      </c>
      <c r="G179" s="77" t="inlineStr">
        <is>
          <t>(5"-6")</t>
        </is>
      </c>
      <c r="H179" s="78" t="inlineStr">
        <is>
          <t>Low</t>
        </is>
      </c>
      <c r="I179" s="66" t="inlineStr">
        <is>
          <t>Low</t>
        </is>
      </c>
      <c r="J179" s="66" t="inlineStr">
        <is>
          <t>High</t>
        </is>
      </c>
      <c r="K179" s="79" t="n">
        <v>99</v>
      </c>
      <c r="L179" s="80" t="inlineStr">
        <is>
          <t>Cactus</t>
        </is>
      </c>
      <c r="M179" s="80" t="n">
        <v>1</v>
      </c>
      <c r="N179" s="80" t="n">
        <v>0</v>
      </c>
      <c r="O179" s="81" t="n">
        <v>0</v>
      </c>
      <c r="P179" s="80" t="n">
        <v>0</v>
      </c>
      <c r="Q179" s="81">
        <f>IF(Local!I179=TRUE,1,0)</f>
        <v/>
      </c>
      <c r="R179" s="81">
        <f>Local!D179</f>
        <v/>
      </c>
      <c r="S179" s="81">
        <f>Local!F179</f>
        <v/>
      </c>
      <c r="T179" s="81">
        <f>Local!G179</f>
        <v/>
      </c>
      <c r="U179" s="83" t="inlineStr">
        <is>
          <t>## About
Opuntia monacantha, commonly known as the Prickly Pear Cactus or Barbary Fig, is a beautiful cactus species with flat, paddle-shaped green pads covered with spines. This plant is popular among cactus lovers for its unique appearance and easy care requirements, making it perfect for beginners and experienced gardeners alike.
## Origin
This cactus originates from South America, particularly from regions of Brazil, Uruguay, and Argentina. It naturally grows in dry, arid environments where it has adapted to survive with minimal water and intense sunlight. The plant has been introduced to many parts of the world, including India, where it thrives in warm climates.
## Temperature &amp; Humidity
- **Temperature Range:** 15Â°C to 40Â°C
- **Humidity:** This cactus prefers low to moderate humidity levels, typically between 30% to 50%. It is well-adapted to dry conditions and can tolerate the hot, dry summers common in many parts of India. During winter, it can tolerate cooler temperatures but should be protected from frost.
## Growth
Opuntia monacantha grows in an upright manner with segmented, flat pads that stack on top of each other. Each pad can grow to about 15-30 cm in length. The plant can reach a height of 1 to 2 meters when fully mature. Growth is moderate to fast during the warm months, especially when given adequate sunlight and occasional watering. New pads emerge from the edges of older pads, creating an interesting branching pattern.
## Watering
- **Frequency:** Water once every two weeks depending on season and weather conditions. During the hot summer months, you may need to water slightly more often, while in winter, watering can be reduced to once a month or even less.
- **Tips:** Always allow the soil to dry out completely between waterings. Overwatering is the most common cause of problems with cacti. Water at the base of the plant and avoid getting water on the pads. Use well-draining soil to prevent root rot. During monsoon season, reduce watering significantly or stop altogether if the plant is kept outdoors.
## Sunlight
- **Hours per day:** 6 to 8 hours
- **Type:** Direct sunlight is best. This cactus loves full sun and will thrive when placed in the brightest spot available. It can tolerate some bright indirect light but may grow slower and become leggy without adequate direct sun.
## Care Tips
- Place the cactus in the sunniest location available, such as a south-facing balcony or terrace
- Protect from excessive monsoon rain as too much moisture can cause rot
- During summer, the plant can handle extreme heat typical of Indian summers (up to 45Â°C)
- In winter, bring indoors if temperatures drop below 10Â°C in your area
- Remove any dead or dried pads to maintain plant health
- Wear thick gloves when handling as the spines can be painful
## Growth Tips
- Use a cactus or succulent potting mix with excellent drainage, or add sand and perlite to regular soil
- Feed with a diluted cactus fertilizer once during the growing season (spring or early summer)
- Repot every 2-3 years in spring when the plant outgrows its container
- Choose a terracotta or clay pot for better moisture control
- Propagation is easy â€“ simply cut a pad, let it dry for a week, then plant in dry soil
- The plant may produce beautiful yellow, orange, or pink flowers in summer if given proper care
## Common Problems
- **Yellowing pads:** Usually caused by overwatering or poor drainage. Reduce watering frequency and check soil drainage.
- **Soft, mushy pads:** Sign of root rot from too much moisture. Stop watering immediately and remove affected pads.
- **Shriveled or wrinkled pads:** Underwatering. Give the plant a thorough drink and adjust watering schedule.
- **Leggy growth:** Insufficient sunlight. Move to a brighter location with more direct sun.
- **Mealybugs and scale insects:** White cottony masses or brown bumps on pads. Remove with cotton swabs dipped in rubbing alcohol.
- **Fungal spots:** Dark spots on pads caused by excess humidity and poor air circulation. Improve ventilation and reduce watering.</t>
        </is>
      </c>
      <c r="V179" s="98">
        <f>HYPERLINK("https://rosaryplanthouse.com/plant/"&amp;A179&amp;"-"&amp;SUBSTITUTE(LOWER(E179), " ", "-"))</f>
        <v/>
      </c>
      <c r="W179" t="inlineStr">
        <is>
          <t>🟢 Opuntia monacantha (ID: 178)
🌵 Get ready to welcome the stunning Tree Cactus into your plant family! This unique beauty, also known as the Prickly Pear Cactus, is perfect for both beginners and seasoned gardeners. Its flat, paddle-shaped pads and low-maintenance needs make it an ideal addition to any sunny space! 
✨ **About this Cactus:** Originating from the sun-soaked regions of South America, the Opuntia monacantha thrives in high sunlight and requires minimal watering. It's not just a delightful aesthetic; it’s a survivor, adapting beautifully to arid conditions.
🌞 **Key Care Details:**
- **Sunlight:** Loves direct sun (6-8 hours daily)
- **Watering:** Every 2 weeks, let soil dry completely
- **Humidity:** Prefers low to moderate levels
🌱 Ready to add this gorgeous plant to your collection? Find out more and get yours today! Link in bio. 
#TreeCactus #OpuntiaMonacantha #CactusLove #PlantParenthood #IndoorPlants #Succulent #PlantCare #GreenThumb #CactusCollection #RosaryPlantHouse #HomeDecor #PlantAddict #CactusClub 🌵✨</t>
        </is>
      </c>
    </row>
    <row r="180" ht="99.5" customHeight="1">
      <c r="A180" s="73" t="n">
        <v>179</v>
      </c>
      <c r="B180" s="74" t="inlineStr">
        <is>
          <t>Jade (Big)</t>
        </is>
      </c>
      <c r="C180" s="74">
        <f>IF(Local!H180,"1","0")</f>
        <v/>
      </c>
      <c r="D180" s="75" t="n">
        <v>79</v>
      </c>
      <c r="E180" s="66" t="inlineStr">
        <is>
          <t>Crassula ovata</t>
        </is>
      </c>
      <c r="F180" s="76">
        <f>"public/sale_plants/"&amp;A180&amp;".jpg"</f>
        <v/>
      </c>
      <c r="G180" s="77" t="inlineStr">
        <is>
          <t>(5"-6")</t>
        </is>
      </c>
      <c r="H180" s="78" t="inlineStr">
        <is>
          <t>Moderate</t>
        </is>
      </c>
      <c r="I180" s="66" t="inlineStr">
        <is>
          <t>Low</t>
        </is>
      </c>
      <c r="J180" s="66" t="inlineStr">
        <is>
          <t>Medium</t>
        </is>
      </c>
      <c r="K180" s="79" t="n">
        <v>99</v>
      </c>
      <c r="L180" s="80" t="inlineStr">
        <is>
          <t>Jade</t>
        </is>
      </c>
      <c r="M180" s="80" t="n">
        <v>1</v>
      </c>
      <c r="N180" s="80" t="n">
        <v>0</v>
      </c>
      <c r="O180" s="81" t="n">
        <v>0</v>
      </c>
      <c r="P180" s="80" t="n">
        <v>1</v>
      </c>
      <c r="Q180" s="81">
        <f>IF(Local!I180=TRUE,1,0)</f>
        <v/>
      </c>
      <c r="R180" s="81">
        <f>Local!D180</f>
        <v/>
      </c>
      <c r="S180" s="81">
        <f>Local!F180</f>
        <v/>
      </c>
      <c r="T180" s="81">
        <f>Local!G180</f>
        <v/>
      </c>
      <c r="U180" s="83" t="inlineStr">
        <is>
          <t>## About
The Jade Plant, also known as the Money Plant or Lucky Plant, is a popular succulent with thick, woody stems and glossy, rounded green leaves. Native to South Africa, this plant is widely grown in India and around the world for its beauty, low maintenance needs, and association with good luck and prosperity.
## Origin
Crassula ovata is native to the Eastern Cape and KwaZulu-Natal provinces of South Africa. It grows naturally in rocky, well-drained areas with warm temperatures and occasional rainfall. The plant has been cultivated worldwide and is especially popular in Asia for its cultural significance.
## Temperature &amp; Humidity
- **Temperature Range:** 15Â°C to 35Â°C
- **Humidity:** Low to moderate humidity (30% to 50%). The Jade Plant tolerates dry air very well and thrives in typical Indian indoor and outdoor conditions. It does well in both humid coastal regions and drier inland areas.
## Growth
The Jade Plant is a slow to moderate grower that can reach heights of 30 cm to 90 cm or more over several years. With proper care and age, it can grow into a small tree-like form up to 1.5 meters tall. The plant develops a thick, woody trunk and branches as it matures, giving it a bonsai-like appearance. The fleshy, oval leaves are typically 3-5 cm long and store water, making the plant drought-tolerant. Growth is more active during spring and summer months.
## Watering
- **Frequency:** Once every 10-14 days depending on season and weather conditions. Water less frequently during monsoon and winter, and slightly more during hot summer months.
- **Tips:** Allow the soil to dry completely between waterings. Overwatering is the most common cause of problems with Jade Plants. Water thoroughly until water drains from the bottom, then allow the pot to drain completely. Reduce watering during the cooler months (November to February). The thick leaves store water, so the plant can survive extended dry periods.
## Sunlight
- **Hours per day:** 4 to 6 hours
- **Type:** Bright indirect light or a few hours of direct morning sunlight. The plant can tolerate some direct sun, especially morning sun, but protect from harsh afternoon sun during peak summer (April-June) which can scorch the leaves. In lower light, the plant will survive but may become leggy and lose its compact form.
## Care Tips
- Keep the plant in a well-ventilated area to prevent fungal issues, especially during monsoon season
- Wipe the leaves occasionally with a damp cloth to remove dust and allow better photosynthesis
- Protect from heavy rain during monsoon as waterlogged soil can cause root rot
- The plant tolerates Indian summers well but provide some afternoon shade in extreme heat
- During winter (December-January), keep the plant slightly dry and protect from cold drafts if temperatures drop below 10Â°C
- Jade Plants respond well to outdoor placement but can also thrive indoors near bright windows
## Growth Tips
- Use a well-draining succulent or cactus potting mix, or prepare your own using regular potting soil mixed with cocopeat, perlite, and sand in equal parts
- Add a layer of small stones or gravel at the bottom of the pot for extra drainage
- Feed with a balanced liquid fertilizer diluted to half strength once every 2-3 months during the growing season (March to October)
- Avoid fertilizing during winter dormancy period
- Repot every 2-3 years in spring, using a pot only slightly larger than the previous one
- Jade Plants prefer being slightly root-bound and bloom better when not over-potted
- Prune lightly to maintain shape and encourage bushier growth
## Common Problems
- **Soft, mushy leaves or stems:** Caused by overwatering or root rot. Reduce watering frequency immediately and check roots for rot
- **Wrinkled, shriveled leaves:** Underwatering. While drought-tolerant, the plant still needs regular watering. Water thoroughly and resume regular schedule
- **Leaf drop:** Can be caused by sudden changes in environment, overwatering, or cold stress. Keep conditions stable
- **Leggy growth with spaces between leaves:** Insufficient light. Move to a brighter location
- **Black spots on leaves:** Fungal disease from excess moisture and poor ventilation. Remove affected leaves and improve air circulation
- **Mealybugs (white cottony masses):** Common pest on Jade Plants. Wipe with alcohol-soaked cotton or spray with neem oil solution
- **Red or yellow leaves:** May indicate too much direct sun. Provide filtered light during peak afternoon hours</t>
        </is>
      </c>
      <c r="V180" s="98">
        <f>HYPERLINK("https://rosaryplanthouse.com/plant/"&amp;A180&amp;"-"&amp;SUBSTITUTE(LOWER(E180), " ", "-"))</f>
        <v/>
      </c>
      <c r="W180" t="inlineStr">
        <is>
          <t>🟢 Crassula ovata (ID: 179)
🌱 Looking for a touch of good luck in your home? Meet the stunning Jade Plant, also known as the Money Plant! This succulent beauty is not only a symbol of prosperity but also a low-maintenance gem that thrives in various indoor settings. 
✨ With its glossy, rounded leaves and thick, woody stems, the Jade Plant is perfect for bringing life to your space while requiring minimal care. It's the ideal companion for both plant novices and seasoned green thumbs alike!
🌞 **Key Details:**
- **Watering:** Low; let the soil dry completely between waterings.
- **Sunlight:** Medium; enjoys bright indirect light or some morning sun.
- **Growth:** Slow to moderate; can develop a charming bonsai-like appearance over time.
🌿 Ready to invite this lucky charm into your home? 🌿 Check out the details and make it yours! Link in bio.
#JadePlant #CrassulaOvata #PlantLove #HomeDecor #IndoorPlants #SucculentCare #PlantsOfInstagram #PlantParent #GreenThumb #PlantGoals #LuckyPlant #RosaryPlantHouse</t>
        </is>
      </c>
    </row>
    <row r="181" ht="99.5" customHeight="1">
      <c r="A181" s="73" t="n">
        <v>180</v>
      </c>
      <c r="B181" s="74" t="inlineStr">
        <is>
          <t>Fingure Succulent (Big)</t>
        </is>
      </c>
      <c r="C181" s="74">
        <f>IF(Local!H181,"1","0")</f>
        <v/>
      </c>
      <c r="D181" s="75" t="n">
        <v>89</v>
      </c>
      <c r="E181" s="66" t="inlineStr">
        <is>
          <t>Sedum pachyphyllum</t>
        </is>
      </c>
      <c r="F181" s="76">
        <f>"public/sale_plants/"&amp;A181&amp;".jpg"</f>
        <v/>
      </c>
      <c r="G181" s="77" t="inlineStr">
        <is>
          <t>(5"-6")</t>
        </is>
      </c>
      <c r="H181" s="78" t="inlineStr">
        <is>
          <t>High</t>
        </is>
      </c>
      <c r="I181" s="66" t="inlineStr">
        <is>
          <t>Low</t>
        </is>
      </c>
      <c r="J181" s="66" t="inlineStr">
        <is>
          <t>High</t>
        </is>
      </c>
      <c r="K181" s="79" t="n">
        <v>99</v>
      </c>
      <c r="L181" s="80" t="inlineStr">
        <is>
          <t>Succulent</t>
        </is>
      </c>
      <c r="M181" s="80" t="n">
        <v>1</v>
      </c>
      <c r="N181" s="80" t="n">
        <v>0</v>
      </c>
      <c r="O181" s="81" t="n">
        <v>0</v>
      </c>
      <c r="P181" s="81" t="n">
        <v>0</v>
      </c>
      <c r="Q181" s="81">
        <f>IF(Local!I181=TRUE,1,0)</f>
        <v/>
      </c>
      <c r="R181" s="81">
        <f>Local!D181</f>
        <v/>
      </c>
      <c r="S181" s="81">
        <f>Local!F181</f>
        <v/>
      </c>
      <c r="T181" s="81">
        <f>Local!G181</f>
        <v/>
      </c>
      <c r="U181" s="82" t="inlineStr">
        <is>
          <t>## About
The Jelly Bean Plant is a beautiful succulent known for its plump, finger-like leaves that look like colorful jelly beans. The leaves are green with pinkish-red tips that become more vibrant in bright sunlight. This easy-to-grow plant is perfect for beginners and adds a cheerful touch to any garden or indoor space.
## Origin
Sedum pachyphyllum is native to Mexico, particularly the regions of Oaxaca and Veracruz. It grows naturally in rocky, dry areas where it receives plenty of sunlight and has adapted to survive with minimal water.
## Temperature &amp; Humidity
- **Temperature Range:** 15Â°C to 35Â°C
- **Humidity:** Low to moderate humidity (30% to 50%). This plant does well in dry conditions and can tolerate the hot, dry summers common in many parts of India. It can survive brief cold spells but should be protected from frost.
## Growth
The Jelly Bean Plant grows in a compact, upright manner, forming rosettes at the ends of its stems. It typically reaches 15 to 30 cm in height and spreads about 20 to 30 cm wide. Growth is moderate to slow, especially during cooler months. The plant branches naturally and creates an attractive, bushy appearance over time.
## Watering
- **Frequency:** Once every 10-14 days depending on season and weather conditions. Water less frequently during monsoon and winter.
- **Tips:** Always allow the soil to dry out completely between waterings. Water thoroughly until excess drains from the bottom, but never let the plant sit in standing water. During the rainy season, reduce watering or stop completely if the plant is outdoors. Overwatering is the most common cause of problems with this plant.
## Sunlight
- **Hours per day:** 4 to 6 hours
- **Type:** Direct sunlight is best. The plant can tolerate bright indirect light but the characteristic pinkish-red tips will be most vibrant with direct sun exposure. Morning sunlight is ideal in very hot climates to prevent leaf burn.
## Care Tips
- Place in a spot that gets plenty of morning sun, especially during cooler months
- During peak summer (April-June), provide some afternoon shade if temperatures exceed 40Â°C
- Bring indoors or provide shelter during heavy monsoon rains to prevent root rot
- Remove dead or dried leaves from the base to maintain plant health
- The red tips are a sign of good sun exposure and plant stress (the good kind!)
- Works beautifully in terracotta pots which help excess moisture evaporate quickly
- Ideal for terrace gardens, balconies, and sunny windowsills
## Growth Tips
- Use well-draining soil mix: 50% regular potting soil + 30% coarse sand + 20% perlite or pumice
- Add a layer of small stones or gravel at the pot bottom for drainage
- Fertilize once every 2-3 months during growing season (spring and autumn) with diluted succulent fertilizer
- Avoid fertilizing during monsoon and winter
- Repot every 2-3 years in spring when the plant outgrows its container
- Propagate easily from leaf cuttings or stem cuttings - let them dry for 2-3 days before planting
- Pinch off growing tips to encourage bushier growth
## Common Problems
- **Wrinkled, shriveled leaves:** Underwatering - the plant needs a drink
- **Soft, mushy leaves or black spots:** Overwatering or fungal infection due to excess moisture
- **Leggy, stretched growth:** Not enough sunlight - move to a brighter location
- **Leaves losing red tips and staying all green:** Insufficient direct sunlight
- **Mealybugs (white cottony spots):** Common pest - remove with cotton swab dipped in rubbing alcohol
- **Root rot:** Caused by poor drainage or overwatering - use well-draining soil and reduce watering
- **Leaf drop:** Normal for older lower leaves, but excessive drop indicates watering issues or pest problems</t>
        </is>
      </c>
      <c r="V181" s="98">
        <f>HYPERLINK("https://rosaryplanthouse.com/plant/"&amp;A181&amp;"-"&amp;SUBSTITUTE(LOWER(E181), " ", "-"))</f>
        <v/>
      </c>
      <c r="W181" t="inlineStr">
        <is>
          <t>🟢 Sedum Pachyphyllum (ID: 180)  
🌟 Get ready to add a pop of color to your space with the delightful **Jelly Bean Plant**! 🌈 
This charming succulent is known for its plump, finger-like leaves that resemble colorful jelly beans, featuring vibrant green hues with pinkish-red tips that shine in bright sunlight. Perfect for beginners, this low-maintenance beauty thrives in sunny spots and brings a cheerful touch to any garden or indoor area! 🌞🌱
**Key Details:**  
- 🌿 **Watering:** Low - every 10-14 days  
- ☀️ **Sunlight:** High - 4 to 6 hours of direct sunlight for vibrant colors  
- 🌍 **Origin:** Native to the sunny regions of Mexico  
- 🌡️ **Temperature:** Thrives between 15°C to 35°C  
Don't wait! Transform your home with this stunning succulent. **Link in bio** for more details!  
#JellyBeanPlant #SucculentLove #SedumPachyphyllum #PlantParenthood #IndoorPlants #SucculentCare #GreenThumb #PlantAddict #Houseplants #PlantLover #GardeningJoy #RosaryPlantHouse 🌿✨</t>
        </is>
      </c>
    </row>
    <row r="182" ht="99.5" customHeight="1">
      <c r="A182" s="73" t="n">
        <v>181</v>
      </c>
      <c r="B182" s="74" t="inlineStr">
        <is>
          <t>Sun Sedum (Big)</t>
        </is>
      </c>
      <c r="C182" s="74">
        <f>IF(Local!H182,"1","0")</f>
        <v/>
      </c>
      <c r="D182" s="75" t="n">
        <v>79</v>
      </c>
      <c r="E182" s="66" t="inlineStr">
        <is>
          <t>Graptopetalum paraguayense</t>
        </is>
      </c>
      <c r="F182" s="76">
        <f>"public/sale_plants/"&amp;A182&amp;".jpg"</f>
        <v/>
      </c>
      <c r="G182" s="77" t="inlineStr">
        <is>
          <t>(5"-6")</t>
        </is>
      </c>
      <c r="H182" s="78" t="inlineStr">
        <is>
          <t>High</t>
        </is>
      </c>
      <c r="I182" s="66" t="inlineStr">
        <is>
          <t>Low</t>
        </is>
      </c>
      <c r="J182" s="66" t="inlineStr">
        <is>
          <t>High</t>
        </is>
      </c>
      <c r="K182" s="79" t="n">
        <v>99</v>
      </c>
      <c r="L182" s="80" t="inlineStr">
        <is>
          <t>Succulent</t>
        </is>
      </c>
      <c r="M182" s="80" t="n">
        <v>1</v>
      </c>
      <c r="N182" s="80" t="n">
        <v>0</v>
      </c>
      <c r="O182" s="81" t="n">
        <v>0</v>
      </c>
      <c r="P182" s="80" t="n">
        <v>0</v>
      </c>
      <c r="Q182" s="81">
        <f>IF(Local!I182=TRUE,1,0)</f>
        <v/>
      </c>
      <c r="R182" s="81">
        <f>Local!D182</f>
        <v/>
      </c>
      <c r="S182" s="81">
        <f>Local!F182</f>
        <v/>
      </c>
      <c r="T182" s="81">
        <f>Local!G182</f>
        <v/>
      </c>
      <c r="U182" s="83" t="inlineStr">
        <is>
          <t>## About
The Ghost Plant is a beautiful succulent with thick, fleshy leaves that form rosettes. The leaves have a lovely pale green to grayish-blue color with hints of pink or yellow on the edges, giving it a ghostly appearance. This easy-to-grow plant is perfect for beginners and adds charm to any garden or indoor space.
## Origin
This succulent originally comes from Mexico, particularly from the states of Veracruz and Hidalgo. It grows naturally in rocky areas and mountain slopes where it gets plenty of sunlight. Despite its name "paraguayense," it does not actually come from Paraguay. The plant thrives in dry, warm conditions similar to its native habitat.
## Temperature &amp; Humidity
- **Temperature Range:** 15Â°C to 35Â°C (can tolerate up to 40Â°C in Indian summers)
- **Humidity:** Low to moderate humidity (30% to 50%). This plant prefers dry conditions and does not need high humidity. It adapts well to the dry climate of many Indian regions but can also survive in more humid coastal areas if drainage is excellent.
## Growth
The Ghost Plant is a moderate to fast-growing succulent. Each rosette can grow 7 to 15 cm wide and about 10 to 20 cm tall. The plant produces offsets (baby plants) easily from the base and from fallen leaves, creating clusters over time. It has a trailing or sprawling growth habit, which means stems can grow long and hang downward, though the rosettes themselves stay upright. In Indian conditions, it grows actively during cooler months (October to March) and slows down during extreme summer heat.
## Watering
- **Frequency:** Once every 10-15 days depending on season and weather conditions. Water more often (once a week) during active growing season (winter and spring) and less during summer heat and monsoon.
- **Tips:** Always check if the soil is completely dry before watering. Water deeply until it drains out from the bottom, then let the soil dry completely. Reduce watering during monsoon season to prevent root rot. The leaves will become slightly wrinkled when the plant needs water. Avoid getting water on the leaves as it can wash away the protective coating.
## Sunlight
- **Hours per day:** 4 to 6 hours
- **Type:** Direct morning sunlight is ideal. Can handle direct afternoon sun but may need some shade during peak Indian summer (April-June) when temperatures exceed 38Â°C. Bright indirect light works well for indoor plants near south or west-facing windows.
## Care Tips
- Protect from heavy monsoon rains by moving to a covered area or ensure excellent drainage
- The powdery coating on leaves (called farina) protects the plant from sun - avoid touching or washing it off
- Can tolerate Indian summer heat well but provide afternoon shade in extremely hot regions
- Keep away from frost in northern India during winter nights (below 10Â°C)
- Good air circulation is important, especially in humid climates
- Clean fallen leaves regularly to prevent pest problems
## Growth Tips
- Use well-draining cactus or succulent soil mix (50% regular soil + 30% cocopeat + 20% perlite or sand)
- Add a handful of neem cake to the soil to prevent pest attacks
- Terra cotta or clay pots work best as they allow soil to dry faster
- Fertilize once a month during growing season (October to March) with diluted liquid succulent fertilizer or half-strength general fertilizer
- Repot every 2-3 years or when the plant outgrows its container
- Propagate easily from leaf cuttings or offsets - just place them on soil and they will root
## Common Problems
- **Leaf drop:** Usually due to overwatering or poor drainage - reduce watering frequency
- **Stretching (etiolation):** Not enough sunlight - move to brighter location
- **Brown or black spots:** Fungal infection from excess moisture or poor air circulation
- **Mealy bugs:** White cottony pests on leaves - wipe with neem oil solution
- **Shriveled leaves:** Underwatering - increase watering slightly
- **Root rot:** Overwatering or waterlogged soil during monsoon - improve drainage and reduce watering
- **Sunburn:** Brown or white patches from too much intense afternoon sun - provide shade during peak hours</t>
        </is>
      </c>
      <c r="V182" s="98">
        <f>HYPERLINK("https://rosaryplanthouse.com/plant/"&amp;A182&amp;"-"&amp;SUBSTITUTE(LOWER(E182), " ", "-"))</f>
        <v/>
      </c>
      <c r="W182" t="inlineStr">
        <is>
          <t>🟢 Sun Sedum (ID: 181)
🌞 Embrace the beauty of the Sun Sedum, a stunning succulent that brings a touch of the desert to your home! 
Known scientifically as Graptopetalum paraguayense, this charming plant features thick, fleshy leaves that form delightful rosettes, showcasing a mesmerizing pale green to grayish-blue hue with delicate pink and yellow edges. Perfect for both beginners and seasoned plant enthusiasts, it adds character to any garden or indoor space. 
🌱 **Key Details:**
- **Watering:** Low maintenance, water every 10-15 days.
- **Sunlight:** Thrives in bright, direct sunlight for 4-6 hours daily.
- **Growth:** Fast-growing and produces adorable offsets, creating beautiful clusters over time.
👉 Ready to bring the ghostly charm of the Sun Sedum into your life? **Link in bio!**
#SunSedum #Graptopetalum #SucculentLove #PlantAddict #IndoorPlants #GardenGoals #HouseplantClub #SucculentCare #RosaryPlantHouse #PlantParenthood #DesertBeauty #GreenThumb #PlantLovers #SucculentCollection #HomeDecor #NatureLovers</t>
        </is>
      </c>
    </row>
    <row r="183" ht="99.5" customHeight="1">
      <c r="A183" s="73" t="n">
        <v>182</v>
      </c>
      <c r="B183" s="74" t="inlineStr">
        <is>
          <t>jelly bean (Big)</t>
        </is>
      </c>
      <c r="C183" s="74">
        <f>IF(Local!H183,"1","0")</f>
        <v/>
      </c>
      <c r="D183" s="75" t="n">
        <v>120</v>
      </c>
      <c r="E183" s="66" t="inlineStr">
        <is>
          <t>Sedum rubrotinctum</t>
        </is>
      </c>
      <c r="F183" s="76">
        <f>"public/sale_plants/"&amp;A183&amp;".jpg"</f>
        <v/>
      </c>
      <c r="G183" s="77" t="inlineStr">
        <is>
          <t>(5"-6")</t>
        </is>
      </c>
      <c r="H183" s="78" t="inlineStr">
        <is>
          <t>High</t>
        </is>
      </c>
      <c r="I183" s="66" t="inlineStr">
        <is>
          <t>Low</t>
        </is>
      </c>
      <c r="J183" s="66" t="inlineStr">
        <is>
          <t>High</t>
        </is>
      </c>
      <c r="K183" s="79" t="n">
        <v>99</v>
      </c>
      <c r="L183" s="80" t="inlineStr">
        <is>
          <t>Succulent</t>
        </is>
      </c>
      <c r="M183" s="80" t="n">
        <v>1</v>
      </c>
      <c r="N183" s="80" t="n">
        <v>0</v>
      </c>
      <c r="O183" s="81" t="n">
        <v>0</v>
      </c>
      <c r="P183" s="80" t="n">
        <v>0</v>
      </c>
      <c r="Q183" s="81">
        <f>IF(Local!I183=TRUE,1,0)</f>
        <v/>
      </c>
      <c r="R183" s="81">
        <f>Local!D183</f>
        <v/>
      </c>
      <c r="S183" s="81">
        <f>Local!F183</f>
        <v/>
      </c>
      <c r="T183" s="81">
        <f>Local!G183</f>
        <v/>
      </c>
      <c r="U183" s="83" t="inlineStr">
        <is>
          <t>## About
The Jelly Bean Plant is a charming succulent with plump, bean-shaped leaves that look like tiny jelly beans clustered on stems. Native to Mexico, this plant gets its name from its chubby green leaves that turn beautiful shades of red and pink when exposed to bright sunlight or stress conditions.
## Origin
Sedum rubrotinctum originates from Mexico and belongs to the Crassulaceae family. In its natural habitat, it grows in rocky, well-draining areas with plenty of sunshine. The plant has become popular worldwide as an easy-to-grow ornamental succulent.
## Temperature &amp; Humidity
- **Temperature Range:** 15Â°C to 35Â°C (can tolerate up to 40Â°C in Indian summers)
- **Humidity:** Low to moderate humidity (30% to 50%). This plant adapts well to dry conditions and does not need high humidity. It thrives in most Indian climate zones except extremely humid coastal areas with poor air circulation.
## Growth
The Jelly Bean Plant is a small, compact succulent that typically grows 15 to 20 cm tall and spreads about 30 cm wide. It has a trailing to spreading growth habit with multiple stems that cascade gently. Growth is moderate during spring and summer, and the plant enters a semi-dormant phase during winter. The leaves are tightly packed along the stems, creating dense clusters.
## Watering
- **Frequency:** Once every 10-14 days depending on season and weather conditions. During monsoon, reduce watering significantly. In hot summer months, you may water once a week depending on other parameters.
- **Tips:** Always water deeply but allow the soil to dry completely between waterings. Water at the base of the plant, avoiding the leaves. Reduce watering during winter and rainy season. Overwatering is the biggest threat to this plant. If leaves start falling off easily or become translucent, you are overwatering.
## Sunlight
- **Hours per day:** 4 to 6 hours of direct sunlight
- **Type:** Direct sunlight preferred, especially morning sun. The plant develops its beautiful red and pink coloration when it receives adequate direct sunlight. Can tolerate bright indirect light but will remain mostly green and may become leggy.
## Care Tips
- **Stress coloring:** To get the beautiful red-pink coloration, expose the plant to bright direct sunlight and slightly reduce watering frequency.
- **Indian summers:** The plant handles Indian summer heat very well. Just ensure it gets morning sun rather than harsh afternoon sun in peak summer (April-May).
- **Monsoon care:** Keep the plant under a roof or shelter during heavy monsoon rains. Excessive moisture can cause root rot.
- **Winter care:** Perfect time for this plant in most parts of India. Reduce watering and provide maximum sunlight.
- **Propagation:** Extremely easy to propagate from fallen leaves or stem cuttings. Even dropped leaves will root easily.
## Growth Tips
- **Soil:** Use a well-draining cactus or succulent mix. You can make your own by mixing regular potting soil with cocopeat and perlite or sand in equal parts.
- **Fertilizer:** Feed once every 2-3 months during growing season (spring and autumn) with diluted succulent fertilizer. Avoid fertilizing in summer and winter.
- **Repotting:** Repot every 2 years or when the plant outgrows its container. Use a pot with drainage holes.
- **Container:** Terracotta pots work best as they allow soil to dry faster and prevent waterlogging.
## Common Problems
- **Leaf drop:** Usually caused by overwatering or poor drainage. Ensure soil dries between waterings.
- **Leggy growth:** Insufficient sunlight causes stems to stretch and spacing between leaves increases. Move to a brighter location.
- **Root rot:** Black, mushy stems and roots indicate overwatering or poorly draining soil. Remove affected parts and repot in fresh soil.
- **Mealybugs:** White cottony insects may appear in leaf joints. Remove with cotton swabs dipped in rubbing alcohol.
- **Shriveled leaves:** Underwatering or extreme heat stress. Water thoroughly and provide some afternoon shade during peak summer.
- **Brown, crispy leaves:** Too much harsh direct sun, especially afternoon sun in Indian summer. Provide filtered light during hottest hours.</t>
        </is>
      </c>
      <c r="V183" s="98">
        <f>HYPERLINK("https://rosaryplanthouse.com/plant/"&amp;A183&amp;"-"&amp;SUBSTITUTE(LOWER(E183), " ", "-"))</f>
        <v/>
      </c>
      <c r="W183" t="inlineStr">
        <is>
          <t>🟢 Sedum rubrotinctum (ID: 182)  
🌱✨ Meet the Jelly Bean Plant! 🍬✨ A delightful succulent that brings charm and character to any space with its plump, bean-shaped leaves! This little beauty, native to Mexico, transforms into a stunning array of red and pink hues when basked in sunlight. 🌞💖
🌿 **About the Jelly Bean Plant:**  
A compact plant that thrives in bright light, the Jelly Bean is perfect for both novice and seasoned plant lovers! Its easy-going nature and unique appearance make it a must-have for your collection. 
🔑 **Key Details:**  
- **Watering:** Low; just once every 10-14 days 🌧️  
- **Sunlight:** 4-6 hours of direct sunlight for vibrant color ☀️  
- **Care Tips:** Perfect for Indian summers; reduce watering in monsoon 🌧️  
- **Propagation:** Super easy from fallen leaves! 🌱  
👉 Ready to add this charming succulent to your plant family? Check out the link in bio!  
#JellyBeanPlant #SucculentLove #SedumRubrotinctum #PlantParenthood #IndoorPlants #SucculentCare #PlantLovers #GreenThumb #HomeDecor #RosaryPlantHouse #PlantOfTheDay #GardeningJoy #PlantsMakePeopleHappy</t>
        </is>
      </c>
    </row>
    <row r="184" ht="99.5" customHeight="1">
      <c r="A184" s="73" t="n">
        <v>183</v>
      </c>
      <c r="B184" s="74" t="inlineStr">
        <is>
          <t>yellow sun (Big)</t>
        </is>
      </c>
      <c r="C184" s="74">
        <f>IF(Local!H184,"1","0")</f>
        <v/>
      </c>
      <c r="D184" s="75" t="n">
        <v>89</v>
      </c>
      <c r="E184" s="66" t="inlineStr">
        <is>
          <t>Sedum nussbaumerianum</t>
        </is>
      </c>
      <c r="F184" s="76">
        <f>"public/sale_plants/"&amp;A184&amp;".jpg"</f>
        <v/>
      </c>
      <c r="G184" s="77" t="inlineStr">
        <is>
          <t>(5"-6")</t>
        </is>
      </c>
      <c r="H184" s="78" t="inlineStr">
        <is>
          <t>High</t>
        </is>
      </c>
      <c r="I184" s="66" t="inlineStr">
        <is>
          <t>Low</t>
        </is>
      </c>
      <c r="J184" s="66" t="inlineStr">
        <is>
          <t>High</t>
        </is>
      </c>
      <c r="K184" s="79" t="n">
        <v>99</v>
      </c>
      <c r="L184" s="80" t="inlineStr">
        <is>
          <t>Succulent</t>
        </is>
      </c>
      <c r="M184" s="80" t="n">
        <v>1</v>
      </c>
      <c r="N184" s="80" t="n">
        <v>0</v>
      </c>
      <c r="O184" s="81" t="n">
        <v>0</v>
      </c>
      <c r="P184" s="81" t="n">
        <v>0</v>
      </c>
      <c r="Q184" s="81">
        <f>IF(Local!I184=TRUE,1,0)</f>
        <v/>
      </c>
      <c r="R184" s="81">
        <f>Local!D184</f>
        <v/>
      </c>
      <c r="S184" s="81">
        <f>Local!F184</f>
        <v/>
      </c>
      <c r="T184" s="81">
        <f>Local!G184</f>
        <v/>
      </c>
      <c r="U184" s="83" t="inlineStr">
        <is>
          <t>## About
Sedum nussbaumerianum, commonly known as Coppertone Stonecrop, is a beautiful succulent with striking golden-orange to copper-colored leaves. This eye-catching plant gets its name from the warm metallic tones that develop on its fleshy leaves, especially when exposed to bright sunlight. Native to Mexico, it is a popular choice among succulent lovers in India.
## Origin
This plant originates from Mexico, where it grows naturally in warm, dry climates with plenty of sunshine. It is adapted to rocky, well-draining soil and can handle periods of drought, making it perfect for Indian conditions.
## Temperature &amp; Humidity
- **Temperature Range:** 15Â°C to 35Â°C (can tolerate up to 40Â°C in summer but prefers cooler nights)
- **Humidity:** Low to moderate humidity (30% to 50%). This plant does not like high humidity and thrives in dry conditions typical of many parts of India.
## Growth
Coppertone Stonecrop is a compact, rosette-forming succulent that can grow up to 20-30 cm in height and spread about 15-20 cm wide. It grows at a moderate pace and tends to form clumps over time. The plant may develop small offsets at the base, which can be separated for propagation. With proper sunlight, the leaves turn a vibrant coppery-orange color, while in shade they remain more green.
## Watering
- **Frequency:** Water once every two weeks depending on season and weather conditions. In the hot Indian summer, you may need to water once a week, while in monsoon and winter, reduce watering to once every three weeks or even less.
- **Tips:** Always check if the soil is completely dry before watering again. Water deeply but allow excess water to drain out completely. Avoid letting the plant sit in waterlogged soil, as this can cause root rot. Reduce watering significantly during the monsoon season.
## Sunlight
- **Hours per day:** 4 to 6 hours
- **Type:** Direct sunlight is ideal. The more direct sun this plant gets, the more intense its copper-orange coloration becomes. In very hot regions (above 40Â°C), provide some afternoon shade to prevent leaf scorch.
## Care Tips
- Best suited for outdoor placement in a sunny spot, but can be kept indoors near a bright south or west-facing window.
- The plant thrives in hot, dry Indian summers and needs minimal attention.
- Protect from heavy monsoon rains by moving to a covered area or ensuring excellent drainage.
- In winter, reduce watering as the plant goes into a semi-dormant state.
- Clean dust off leaves occasionally to help the plant absorb maximum sunlight.
- Use terracotta or clay pots for better air circulation and drainage.
## Growth Tips
- **Soil:** Use a well-draining cactus or succulent mix. You can make your own by mixing regular potting soil with coarse sand and perlite in equal parts.
- **Fertilizer:** Feed with a diluted liquid succulent fertilizer once a month during the growing season (spring and early summer). Avoid fertilizing in monsoon and winter.
- **Repotting:** Repot every 2 to 3 years or when the plant outgrows its pot. Spring is the best time for repotting.
- **Propagation:** Easily propagated from leaf cuttings or stem cuttings. Let cuttings dry for a day or two before planting in dry soil.
## Common Problems
- **Leaf drop or soft leaves:** Usually caused by overwatering or poor drainage. Let the soil dry out completely between waterings.
- **Pale or green leaves:** Not enough sunlight. Move the plant to a brighter location.
- **Stretched or leggy growth:** Lack of sufficient light causes the plant to stretch toward the light source. Increase sun exposure.
- **Root rot:** Caused by waterlogged soil or overwatering, especially during monsoon. Ensure pots have drainage holes.
- **Mealybugs and aphids:** These pests can appear, especially in humid conditions. Remove manually or spray with neem oil solution.
- **Brown, crispy leaf tips:** May indicate sunburn in extreme heat above 42Â°C or underwatering in peak summer. Adjust watering and provide light afternoon shade if needed.</t>
        </is>
      </c>
      <c r="V184" s="98">
        <f>HYPERLINK("https://rosaryplanthouse.com/plant/"&amp;A184&amp;"-"&amp;SUBSTITUTE(LOWER(E184), " ", "-"))</f>
        <v/>
      </c>
      <c r="W184" t="inlineStr">
        <is>
          <t>🟢 Sedum nussbaumerianum (ID: 183)  
🌞 Bring the warmth of the sun to your home with the stunning Yellow Sun! This vibrant succulent captivates with its golden-orange leaves that shimmer in the sunlight, making it a perfect addition to any plant lover's collection.  
🌱 **About:** Native to Mexico, the Sedum nussbaumerianum, also known as Coppertone Stonecrop, thrives in bright conditions and low humidity, making it incredibly easy to care for! This compact beauty not only adds a splash of color but also requires minimal watering – perfect for busy plant parents.  
✨ **Key Details:**  
- **Watering:** Low – only every two weeks!  
- **Sunlight:** Thrives in 4-6 hours of direct light daily.  
- **Care:** Best placed outdoors in sunny spots or near a bright window.  
👉 Ready to add a touch of sunshine to your space? Check out the details on our website! Link in bio.  
#SedumNussbaumerianum #CoppertoneStonecrop #SucculentLove #PlantParent #HomeDecor #IndoorPlants #SucculentCare #PlantLovers #GreenThumb #RosaryPlantHouse #GardeningJoy #SanctuaryOfPlants #PlantAesthetic #SucculentCollection #HousePlantClub 🌿</t>
        </is>
      </c>
    </row>
    <row r="185" ht="99.5" customHeight="1">
      <c r="A185" s="73" t="n">
        <v>184</v>
      </c>
      <c r="B185" s="90" t="inlineStr">
        <is>
          <t>Black Prince (Big)</t>
        </is>
      </c>
      <c r="C185" s="74">
        <f>IF(Local!H185,"1","0")</f>
        <v/>
      </c>
      <c r="D185" s="75" t="n">
        <v>89</v>
      </c>
      <c r="E185" s="66" t="inlineStr">
        <is>
          <t>Echeveria 'Black Prince'</t>
        </is>
      </c>
      <c r="F185" s="76">
        <f>"public/sale_plants/"&amp;A185&amp;".jpg"</f>
        <v/>
      </c>
      <c r="G185" s="77" t="inlineStr">
        <is>
          <t>(5"-6")</t>
        </is>
      </c>
      <c r="H185" s="78" t="inlineStr">
        <is>
          <t>Moderate</t>
        </is>
      </c>
      <c r="I185" s="66" t="inlineStr">
        <is>
          <t>Low</t>
        </is>
      </c>
      <c r="J185" s="66" t="inlineStr">
        <is>
          <t>High</t>
        </is>
      </c>
      <c r="K185" s="79" t="n">
        <v>199</v>
      </c>
      <c r="L185" s="81" t="inlineStr">
        <is>
          <t>Echeveria</t>
        </is>
      </c>
      <c r="M185" s="80" t="n">
        <v>1</v>
      </c>
      <c r="N185" s="80" t="n">
        <v>0</v>
      </c>
      <c r="O185" s="81" t="n">
        <v>0</v>
      </c>
      <c r="P185" s="80" t="n">
        <v>0</v>
      </c>
      <c r="Q185" s="81">
        <f>IF(Local!I185=TRUE,1,0)</f>
        <v/>
      </c>
      <c r="R185" s="81">
        <f>Local!D185</f>
        <v/>
      </c>
      <c r="S185" s="81">
        <f>Local!F185</f>
        <v/>
      </c>
      <c r="T185" s="81">
        <f>Local!G185</f>
        <v/>
      </c>
      <c r="U185" s="83" t="inlineStr">
        <is>
          <t>## About
The **Black Prince Succulent** is a stunning rosette-forming succulent known for its dramatic dark purple to almost black leaves. This beautiful plant creates a rose-like appearance and is one of the most sought-after ornamental succulents for Indian homes and gardens. The plant gets its name from its rich, dark coloration that intensifies with proper sun exposure.
## Origin
Black Prince is a hybrid Echeveria that was developed through cultivation. It is believed to be a cross between Echeveria affinis and Echeveria shaviana. While its parent species originate from Mexico and Central America, this particular hybrid was created by plant breeders. It thrives in dry, arid conditions similar to its native Mexican ancestors.
## Temperature &amp; Humidity
- **Temperature Range:** 15Â°C to 35Â°C (ideal range is 18Â°C to 28Â°C)
- **Humidity:** Low to moderate humidity (30% to 50%). This succulent does well in dry conditions and can tolerate the hot, dry summers common in many parts of India. It may struggle during very humid monsoon seasons if not given proper drainage and air circulation.
## Growth
Black Prince is a slow to moderate-growing succulent that forms tight rosettes. Each rosette can grow to about 8-15 cm in diameter. The plant stays compact and low-growing, reaching only 10-15 cm in height. It produces offsets (baby plants) around the base, which can eventually form attractive clusters. The leaves are thick, fleshy, and triangular, arranged in perfect symmetry around the center. With adequate sunlight, the leaves develop their signature dark purple-black color with a subtle dusty coating.
## Watering
- **Frequency:** Once every 10-15 days during summer, and once every 3-4 weeks during winter and monsoon, depending on weather conditions and soil dryness.
- **Tips:** Always follow the "soak and dry" method. Water thoroughly until water drains from the bottom, then wait until the soil is completely dry before watering again. Check soil dryness by inserting your finger 2-3 cm deep. During monsoon season in India, reduce watering significantly as humidity is high. Avoid getting water on the leaves as it can wash away the protective coating and cause rot. Water early morning or evening, never during peak afternoon heat.
## Sunlight
- **Hours per day:** 4 to 6 hours
- **Type:** Direct sunlight is preferred, especially morning sun. The plant can tolerate some afternoon sun but may need protection from intense midday summer heat in very hot regions. Bright indirect light works too, but the dark coloration will be less intense. For indoor placement, choose a south or west-facing window.
## Care Tips
- Place the plant where it gets morning sunlight for best color development
- Protect from heavy monsoon rains as excessive moisture can cause root rot
- Use a well-draining pot with drainage holes - terracotta pots work excellently in Indian climate
- Avoid placing in areas with high humidity or poor air circulation
- During Indian summers (April-June), provide some afternoon shade if temperatures exceed 40Â°C
- The plant is drought-tolerant and prefers underwatering to overwatering
- Bring outdoor plants to covered areas during heavy rain
- Clean dust from leaves occasionally with a soft brush to maintain the natural coating
## Growth Tips
- Use a succulent or cactus potting mix, or create your own with 60% regular soil, 30% cocopeat, and 40% perlite or sand for excellent drainage
- Feed with a diluted liquid succulent fertilizer once every 2-3 months during growing season (spring and autumn)
- Repot every 2-3 years or when the plant outgrows its pot
- Use a pot only slightly larger than the current one to prevent overwatering issues
- The plant propagates easily from leaf cuttings or offsets
- Allow the leaves or offsets to dry for 2-3 days before planting in soil
- Best time to repot or propagate is during spring or early autumn in India
## Common Problems
- **Elongated, stretched growth (etiolation):** Caused by insufficient sunlight. Move to a brighter location
- **Root rot and mushy leaves:** Result of overwatering or poor drainage. Reduce watering frequency and improve soil drainage
- **Mealy bugs (white cottony patches):** Common pest in Indian climate. Remove with cotton swabs dipped in rubbing alcohol or neem oil solution
- **Pale or green leaves instead of dark purple:** Not getting enough sunlight. Increase sun exposure gradually
- **Leaf drop:** Can be caused by overwatering, underwatering, or extreme temperature changes
- **Brown, crispy leaf tips:** Usually due to underwatering or extremely hot, dry conditions. Increase watering slightly
- **Fungal infections during monsoon:** Ensure good air circulation and reduce watering during rainy season
- **Scale insects:** Small brown bumps on leaves. Treat with neem oil spray</t>
        </is>
      </c>
      <c r="V185" s="98">
        <f>HYPERLINK("https://rosaryplanthouse.com/plant/"&amp;A185&amp;"-"&amp;SUBSTITUTE(LOWER(E185), " ", "-"))</f>
        <v/>
      </c>
      <c r="W185" t="inlineStr">
        <is>
          <t>🟢 Echeveria 'Black Prince' (ID: 184)
🌟 Meet the stunning **Black Prince Succulent** – a true gem for your plant collection! With its dramatic dark purple to almost black leaves, this rosette-forming beauty is sure to captivate anyone who lays eyes on it! 🌿✨
🌱 **About**: The Black Prince is a hybrid Echeveria, lovingly bred from Echeveria affinis and Echeveria shaviana. Originating from the arid landscapes of Mexico, this succulent thrives in dry conditions and loves soaking up the sun! ☀️
📝 **Key Details**:
- 🌞 **Sunlight**: Prefers 4-6 hours of direct sunlight for that rich color.
- 💧 **Watering**: Low maintenance; water every 10-15 days in summer.
- 🌡️ **Temperature**: Thrives between 15°C to 35°C.
Ready to add this beauty to your home? 🌵 Click the **Link in bio** to shop now!
#Echeveria #BlackPrince #SucculentLove #PlantParent #HomeDecor #IndoorPlants #SucculentCare #PlantAddict #GreenThumb #RosaryPlantHouse #PlantGoals #SucculentCollection #GardeningJoy #PlantLovers #NatureHome</t>
        </is>
      </c>
    </row>
    <row r="186" ht="99.5" customHeight="1">
      <c r="A186" s="73" t="n">
        <v>185</v>
      </c>
      <c r="B186" s="90" t="inlineStr">
        <is>
          <t>creeping jade (Big)</t>
        </is>
      </c>
      <c r="C186" s="74">
        <f>IF(Local!H186,"1","0")</f>
        <v/>
      </c>
      <c r="D186" s="75" t="n">
        <v>120</v>
      </c>
      <c r="E186" s="66" t="inlineStr">
        <is>
          <t>Crassula ovata 'Crosby's Compact'</t>
        </is>
      </c>
      <c r="F186" s="76">
        <f>"public/sale_plants/"&amp;A186&amp;".jpg"</f>
        <v/>
      </c>
      <c r="G186" s="77" t="inlineStr">
        <is>
          <t>(5"-6")</t>
        </is>
      </c>
      <c r="H186" s="78" t="inlineStr">
        <is>
          <t>Low</t>
        </is>
      </c>
      <c r="I186" s="66" t="inlineStr">
        <is>
          <t>Low</t>
        </is>
      </c>
      <c r="J186" s="66" t="inlineStr">
        <is>
          <t>High</t>
        </is>
      </c>
      <c r="K186" s="79" t="n">
        <v>99</v>
      </c>
      <c r="L186" s="80" t="inlineStr">
        <is>
          <t>Jade</t>
        </is>
      </c>
      <c r="M186" s="80" t="n">
        <v>1</v>
      </c>
      <c r="N186" s="80" t="n">
        <v>1</v>
      </c>
      <c r="O186" s="81" t="n">
        <v>0</v>
      </c>
      <c r="P186" s="80" t="n">
        <v>0</v>
      </c>
      <c r="Q186" s="81">
        <f>IF(Local!I186=TRUE,1,0)</f>
        <v/>
      </c>
      <c r="R186" s="81">
        <f>Local!D186</f>
        <v/>
      </c>
      <c r="S186" s="81">
        <f>Local!F186</f>
        <v/>
      </c>
      <c r="T186" s="81">
        <f>Local!G186</f>
        <v/>
      </c>
      <c r="U186" s="83" t="inlineStr">
        <is>
          <t>## About
Creeping Jade is a beautiful trailing variety of jade plant with thick, round, spoon-shaped green leaves. Unlike the traditional upright jade plant, this variety grows horizontally and cascades down, making it perfect for hanging baskets and elevated planters. It is a hardy succulent that is very easy to care for and can tolerate neglect.
## Origin
This plant originates from South Africa and belongs to the Crassula family. It is adapted to dry, warm climates with rocky, well-draining soil. The plant has evolved to store water in its thick, fleshy leaves, which helps it survive long periods without water.
## Temperature &amp; Humidity
- **Temperature Range:** 15Â°C to 35Â°C
- **Humidity:** Low to moderate humidity (30% to 50%). This plant does well in typical Indian household conditions and does not require high humidity. It can tolerate the hot and dry summers found in most parts of India.
## Growth
Creeping Jade grows slowly to moderately and spreads outward rather than upward. Stems can grow up to 30 to 60 centimeters long, trailing beautifully over the edges of pots. The plant forms dense clusters of rounded, jade-green leaves along the stems. This makes it an attractive choice for hanging planters or tall pots where the stems can cascade down. Growth is more active during spring and summer months.
## Watering
- **Frequency:** Once every 10 to 14 days depending on season and weather conditions. Water more frequently during hot summer months and reduce watering in winter and monsoon.
- **Tips:** Always let the soil dry out completely between waterings. Overwatering is the most common mistake with jade plants and can lead to root rot. Water less during the monsoon season. Use the finger test â€“ stick your finger 2-3 centimeters into the soil, and water only if it feels completely dry. Water early in the morning to allow excess moisture to evaporate.
## Sunlight
- **Hours per day:** 4 to 6 hours
- **Type:** Direct sunlight is best, though it can tolerate bright indirect light. The plant develops its best color and compact growth when exposed to plenty of sunlight. In Indian conditions, morning sunlight is ideal. Avoid harsh afternoon sun during peak summer (especially in North India) as it can scorch the leaves.
## Care Tips
- **Perfect for Indian climate:** This plant loves the warm, dry weather found in most parts of India.
- **Ideal for beginners:** Very forgiving and low-maintenance.
- **Rotate the plant:** Turn the pot every few weeks so all sides receive equal sunlight.
- **Prune occasionally:** Trim leggy stems to encourage bushier, fuller growth.
- **Monsoon care:** Reduce watering drastically during monsoon months. If kept outdoors, ensure the pot has excellent drainage and is not sitting in waterlogged soil.
- **Winter care:** In colder regions (North India), bring the plant indoors if temperatures drop below 10Â°C.
## Growth Tips
- **Soil:** Use a well-draining cactus or succulent mix. You can make your own by mixing regular potting soil with coarse sand and perlite in a 1:1:1 ratio.
- **Fertilizer:** Feed once a month during the growing season (spring and summer) with a diluted balanced liquid fertilizer or succulent fertilizer. Avoid fertilizing in winter.
- **Repotting:** Repot every 2 to 3 years or when the plant becomes root-bound. Choose a pot only slightly larger than the current one. Spring is the best time to repot.
- **Propagation:** Very easy to propagate from stem cuttings. Simply cut a healthy stem, let it dry for a day, and plant in well-draining soil. Water lightly after a few days.
## Common Problems
- **Yellowing leaves:** Usually caused by overwatering. Check the soil and reduce watering frequency.
- **Soft, mushy stems or leaves:** Sign of root rot due to overwatering or poor drainage. Remove affected parts and repot in fresh, dry soil.
- **Leaf drop:** Can happen due to sudden changes in temperature, overwatering, or underwatering.
- **Leggy growth:** Not enough sunlight. Move the plant to a brighter location.
- **Pests:** Watch out for mealybugs and aphids, especially during warmer months. Wipe leaves with a cloth dipped in soapy water or neem oil solution.
- **Brown, crispy leaves:** Sign of underwatering or sunburn. Adjust watering schedule and provide some shade during the hottest part of the day.</t>
        </is>
      </c>
      <c r="V186" s="98">
        <f>HYPERLINK("https://rosaryplanthouse.com/plant/"&amp;A186&amp;"-"&amp;SUBSTITUTE(LOWER(E186), " ", "-"))</f>
        <v/>
      </c>
      <c r="W186" t="inlineStr">
        <is>
          <t>🟢 Crassula ovata 'Crosby's Compact' (ID: 185)
🌿 Ready to add a touch of elegance to your space? Meet the stunning Creeping Jade, a gorgeous trailing succulent that’s just waiting to cascade beautifully from your hanging baskets! 
This hardy plant is not only a visual delight with its thick, round, spoon-shaped green leaves, but it’s also incredibly easy to care for. Perfect for both beginners and seasoned plant enthusiasts, it thrives in warm, dry conditions and requires minimal watering. 
✨ **Key Details:**
- **Sunlight:** Loves 4-6 hours of direct or bright indirect light ☀️
- **Watering:** Just once every 10-14 days, let that soil dry out! 💧
- **Temperature:** Thrives in the cozy warmth of 15°C to 35°C 🌡️
Don’t miss your chance to bring home this beautiful plant! 🌱 Click the link in bio to explore more!
#CreepingJade #Crassula #SucculentLove #PlantAddict #IndoorGardening #HangingPlants #PlantCare #HomeDecor #GreenThumb #RosaryPlantHouse #PlantParenthood #SucculentGarden #PlantCollection #NatureLovers #EcoFriendly #BotanicalBeauty</t>
        </is>
      </c>
    </row>
    <row r="187" ht="99.5" customHeight="1">
      <c r="A187" s="73" t="n">
        <v>186</v>
      </c>
      <c r="B187" s="74" t="inlineStr">
        <is>
          <t>Tiger Tooth Aloe (Big)</t>
        </is>
      </c>
      <c r="C187" s="74">
        <f>IF(Local!H187,"1","0")</f>
        <v/>
      </c>
      <c r="D187" s="75" t="n">
        <v>120</v>
      </c>
      <c r="E187" s="66" t="inlineStr">
        <is>
          <t>Aloe juvenna</t>
        </is>
      </c>
      <c r="F187" s="76">
        <f>"public/sale_plants/"&amp;A187&amp;".jpg"</f>
        <v/>
      </c>
      <c r="G187" s="77" t="inlineStr">
        <is>
          <t>(4"-5")</t>
        </is>
      </c>
      <c r="H187" s="78" t="inlineStr">
        <is>
          <t>Low</t>
        </is>
      </c>
      <c r="I187" s="66" t="inlineStr">
        <is>
          <t>Low</t>
        </is>
      </c>
      <c r="J187" s="66" t="inlineStr">
        <is>
          <t>High</t>
        </is>
      </c>
      <c r="K187" s="79" t="n">
        <v>99</v>
      </c>
      <c r="L187" s="80" t="inlineStr">
        <is>
          <t>Aloe</t>
        </is>
      </c>
      <c r="M187" s="80" t="n">
        <v>1</v>
      </c>
      <c r="N187" s="80" t="n">
        <v>0</v>
      </c>
      <c r="O187" s="81" t="n">
        <v>0</v>
      </c>
      <c r="P187" s="81" t="n">
        <v>1</v>
      </c>
      <c r="Q187" s="81">
        <f>IF(Local!I187=TRUE,1,0)</f>
        <v/>
      </c>
      <c r="R187" s="81">
        <f>Local!D187</f>
        <v/>
      </c>
      <c r="S187" s="81">
        <f>Local!E156</f>
        <v/>
      </c>
      <c r="T187" s="81">
        <f>Local!G187</f>
        <v/>
      </c>
      <c r="U187" s="83" t="inlineStr">
        <is>
          <t>## About
Tiger Tooth Aloe is a small, compact succulent with stunning green leaves that have white spots and tooth-like edges. This attractive plant grows in an upright, spiral rosette pattern and is perfect for small spaces. It is native to Kenya and makes an excellent choice for both beginners and experienced plant lovers.
## Origin
Aloe juvenna originates from Kenya in East Africa. In its natural habitat, it grows in rocky areas with well-draining soil and receives plenty of sunlight. The plant is adapted to survive in dry conditions with minimal water.
## Temperature &amp; Humidity
- **Temperature Range:** 15Â°C to 35Â°C (ideal range is 20Â°C to 30Â°C)
- **Humidity:** Prefers low to moderate humidity (30% to 50%). This plant adapts well to typical Indian home conditions and does not need high humidity. It can tolerate hot summers common across India.
## Growth
Tiger Tooth Aloe is a slow-growing plant that typically reaches 15 to 30 cm in height. It grows in an upright manner with leaves arranged in a tight spiral rosette. The plant produces offsets (baby plants) at the base, which can spread to form small clumps over time. Growth is more active during spring and summer months. During winter, growth slows down considerably. The compact size makes it perfect for windowsills, terrariums, and small pots.
## Watering
- **Frequency:** Once every two weeks depending on season and weather conditions (reduce to once a month in winter)
- **Tips:** Water thoroughly but allow the soil to dry out completely between waterings. During monsoon season, reduce watering as humidity is high. Check the soil with your finger before watering - if the top 2-3 cm is dry, it's time to water. Always water at the base of the plant, not on the leaves. Overwatering is the biggest threat to this plant, so when in doubt, wait a few more days before watering.
## Sunlight
- **Hours per day:** 4 to 6 hours
- **Type:** Direct sunlight is best. The plant can tolerate bright indirect light but may lose its compact form and vibrant colors. Morning sunlight is ideal for Indian conditions, especially during hot summer months. If kept indoors, place near a south or west-facing window.
## Care Tips
- Protect from heavy monsoon rains as too much water can cause root rot
- During peak summer (April-June), provide some afternoon shade to prevent leaf burn
- Keep in terracotta pots which help soil dry faster
- Remove dead or dried leaves from the base to maintain plant health
- The plant can tolerate neglect better than too much attention
- Clean leaves gently with a soft brush to remove dust and improve light absorption
- Bring outdoor plants under cover during heavy rains
## Growth Tips
- Use well-draining cactus or succulent potting mix. You can make your own by mixing regular soil with sand and perlite in equal parts
- Add a handful of cocopeat for better texture
- Fertilize only once every 2-3 months during growing season (March to October) with diluted liquid fertilizer
- Repot only when the plant outgrows its container, typically every 2-3 years
- The best time to repot is in early spring before the growing season begins
- Use pots with drainage holes to prevent water accumulation
- Propagate easily by separating offsets and planting them in fresh soil
## Common Problems
- **Root rot:** Caused by overwatering or poor drainage; leaves become soft and mushy
- **Leaf discoloration (brown/black spots):** Usually from overwatering or fungal infection during humid monsoons
- **Pale or stretched leaves:** Not getting enough sunlight; move to a brighter location
- **Shriveled leaves:** Underwatering, though this is rare; water more frequently
- **Mealybugs:** White cotton-like pests on leaves; wipe with alcohol-soaked cotton or spray with neem oil
- **Slow or no growth:** Normal during winter; also check if the plant is root-bound and needs repotting</t>
        </is>
      </c>
      <c r="V187" s="98">
        <f>HYPERLINK("https://rosaryplanthouse.com/plant/"&amp;A187&amp;"-"&amp;SUBSTITUTE(LOWER(E187), " ", "-"))</f>
        <v/>
      </c>
      <c r="W187" t="inlineStr">
        <is>
          <t>🟢 Tiger Tooth Aloe (ID: 186)
🌱 Meet the stunning Tiger Tooth Aloe, your new favorite compact succulent! Its unique green leaves, adorned with striking white spots and tooth-like edges, create a captivating display that will charm both beginners and seasoned plant enthusiasts alike. 
✨ Originating from the rocky terrains of Kenya, this beauty thrives in bright sunlight and is adapted to withstand dry conditions. Perfect for your windowsill or tiny terrarium, it's a low-maintenance plant that adds a touch of greenery to any space! 
🌞 **Key Details:**
- 🌿 **Watering:** Low – every 2 weeks; less in winter
- ☀️ **Sunlight:** High – 4 to 6 hours of direct sunlight daily
- 🏡 **Humidity:** Low to moderate, perfect for typical Indian homes
🌟 Ready to welcome this gorgeous plant into your home? Discover more about the Tiger Tooth Aloe and how to care for it by checking the **Link in bio**!
#TigerToothAloe #AloeJuvenna #SucculentLove #PlantParenthood #IndoorPlants #HomeDecor #GreenThumb #PlantCare #RosaryPlantHouse #SucculentAddict #PlantLovers #KenyanPlants #LowMaintenancePlants #Houseplants #IndoorGarden</t>
        </is>
      </c>
    </row>
    <row r="188" ht="99.5" customHeight="1">
      <c r="A188" s="73" t="n">
        <v>187</v>
      </c>
      <c r="B188" s="74" t="inlineStr">
        <is>
          <t>Diamond (Big)</t>
        </is>
      </c>
      <c r="C188" s="74">
        <f>IF(Local!H188,"1","0")</f>
        <v/>
      </c>
      <c r="D188" s="75" t="n">
        <v>69</v>
      </c>
      <c r="E188" s="66" t="inlineStr">
        <is>
          <t>Echeveria setosa</t>
        </is>
      </c>
      <c r="F188" s="76">
        <f>"public/sale_plants/"&amp;A188&amp;".jpg"</f>
        <v/>
      </c>
      <c r="G188" s="77" t="inlineStr">
        <is>
          <t>(4"-5")</t>
        </is>
      </c>
      <c r="H188" s="78" t="inlineStr">
        <is>
          <t>Moderate</t>
        </is>
      </c>
      <c r="I188" s="66" t="inlineStr">
        <is>
          <t>Low</t>
        </is>
      </c>
      <c r="J188" s="66" t="inlineStr">
        <is>
          <t>High</t>
        </is>
      </c>
      <c r="K188" s="79" t="n">
        <v>99</v>
      </c>
      <c r="L188" s="81" t="inlineStr">
        <is>
          <t>Echeveria</t>
        </is>
      </c>
      <c r="M188" s="80" t="n">
        <v>1</v>
      </c>
      <c r="N188" s="80" t="n">
        <v>0</v>
      </c>
      <c r="O188" s="81" t="n">
        <v>0</v>
      </c>
      <c r="P188" s="80" t="n">
        <v>0</v>
      </c>
      <c r="Q188" s="81">
        <f>IF(Local!I188=TRUE,1,0)</f>
        <v/>
      </c>
      <c r="R188" s="81">
        <f>Local!D188</f>
        <v/>
      </c>
      <c r="S188" s="81">
        <f>Local!F188</f>
        <v/>
      </c>
      <c r="T188" s="81">
        <f>Local!G188</f>
        <v/>
      </c>
      <c r="U188" s="83" t="inlineStr">
        <is>
          <t>## About
Echeveria setosa, commonly known as Mexican Firecracker, is a beautiful succulent with fuzzy, hair-covered leaves that form dense rosettes. This charming plant is popular among succulent collectors for its unique texture and attractive red-tipped leaves that create a stunning display.
## Origin
This succulent is native to Mexico, particularly found in the semi-arid regions of Puebla and surrounding areas. It grows naturally on rocky slopes and cliffs where it receives plenty of sunlight and experiences well-draining conditions.
## Temperature &amp; Humidity
- **Temperature Range:** 15Â°C to 35Â°C
- **Humidity:** Prefers low to moderate humidity levels between 30% to 50%. It can tolerate the varying humidity levels across Indian seasons, but does best in drier conditions. Avoid very humid conditions as they can cause rot.
## Growth
Echeveria setosa is a compact succulent that typically grows 6 to 10 cm tall and spreads about 10 to 15 cm wide. It grows at a moderate pace and forms beautiful rosettes with multiple stems branching from the base. The plant produces offsets or "pups" around the mother plant, creating attractive clusters over time. The fuzzy white hairs on the leaves give it a soft, velvety appearance.
## Watering
- **Frequency:** Once every 10 to 14 days depending on season and weather conditions. During monsoon, reduce watering significantly. In hot summer months, you may water once a week depending on other parameters.
- **Tips:** Always check if the soil is completely dry before watering. Water deeply but allow excess water to drain out completely. Avoid getting water on the fuzzy leaves as it can cause spotting or rot. Water at the base of the plant. Reduce watering during winter months and rainy season.
## Sunlight
- **Hours per day:** 4 to 6 hours
- **Type:** Bright direct sunlight is ideal, especially morning sun. Can tolerate some afternoon shade during peak summer months (April-June) in India when temperatures exceed 40Â°C. Needs bright light to maintain compact growth and leaf coloration.
## Care Tips
- Protect from heavy monsoon rains as excess moisture can cause root rot and leaf damage
- Place in a spot with good air circulation to prevent fungal issues
- The fuzzy leaves collect dust, so gently brush them with a soft brush occasionally
- During Indian summers above 40Â°C, provide some afternoon shade to prevent leaf burn
- Keep away from areas with high humidity like bathrooms or kitchen
- Bring indoors or provide cover during heavy rains
- The plant is sensitive to frost, so protect if temperatures drop below 10Â°C in winter
## Growth Tips
- Use well-draining cactus or succulent mix; you can create your own by mixing regular potting soil with cocopeat, sand, and perlite in equal parts
- Add fertilizer sparingly - use a diluted balanced liquid fertilizer (10:10:10 NPK) once every 2 to 3 months during growing season (February to October)
- Repot every 2 to 3 years or when the plant outgrows its pot, preferably during spring
- Use terracotta or clay pots as they allow better airflow and help soil dry faster
- Propagate easily from offsets that grow around the base - simply separate and plant them
- Can also propagate from leaf cuttings, though success rate is moderate
## Common Problems
- **Leaf rot:** Caused by overwatering or water sitting on fuzzy leaves - always water at the base
- **Stretched growth (etiolation):** Not enough sunlight - move to a brighter location
- **Brown, crispy leaves:** Too much direct harsh sunlight or underwatering - adjust light exposure
- **Mealybugs and aphids:** Common pests that hide in leaf crevices - treat with neem oil solution
- **Root rot:** Overwatering or poor drainage - ensure pot has drainage holes and reduce watering frequency
- **Leaf dropping:** Natural for older bottom leaves, but excessive dropping indicates watering issues
- **Fungal spots:** High humidity and poor air circulation - improve ventilation and reduce moisture</t>
        </is>
      </c>
      <c r="V188" s="98">
        <f>HYPERLINK("https://rosaryplanthouse.com/plant/"&amp;A188&amp;"-"&amp;SUBSTITUTE(LOWER(E188), " ", "-"))</f>
        <v/>
      </c>
      <c r="W188" t="inlineStr">
        <is>
          <t>🟢 Echeveria Setosa (ID: 187)  
🌟 Meet the Diamond (Big) – a true gem for your succulent collection! 🌟  
This stunning Echeveria setosa, also known as the Mexican Firecracker, features fuzzy, hair-covered leaves that create a captivating rosette. With its vibrant red-tipped foliage, it’s a showstopper that’s sure to brighten up any space! 🌺✨  
**Key Details:**  
- 🌞 Sunlight: Thrives in bright direct light (4-6 hours a day)  
- 💧 Watering: Low maintenance; water every 10-14 days, adjust in monsoon  
- 🌡️ Temperature: Prefers 15°C to 35°C; protect from frost  
- 🍃 Care: Minimal humidity, ensure good air circulation  
Ready to add this beauty to your home? 🌿👉 Link in bio!  
#EcheveriaSetosa #SucculentLove #PlantParent #HouseplantGoals #GreenThumb #IndoorPlants #Echeveria #SucculentCollection #PlantLovers #RosaryPlantHouse #HomeDecor #SustainableLiving #PlantAddict #NatureLovers</t>
        </is>
      </c>
    </row>
    <row r="189" ht="99.5" customHeight="1">
      <c r="A189" s="73" t="n">
        <v>188</v>
      </c>
      <c r="B189" s="90" t="inlineStr">
        <is>
          <t>jade big leaf (Big)</t>
        </is>
      </c>
      <c r="C189" s="74">
        <f>IF(Local!H189,"1","0")</f>
        <v/>
      </c>
      <c r="D189" s="75" t="n">
        <v>99</v>
      </c>
      <c r="E189" s="66" t="inlineStr">
        <is>
          <t>Crassula ovata</t>
        </is>
      </c>
      <c r="F189" s="76">
        <f>"public/sale_plants/"&amp;A189&amp;".jpg"</f>
        <v/>
      </c>
      <c r="G189" s="77" t="inlineStr">
        <is>
          <t>(5"-6")</t>
        </is>
      </c>
      <c r="H189" s="78" t="inlineStr">
        <is>
          <t>Moderate</t>
        </is>
      </c>
      <c r="I189" s="66" t="inlineStr">
        <is>
          <t>Low</t>
        </is>
      </c>
      <c r="J189" s="66" t="inlineStr">
        <is>
          <t>Medium</t>
        </is>
      </c>
      <c r="K189" s="79" t="n">
        <v>99</v>
      </c>
      <c r="L189" s="80" t="inlineStr">
        <is>
          <t>Jade</t>
        </is>
      </c>
      <c r="M189" s="80" t="n">
        <v>1</v>
      </c>
      <c r="N189" s="80" t="n">
        <v>0</v>
      </c>
      <c r="O189" s="81" t="n">
        <v>0</v>
      </c>
      <c r="P189" s="80" t="n">
        <v>0</v>
      </c>
      <c r="Q189" s="81">
        <f>IF(Local!I189=TRUE,1,0)</f>
        <v/>
      </c>
      <c r="R189" s="81">
        <f>Local!D189</f>
        <v/>
      </c>
      <c r="S189" s="81">
        <f>Local!F189</f>
        <v/>
      </c>
      <c r="T189" s="81">
        <f>Local!G189</f>
        <v/>
      </c>
      <c r="U189" s="83" t="inlineStr">
        <is>
          <t>## About
The Jade Plant is a popular succulent with thick, oval-shaped green leaves that grow on sturdy branches. This plant is loved by gardeners across India for its easy care, attractive appearance, and association with good luck and prosperity. It makes an excellent choice for both beginners and experienced plant lovers.
## Origin
Native to South Africa and Mozambique, the Jade Plant has been cultivated worldwide as a popular houseplant and ornamental succulent. It grows naturally in rocky, well-drained areas with warm temperatures and low rainfall.
## Temperature &amp; Humidity
- **Temperature Range:** 15Â°C to 35Â°C (can tolerate higher temperatures in Indian summers if kept in partial shade)
- **Humidity:** Low to moderate humidity (30% to 50%). This plant adapts very well to the dry conditions common in many parts of India.
## Growth
The Jade Plant is a slow to moderate grower that can reach heights of 30 cm to 90 cm when grown in pots, and even larger when planted in the ground. It develops a thick trunk over time, resembling a miniature tree. The plant grows upright with a bushy, tree-like structure. In ideal conditions, it can live for many decades and become a beautiful specimen plant.
## Watering
- **Frequency:** Once every 10-14 days depending on season and weather conditions. Water less frequently during monsoon and winter months, and slightly more during hot summer months if the soil dries out completely.
- **Tips:** Always let the soil dry out completely between waterings. Water thoroughly until water drains from the bottom, then empty the saucer. Reduce watering significantly during winter. Overwatering is the most common mistake with Jade Plants, leading to root rot. The thick leaves store water, so the plant can handle drought better than excess moisture.
## Sunlight
- **Hours per day:** 4 to 6 hours
- **Type:** Bright indirect light is ideal, with some direct morning sunlight. In hot Indian summers, protect from intense afternoon sun which can scorch the leaves. A bright spot near an east or west-facing window works perfectly indoors.
## Care Tips
- Keep in well-ventilated areas, especially during humid monsoon months to prevent fungal issues.
- During Indian summers, move plants to partial shade if kept outdoors to prevent leaf burn.
- The plant can handle the heat well but needs protection from temperatures below 10Â°C in winter (relevant for North India).
- Wipe the leaves gently with a damp cloth every few weeks to remove dust and keep them glossy.
- Rotate the pot every few weeks for even growth on all sides.
- In monsoon season, ensure the pot has excellent drainage and reduce watering frequency.
## Growth Tips
- Use a well-draining cactus or succulent potting mix. You can make your own by mixing regular potting soil with coarse sand and perlite in equal parts.
- Choose a pot with drainage holes. Terracotta pots work excellently as they allow soil to dry faster.
- Feed with a diluted balanced liquid fertilizer (NPK 10:10:10) once every 2-3 months during the growing season (spring and summer). Avoid feeding in winter.
- Repot every 2-3 years or when the plant becomes root-bound. Spring is the best time for repotting.
- Prune occasionally to maintain shape and encourage bushier growth.
- Can be easily propagated from leaf or stem cuttings.
## Common Problems
- **Wrinkled, soft leaves:** Sign of underwatering. Water the plant thoroughly.
- **Yellow, translucent leaves:** Overwatering or poor drainage. Reduce watering immediately and check for root rot.
- **Leaf drop:** Can be caused by sudden temperature changes, overwatering, or underwatering.
- **Brown spots on leaves:** Sunburn from too much direct afternoon sun or fungal infection during humid conditions.
- **Mealybugs:** White cottony pests that appear in leaf joints. Wipe with rubbing alcohol or neem oil solution.
- **Leggy, stretched growth:** Insufficient light. Move to a brighter location.
- **Black spots on leaves or stem:** Root rot due to overwatering or fungal infection. Remove affected parts and improve drainage.</t>
        </is>
      </c>
      <c r="V189" s="98">
        <f>HYPERLINK("https://rosaryplanthouse.com/plant/"&amp;A189&amp;"-"&amp;SUBSTITUTE(LOWER(E189), " ", "-"))</f>
        <v/>
      </c>
      <c r="W189" t="inlineStr">
        <is>
          <t>🟢 Crassula Ovata (ID: 188)
🌿 Add a touch of luck to your home with our stunning Jade Big Leaf! This beloved succulent is not just a pretty face—its thick, glossy leaves symbolize prosperity and good fortune. 
✨ The Jade Plant thrives in low to moderate humidity and is perfect for both novice and seasoned plant parents. With its bushy, tree-like structure, it’s sure to be a conversation starter in any space! 
🔑 **Key Details:**
- 🌞 **Sunlight:** Prefers bright indirect light with a splash of morning sunshine.
- 💧 **Watering:** Low maintenance—water every 10-14 days, allowing the soil to dry completely between drinks.
- 🌿 **Growth:** Slow to moderate growth, can live for decades with proper care!
👉 Ready to invite this beauty into your life? *Link in bio!* 
#JadePlant #CrassulaOvata #SucculentLove #IndoorPlants #PlantParenthood #GoodLuckPlant #HomeDecor #PlantCare #RosaryPlantHouse #GreenThumb #PlantLovers #Houseplants #SucculentCare #NatureLovers #IndoorGardening #PlantAddict</t>
        </is>
      </c>
    </row>
    <row r="190" ht="99.5" customHeight="1">
      <c r="A190" s="73" t="n">
        <v>189</v>
      </c>
      <c r="B190" s="74" t="inlineStr">
        <is>
          <t>Aeonium Draft (Big)</t>
        </is>
      </c>
      <c r="C190" s="74">
        <f>IF(Local!H190,"1","0")</f>
        <v/>
      </c>
      <c r="D190" s="75" t="n">
        <v>120</v>
      </c>
      <c r="E190" s="66" t="inlineStr">
        <is>
          <t>Aeonium haworthii</t>
        </is>
      </c>
      <c r="F190" s="76">
        <f>"public/sale_plants/"&amp;A190&amp;".jpg"</f>
        <v/>
      </c>
      <c r="G190" s="77" t="inlineStr">
        <is>
          <t>(5"-6")</t>
        </is>
      </c>
      <c r="H190" s="78" t="inlineStr">
        <is>
          <t>High</t>
        </is>
      </c>
      <c r="I190" s="66" t="inlineStr">
        <is>
          <t>Low</t>
        </is>
      </c>
      <c r="J190" s="66" t="inlineStr">
        <is>
          <t>Medium</t>
        </is>
      </c>
      <c r="K190" s="79" t="n">
        <v>99</v>
      </c>
      <c r="L190" s="80" t="inlineStr">
        <is>
          <t>Succulent</t>
        </is>
      </c>
      <c r="M190" s="80" t="n">
        <v>1</v>
      </c>
      <c r="N190" s="80" t="n">
        <v>0</v>
      </c>
      <c r="O190" s="81" t="n">
        <v>0</v>
      </c>
      <c r="P190" s="81" t="n">
        <v>0</v>
      </c>
      <c r="Q190" s="81">
        <f>IF(Local!I190=TRUE,1,0)</f>
        <v/>
      </c>
      <c r="R190" s="81">
        <f>Local!D190</f>
        <v/>
      </c>
      <c r="S190" s="81">
        <f>Local!F190</f>
        <v/>
      </c>
      <c r="T190" s="81">
        <f>Local!G190</f>
        <v/>
      </c>
      <c r="U190" s="83" t="inlineStr">
        <is>
          <t>## About
Pinwheel Aeonium is a beautiful succulent plant with rosettes of fleshy, green leaves edged with red or pink margins. This attractive plant forms compact clusters and is very popular among succulent lovers in India for its easy care and stunning appearance.
## Origin
Aeonium haworthii originates from the Canary Islands off the northwest coast of Africa. It grows naturally on rocky cliffs and slopes in mild, Mediterranean-like climates with cool winters and warm, dry summers.
## Temperature &amp; Humidity
- **Temperature Range:** 15Â°C to 30Â°C
- **Humidity:** This plant prefers low to moderate humidity levels (30% to 50%). It can tolerate the dry conditions found in most Indian homes but may struggle in very humid coastal areas during monsoon season.
## Growth
Pinwheel Aeonium is a slow to moderate growing succulent that typically reaches 30 to 45 cm in height. The plant forms multiple rosettes on branching stems, creating a bushy appearance over time. Each rosette can grow 5 to 10 cm wide. The plant spreads slowly and maintains a compact form, making it perfect for containers and small spaces.
## Watering
- **Frequency:** Once every week or two depending on season, weather, and soil dryness. During summer months, water more frequently, and reduce watering during monsoon and winter.
- **Tips:** Always check if the soil is completely dry before watering again. Water thoroughly until water drains from the bottom, then allow the soil to dry completely. Overwatering is the biggest enemy of this plant. In humid monsoon season, reduce watering significantly. Water early morning or evening to prevent water spots on leaves.
## Sunlight
- **Hours per day:** 4 to 6 hours
- **Type:** Bright indirect light or morning direct sunlight. Avoid harsh afternoon sun, especially during Indian summers, as it can burn the leaves. The plant develops better red coloring on leaf edges when it receives adequate light.
## Care Tips
- Place in a bright spot with morning sun and afternoon shade in Indian climate
- Protect from heavy monsoon rains as too much water can cause root rot
- During peak summer (April-June), provide shade during hottest hours (12 PM to 4 PM)
- The plant goes dormant in hot summers, so reduce watering during this period
- Clean dust from leaves occasionally with a soft brush to help the plant breathe
- Good air circulation is important to prevent fungal issues, especially during humid months
- Can be grown both indoors near bright windows and outdoors in partial shade
## Growth Tips
- Use a well-draining succulent or cactus soil mix with perlite, cocopeat, and sand
- Add a layer of small stones at the pot bottom for extra drainage
- Fertilize sparingly with diluted liquid succulent fertilizer once every 2 months during growing season (September to March)
- Repot every 2 to 3 years in spring using a slightly larger pot
- The plant propagates easily from stem cuttings or individual rosettes
- Let cuttings dry for 2-3 days before planting to prevent rot
- Terra cotta pots work best as they allow soil to dry faster
## Common Problems
- **Leaf drop and mushy stems:** Caused by overwatering or poor drainage, very common during monsoon
- **Stretching and pale leaves:** Not enough sunlight, move to a brighter location
- **Brown leaf tips:** Too much direct harsh sunlight or underwatering during active growth
- **Mealybugs:** White cotton-like pests in leaf joints, remove with cotton swab dipped in rubbing alcohol
- **Root rot:** Black, soft roots due to waterlogged soil, reduce watering and improve drainage
- **Shriveled leaves:** Underwatering, increase watering frequency slightly
- **Leaf spots:** Fungal infection due to water sitting on leaves in humid conditions, water soil directly</t>
        </is>
      </c>
      <c r="V190" s="98">
        <f>HYPERLINK("https://rosaryplanthouse.com/plant/"&amp;A190&amp;"-"&amp;SUBSTITUTE(LOWER(E190), " ", "-"))</f>
        <v/>
      </c>
      <c r="W190" t="inlineStr">
        <is>
          <t>🟢 Aeonium haworthii (ID: 189)
🌿 Get ready to elevate your plant game with the stunning Pinwheel Aeonium! This succulent beauty features rosettes of fleshy, green leaves adorned with charming red and pink edges, making it a must-have for any plant lover! 
🌱 **About**: Originating from the picturesque Canary Islands, the Aeonium haworthii thrives on rocky cliffs and slopes, making it a resilient choice for your home. Its compact clusters are perfect for small spaces and containers!
🌞 **Key Details**:
- Watering: Low (once a week or two)
- Sunlight: 4-6 hours of bright indirect light
- Growth: Slow to moderate, reaching a bushy height of 30-45 cm
🌟 Don't miss out on adding this gorgeous succulent to your collection! Click the link in bio for all the details and grab yours today!
#AeoniumHaworthii #PinwheelAeonium #SucculentLove #IndoorPlants #PlantParenthood #HouseplantClub #GreenThumb #PlantAddict #SucculentCare #RosaryPlantHouse #PlantGoals #SucculentCollection #HomeDecor #PlantLife 🌿✨</t>
        </is>
      </c>
    </row>
    <row r="191" ht="99.5" customHeight="1">
      <c r="A191" s="73" t="n">
        <v>190</v>
      </c>
      <c r="B191" s="74" t="inlineStr">
        <is>
          <t>String of necklace (Big)</t>
        </is>
      </c>
      <c r="C191" s="74">
        <f>IF(Local!H191,"1","0")</f>
        <v/>
      </c>
      <c r="D191" s="75" t="n">
        <v>120</v>
      </c>
      <c r="E191" s="66" t="inlineStr">
        <is>
          <t>Senecio radicans</t>
        </is>
      </c>
      <c r="F191" s="76">
        <f>"public/sale_plants/"&amp;A191&amp;".jpg"</f>
        <v/>
      </c>
      <c r="G191" s="77" t="inlineStr">
        <is>
          <t>(5"-6")</t>
        </is>
      </c>
      <c r="H191" s="78" t="inlineStr">
        <is>
          <t>High</t>
        </is>
      </c>
      <c r="I191" s="66" t="inlineStr">
        <is>
          <t>Low</t>
        </is>
      </c>
      <c r="J191" s="66" t="inlineStr">
        <is>
          <t>Medium</t>
        </is>
      </c>
      <c r="K191" s="79" t="n">
        <v>99</v>
      </c>
      <c r="L191" s="80" t="inlineStr">
        <is>
          <t>Succulent</t>
        </is>
      </c>
      <c r="M191" s="80" t="n">
        <v>1</v>
      </c>
      <c r="N191" s="80" t="n">
        <v>0</v>
      </c>
      <c r="O191" s="81" t="n">
        <v>0</v>
      </c>
      <c r="P191" s="80" t="n">
        <v>0</v>
      </c>
      <c r="Q191" s="81">
        <f>IF(Local!I191=TRUE,1,0)</f>
        <v/>
      </c>
      <c r="R191" s="81">
        <f>Local!D191</f>
        <v/>
      </c>
      <c r="S191" s="81">
        <f>Local!F191</f>
        <v/>
      </c>
      <c r="T191" s="81">
        <f>Local!G191</f>
        <v/>
      </c>
      <c r="U191" s="83" t="inlineStr">
        <is>
          <t>## About
String of Bananas is a beautiful trailing succulent with banana-shaped leaves that cascade down elegantly. This easy-to-care-for plant is perfect for hanging baskets and adds a unique touch to any indoor or outdoor space. It grows long trailing stems that can reach several feet in length.
## Origin
String of Bananas is native to South Africa, where it grows naturally in warm, dry regions. In its natural habitat, it thrives in rocky slopes and areas with well-draining soil. The plant has adapted to survive in areas with minimal water and bright sunlight.
## Temperature &amp; Humidity
- **Temperature Range:** 15Â°C to 35Â°C
- **Humidity:** This succulent prefers low to moderate humidity levels, typically between 30% to 50%. It can tolerate the dry conditions often found in Indian homes and does not require high humidity to thrive.
## Growth
String of Bananas is a fast-growing trailing succulent that can grow up to 60-90 cm in length within a year under ideal conditions. The stems cascade down beautifully, making it perfect for hanging planters or elevated pots. The banana-shaped leaves are plump and green with a slightly curved appearance. As the plant matures, it can produce multiple trailing stems that create a full, lush appearance.
## Watering
- **Frequency:** Once every 10-14 days depending on season and weather conditions. Water less frequently during monsoon and winter months.
- **Tips:** Always allow the soil to dry out completely between waterings. Check the soil by inserting your finger about 2 inches deep - if it feels dry, it's time to water. Reduce watering during winter months. Overwatering is the most common mistake with this plant, so it's better to underwater than overwater. Water at the base of the plant and avoid getting water on the leaves.
## Sunlight
- **Hours per day:** 4 to 6 hours
- **Type:** Bright indirect light is ideal, though it can tolerate 2-3 hours of gentle morning direct sunlight. Avoid harsh afternoon sun which can burn the leaves.
## Care Tips
- Place in a bright spot near an east or west-facing window for best results in Indian homes
- During hot Indian summers (April-June), provide some shade during peak afternoon hours to prevent leaf burn
- The plant can be kept outdoors in balconies during winter months (November-February) in most parts of India
- Protect from heavy monsoon rains as excessive moisture can cause root rot
- Clean the leaves occasionally with a soft cloth to remove dust and allow better light absorption
- Prune regularly to encourage fuller growth and prevent stems from becoming too leggy
- During Indian winter, reduce watering frequency as the plant enters a semi-dormant phase
## Growth Tips
- Use a well-draining succulent or cactus potting mix; you can make your own by mixing regular potting soil with cocopeat and perlite or sand in equal parts
- Choose a pot with drainage holes to prevent water accumulation
- Feed with a diluted succulent fertilizer once a month during the growing season (March to October)
- Avoid fertilizing during winter months when growth slows down
- Repot every 2-3 years or when the plant becomes root-bound, preferably during spring
- Propagation is very easy - simply cut a stem with a few leaves, let it dry for a day, and plant in moist soil
- To encourage bushier growth, trim the stems occasionally and plant the cuttings back in the same pot
## Common Problems
- **Shriveled leaves:** Usually caused by underwatering; increase watering frequency slightly
- **Yellow, mushy leaves:** Sign of overwatering or poor drainage; reduce watering and check if pot has proper drainage
- **Leggy growth with spaces between leaves:** Not enough light; move to a brighter location
- **Brown, crispy leaves:** Too much direct sunlight or heat stress; provide some shade during harsh afternoon sun
- **Root rot:** Caused by overwatering or soil that retains too much moisture; use well-draining soil and reduce watering
- **Mealybugs and aphids:** These pests can appear as white cottony masses or tiny insects on leaves; wipe with neem oil solution
- **Stunted growth:** May indicate need for fertilizer or the plant being root-bound; fertilize monthly during growing season or repot if needed</t>
        </is>
      </c>
      <c r="V191" s="98">
        <f>HYPERLINK("https://rosaryplanthouse.com/plant/"&amp;A191&amp;"-"&amp;SUBSTITUTE(LOWER(E191), " ", "-"))</f>
        <v/>
      </c>
      <c r="W191" t="inlineStr">
        <is>
          <t>🟢 Senecio radicans (ID: 190)
🌿 Meet the stunning String of Bananas! This delightful trailing succulent is a must-have for any plant lover. With its unique banana-shaped leaves cascading down, it adds a touch of whimsy and beauty to your space! 
✨ **About:** Originating from the warm, dry regions of South Africa, this fast-growing succulent thrives in low to moderate humidity and loves bright, indirect light. Perfect for your indoor oasis or a sunny balcony!
🌞 **Key Details:**
- **Watering:** Low maintenance, water every 10-14 days.
- **Sunlight:** Prefers 4-6 hours of bright indirect light, with some gentle morning sun.
- **Care Tips:** Keep in a well-draining pot and clean leaves for optimal growth.
👉 Ready to add this beauty to your collection? **Link in bio!**
#SucculentLove #StringOfBananas #IndoorPlants #PlantParenthood #GreenThumb #HomeDecor #PlantLovers #RosaryPlantHouse #PlantCare #GardeningTips #Houseplants #SucculentGarden #NatureLovers #PlantAddict #DecorateWithPlants</t>
        </is>
      </c>
    </row>
    <row r="192" ht="99.5" customHeight="1">
      <c r="A192" s="73" t="n">
        <v>191</v>
      </c>
      <c r="B192" s="74" t="inlineStr">
        <is>
          <t>Opentia Yellow (Big)</t>
        </is>
      </c>
      <c r="C192" s="74">
        <f>IF(Local!H192,"1","0")</f>
        <v/>
      </c>
      <c r="D192" s="75" t="n">
        <v>99</v>
      </c>
      <c r="E192" s="66" t="inlineStr">
        <is>
          <t>Opuntia microdasys</t>
        </is>
      </c>
      <c r="F192" s="76">
        <f>"public/sale_plants/"&amp;A192&amp;".jpg"</f>
        <v/>
      </c>
      <c r="G192" s="77" t="inlineStr">
        <is>
          <t>(5"-6")</t>
        </is>
      </c>
      <c r="H192" s="78" t="inlineStr">
        <is>
          <t>Moderate</t>
        </is>
      </c>
      <c r="I192" s="66" t="inlineStr">
        <is>
          <t>Low</t>
        </is>
      </c>
      <c r="J192" s="66" t="inlineStr">
        <is>
          <t>High</t>
        </is>
      </c>
      <c r="K192" s="79" t="n">
        <v>99</v>
      </c>
      <c r="L192" s="80" t="inlineStr">
        <is>
          <t>Cactus</t>
        </is>
      </c>
      <c r="M192" s="80" t="n">
        <v>1</v>
      </c>
      <c r="N192" s="80" t="n">
        <v>0</v>
      </c>
      <c r="O192" s="81" t="n">
        <v>0</v>
      </c>
      <c r="P192" s="80" t="n">
        <v>0</v>
      </c>
      <c r="Q192" s="81">
        <f>IF(Local!I192=TRUE,1,0)</f>
        <v/>
      </c>
      <c r="R192" s="81">
        <f>Local!D192</f>
        <v/>
      </c>
      <c r="S192" s="81">
        <f>Local!F192</f>
        <v/>
      </c>
      <c r="T192" s="81">
        <f>Local!G192</f>
        <v/>
      </c>
      <c r="U192" s="83" t="inlineStr">
        <is>
          <t>## About
The Bunny Ear Cactus is a charming and popular cactus variety known for its flat, pad-like segments that resemble rabbit ears. This cactus is covered with small, fuzzy-looking yellow or white dots called glochids (tiny hair-like spines) instead of large spines, giving it a soft appearance. It is a low-maintenance plant that adds a unique touch to any indoor or outdoor garden.
## Origin
Native to northern and central Mexico, the Bunny Ear Cactus grows naturally in desert and semi-desert regions. It thrives in dry, rocky areas with plenty of sunlight and has adapted to survive in harsh, arid conditions with minimal water.
## Temperature &amp; Humidity
- **Temperature Range:** 15Â°C to 35Â°C (can tolerate up to 40Â°C)
- **Humidity:** Prefers low humidity (30% to 50%). This cactus loves dry air and does not need high humidity levels, making it perfect for Indian climates, especially in drier regions.
## Growth
The Bunny Ear Cactus is a slow to moderate grower. It typically reaches a height of 30 to 60 cm and can spread up to 40 to 50 cm wide. The pads grow in pairs, creating a branching structure that looks like bunny ears stacked on top of each other. With proper care, it can grow into a bushy, compact plant over several years.
## Watering
- **Frequency:** Water once every two weeks depending on season and weather conditions. In summer, you may water once a week if the soil is completely dry. In monsoon and winter, reduce watering to once every three to four weeks.
- **Tips:** Always check if the soil is completely dry before watering. Overwatering is the most common mistake and can cause root rot. Water at the base of the plant, avoiding the pads. Use well-draining soil and pots with drainage holes.
## Sunlight
- **Hours per day:** 4 to 6 hours
- **Type:** Direct sunlight is ideal. This cactus loves bright, direct sun and can tolerate intense heat. If kept indoors, place it near a south or west-facing window where it gets maximum light. Insufficient light will cause the plant to become leggy and pale.
## Care Tips
- **Handle with care:** The glochids (tiny hair-like spines) can easily stick to your skin and cause irritation. Always use thick gloves or folded newspaper when handling.
- **Good drainage is essential:** Use a cactus or succulent potting mix, or make your own by mixing regular soil with sand, perlite, or cocopeat in a 1:1 ratio.
- **Perfect for hot Indian summers:** This cactus thrives in the heat, so don't worry about high temperatures during April to June.
- **Reduce watering in monsoon:** Excess humidity and rain can cause fungal issues and root rot. Keep the plant under a covered area during heavy rains if kept outdoors.
- **Winter care:** Protect from frost and temperatures below 10Â°C. Bring it indoors or cover it if you live in northern India where winters are cold.
## Growth Tips
- **Soil type:** Use well-draining cactus or succulent mix. You can also add small stones or gravel to the top layer for better drainage and aesthetics.
- **Fertilizer:** Feed once every 2 to 3 months during the growing season (spring and summer) with a diluted cactus fertilizer or organic compost. Avoid fertilizing in winter.
- **Repotting schedule:** Repot every 2 to 3 years or when the plant outgrows its pot. Choose a pot only slightly larger than the current one. Spring is the best time for repotting.
- **Propagation:** Easy to propagate by cutting a pad and letting it dry for a few days before planting in dry soil. Water lightly after a week.
## Common Problems
- **Yellowing or soft pads:** Usually a sign of overwatering or poor drainage. Let the soil dry out completely and reduce watering frequency.
- **Wrinkled or shriveled pads:** Indicates underwatering. Give the plant a good soak and adjust your watering schedule.
- **White cottony spots:** These are mealybugs. Remove them with a cotton swab dipped in rubbing alcohol or spray with neem oil solution.
- **Brown or black spots:** Can be caused by fungal infections due to excessive moisture or poor air circulation. Remove affected pads and improve ventilation.
- **Leggy or pale growth:** Not enough sunlight. Move the plant to a brighter location with more direct sun exposure.
- **Root rot:** Caused by overwatering and waterlogged soil. Ensure the pot has drainage holes and use well-draining soil. Reduce watering, especially during monsoon and winter.</t>
        </is>
      </c>
      <c r="V192" s="98">
        <f>HYPERLINK("https://rosaryplanthouse.com/plant/"&amp;A192&amp;"-"&amp;SUBSTITUTE(LOWER(E192), " ", "-"))</f>
        <v/>
      </c>
      <c r="W192" t="inlineStr">
        <is>
          <t>🟢 Opuntia microdasys (ID: 191)
🌵 Meet the adorable Bunny Ear Cactus, a delightful addition to your plant family! With its unique pad-like segments resembling rabbit ears, this charming cactus is not just visually appealing but also incredibly low-maintenance. 🐰✨
🌞 Native to the sun-soaked deserts of Mexico, the Opuntia microdasys thrives in bright sunlight and requires minimal watering. Its quirky appearance is enhanced by the tiny, fuzzy glochids that cover its pads, making it a soft and inviting choice for both indoor and outdoor gardens.
**Key Details:**
- 🌡️ **Sunlight:** Prefers 4-6 hours of direct sunlight daily
- 💧 **Watering:** Low; water every 2 weeks (more in summer, less in monsoon)
- 🌵 **Care:** Perfect for hot climates; handle with care to avoid glochid irritation
Ready to add this unique cactus to your collection? 🌱✨ **Link in bio!**
#OpuntiaMicrodasys #BunnyEarCactus #CactusLovers #PlantParents #SucculentLife #IndoorGarden #PlantCare #HomeDecor #DesertPlants #RosaryPlantHouse #PlantAddict #CactusCollection #GreenThumb #PlantStyle #LowMaintenancePlants #CactusLove</t>
        </is>
      </c>
    </row>
    <row r="193" ht="99.5" customHeight="1">
      <c r="A193" s="73" t="n">
        <v>192</v>
      </c>
      <c r="B193" s="74" t="inlineStr">
        <is>
          <t>Opentia white (Big)</t>
        </is>
      </c>
      <c r="C193" s="74">
        <f>IF(Local!H193,"1","0")</f>
        <v/>
      </c>
      <c r="D193" s="75" t="n">
        <v>120</v>
      </c>
      <c r="E193" s="66" t="inlineStr">
        <is>
          <t>Opuntia microdasys</t>
        </is>
      </c>
      <c r="F193" s="76">
        <f>"public/sale_plants/"&amp;A193&amp;".jpg"</f>
        <v/>
      </c>
      <c r="G193" s="77" t="inlineStr">
        <is>
          <t>(5"-6")</t>
        </is>
      </c>
      <c r="H193" s="78" t="inlineStr">
        <is>
          <t>Low</t>
        </is>
      </c>
      <c r="I193" s="66" t="inlineStr">
        <is>
          <t>Low</t>
        </is>
      </c>
      <c r="J193" s="66" t="inlineStr">
        <is>
          <t>High</t>
        </is>
      </c>
      <c r="K193" s="79" t="n">
        <v>99</v>
      </c>
      <c r="L193" s="80" t="inlineStr">
        <is>
          <t>Cactus</t>
        </is>
      </c>
      <c r="M193" s="80" t="n">
        <v>1</v>
      </c>
      <c r="N193" s="80" t="n">
        <v>0</v>
      </c>
      <c r="O193" s="81" t="n">
        <v>0</v>
      </c>
      <c r="P193" s="81" t="n">
        <v>0</v>
      </c>
      <c r="Q193" s="81">
        <f>IF(Local!I193=TRUE,1,0)</f>
        <v/>
      </c>
      <c r="R193" s="81">
        <f>Local!D193</f>
        <v/>
      </c>
      <c r="S193" s="81">
        <f>Local!F193</f>
        <v/>
      </c>
      <c r="T193" s="81">
        <f>Local!G193</f>
        <v/>
      </c>
      <c r="U193" s="83" t="inlineStr">
        <is>
          <t>## About
The Bunny Ear Cactus is a popular ornamental cactus known for its distinctive flat, oval-shaped pads that resemble rabbit ears. The pads are covered with small white or yellow dots called glochids, which are tiny hair-like spines that give the plant a polka-dot appearance.
## Origin
This cactus is native to northern Mexico and desert regions of the southwestern United States. It grows naturally in arid, rocky areas with well-draining soil and plenty of sunshine.
## Temperature &amp; Humidity
- **Temperature Range:** 15Â°C to 35Â°C
- **Humidity:** Low to moderate humidity, around 30% to 50%. The plant is well adapted to dry conditions and does not require high humidity levels. It can tolerate the hot Indian summers very well.
## Growth
The Bunny Ear Cactus grows in segments, with new pads emerging from existing ones. It typically reaches a height of 40-60 cm when grown in pots, though it can grow larger in ground planting. The plant has a moderate growth rate and spreads outward as new pads develop. Each pad can be 10-15 cm long and 8-12 cm wide.
## Watering
- **Frequency:** Once every two weeks depending on season and weather conditions. During monsoon, reduce watering significantly or stop completely.
- **Tips:** Always allow the soil to dry out completely between waterings. Water less in winter (once a month or less). Overwatering is the biggest threat to this cactus. Use the soak-and-dry method - water thoroughly and then wait until soil is bone dry. In Indian summer, you may need to water slightly more frequently if kept outdoors in extreme heat.
## Sunlight
- **Hours per day:** 6 to 8 hours
- **Type:** Direct sunlight preferred. The plant thrives in full sun conditions. Can adapt to bright indirect light indoors but may grow slower and become leggy.
## Care Tips
- Handle with care as the glochids (tiny spines) can stick to skin and cause irritation
- Use tweezers or tape to remove glochids if they get on your skin
- Protect from heavy monsoon rains which can cause root rot
- If keeping indoors, place near a south or west-facing window
- The plant is drought-tolerant and perfect for beginners
- During Indian winters, the plant becomes dormant and needs minimal care
- Keep away from children and pets due to the spines
## Growth Tips
- Use cactus or succulent potting mix with excellent drainage
- Add extra sand, perlite or pumice (30-40%) to regular soil for better drainage
- Fertilize only during growing season (March to October) with diluted cactus fertilizer once a month
- Repot every 2-3 years in spring when the plant outgrows its pot
- Use a terracotta pot for better air circulation and moisture control
- Can be easily propagated by cutting off a pad, letting it dry for a few days, then planting in soil
## Common Problems
- **Yellow or brown pads:** Usually due to overwatering or root rot. Check soil moisture and reduce watering frequency.
- **Wrinkled, soft pads:** Sign of underwatering, though rare. Give the plant a good drink.
- **Leggy growth:** Insufficient sunlight. Move to a brighter location with more direct sun.
- **Slow or no growth:** Normal during winter dormancy or due to lack of nutrients. Resume fertilizing in growing season.
- **Mealybugs:** White cottony pests that appear on pads. Remove with cotton swabs dipped in rubbing alcohol.
- **Scale insects:** Brown bumps on pads. Scrape off gently or treat with neem oil solution.
- **Root rot:** Caused by overwatering and poor drainage. May require repotting with fresh soil and cutting away rotten roots.</t>
        </is>
      </c>
      <c r="V193" s="98">
        <f>HYPERLINK("https://rosaryplanthouse.com/plant/"&amp;A193&amp;"-"&amp;SUBSTITUTE(LOWER(E193), " ", "-"))</f>
        <v/>
      </c>
      <c r="W193" t="inlineStr">
        <is>
          <t>🟢 Opuntia microdasys (ID: 192)  
🌵 Ready to hop into your plant collection? Meet the stunning Bunny Ear Cactus, a delightful addition that brings a touch of the desert right to your home!  
This charming cactus features its unique flat pads resembling rabbit ears, adorned with tiny white or yellow glochids that add a playful polka-dot flair. Originating from the sun-drenched landscapes of northern Mexico, it thrives in bright sunlight and requires minimal watering.  
✨ **Key Details:**  
- **Sunlight:** Prefers 6-8 hours of direct sunlight daily ☀️  
- **Watering:** Low maintenance, water every two weeks 🌧️  
- **Growth:** Moderate growth, spreading out as new pads develop 🌱  
Don't miss your chance to bring this adorable cactus home! Check out the link in bio for more details!  
#BunnyEarCactus #OpuntiaMicrodasys #CactusLove #PlantParent #IndoorPlants #PlantCollection #Succulent #DesertVibes #PlantCare #GreenThumb #RosaryPlantHouse</t>
        </is>
      </c>
    </row>
    <row r="194" ht="99.5" customHeight="1">
      <c r="A194" s="73" t="n">
        <v>193</v>
      </c>
      <c r="B194" s="74" t="inlineStr">
        <is>
          <t>Finger Jade (Big)</t>
        </is>
      </c>
      <c r="C194" s="74">
        <f>IF(Local!H194,"1","0")</f>
        <v/>
      </c>
      <c r="D194" s="75" t="n">
        <v>120</v>
      </c>
      <c r="E194" s="66" t="inlineStr">
        <is>
          <t>Crassula ovata 'Gollum'</t>
        </is>
      </c>
      <c r="F194" s="76">
        <f>"public/sale_plants/"&amp;A194&amp;".jpg"</f>
        <v/>
      </c>
      <c r="G194" s="77" t="inlineStr">
        <is>
          <t>(4"-5")</t>
        </is>
      </c>
      <c r="H194" s="78" t="inlineStr">
        <is>
          <t>Low</t>
        </is>
      </c>
      <c r="I194" s="66" t="inlineStr">
        <is>
          <t>Low</t>
        </is>
      </c>
      <c r="J194" s="66" t="inlineStr">
        <is>
          <t>High</t>
        </is>
      </c>
      <c r="K194" s="79" t="n">
        <v>99</v>
      </c>
      <c r="L194" s="80" t="inlineStr">
        <is>
          <t>Jade</t>
        </is>
      </c>
      <c r="M194" s="80" t="n">
        <v>1</v>
      </c>
      <c r="N194" s="80" t="n">
        <v>0</v>
      </c>
      <c r="O194" s="81" t="n">
        <v>0</v>
      </c>
      <c r="P194" s="80" t="n">
        <v>1</v>
      </c>
      <c r="Q194" s="81">
        <f>IF(Local!I194=TRUE,1,0)</f>
        <v/>
      </c>
      <c r="R194" s="81">
        <f>Local!D194</f>
        <v/>
      </c>
      <c r="S194" s="81">
        <f>Local!F194</f>
        <v/>
      </c>
      <c r="T194" s="81">
        <f>Local!G194</f>
        <v/>
      </c>
      <c r="U194" s="83" t="inlineStr">
        <is>
          <t>## About
The Gollum Jade is a unique and fascinating succulent with tubular, finger-like leaves that have a red ring at the tips. This plant is a special variety of the classic jade plant and is named after the character from Lord of the Rings due to its quirky, finger-shaped leaves. It is easy to care for and makes a wonderful addition to any indoor or outdoor garden in India.
## Origin
This plant is a cultivated variety (cultivar) of Crassula ovata, which originally comes from South Africa and Mozambique. The Gollum Jade was developed through selective breeding and has become popular worldwide for its unusual appearance and low maintenance requirements.
## Temperature &amp; Humidity
- **Temperature Range:** 15Â°C to 35Â°C (can tolerate slightly higher temperatures in Indian summers)
- **Humidity:** Low to moderate humidity (30% to 50%). This plant does well in dry conditions and does not require high humidity, making it perfect for most Indian climates.
## Growth
The Gollum Jade grows slowly and can reach up to 30 to 90 cm in height when mature. It has a compact, upright growth habit with thick, woody stems that develop over time. The tubular leaves grow in clusters and give the plant a unique, sculptural appearance. In ideal conditions, it can spread about 30 to 60 cm wide. This plant can live for many years and becomes more attractive as it matures.
## Watering
- **Frequency:** Once every 10 to 14 days depending on season and weather conditions. Water less frequently during monsoon and winter months.
- **Tips:** Allow the soil to dry out completely between waterings. This plant stores water in its leaves, so overwatering is the biggest mistake you can make. In summer, you may need to water once a week depending on other parameters, but in winter, once every two to three weeks is enough. Always check the soil before wateringâ€”if it feels moist, wait a few more days.
## Sunlight
- **Hours per day:** 4 to 6 hours
- **Type:** Direct sunlight is best, but it can tolerate bright indirect light. The red coloring at the tips of the leaves becomes more vibrant with more sun exposure. Morning sunlight is ideal in very hot Indian summers to prevent leaf burn.
## Care Tips
- Place the plant in a location where it receives plenty of morning sunlight, especially during winter months
- Protect from heavy monsoon rains as too much water can cause root rot
- During extreme summer heat (above 40Â°C), provide some afternoon shade to prevent leaf scorching
- Clean the leaves occasionally with a soft cloth to remove dust and help the plant photosynthesize better
- The plant is pet-safe concerns are minimal, but it's best kept away from pets and children as ingestion may cause mild stomach upset
## Growth Tips
- Use well-draining cactus or succulent potting mix, or make your own by mixing regular potting soil with sand and perlite in equal parts
- Add a layer of small stones or gravel at the bottom of the pot for extra drainage
- Fertilize sparinglyâ€”once every 2 to 3 months during the growing season (spring and summer) with a diluted succulent fertilizer
- Repot every 2 to 3 years or when the plant becomes root-bound, preferably in spring
- Propagation is very easy through stem or leaf cuttingsâ€”just let the cutting dry for a day before planting in soil
## Common Problems
- **Yellowing or mushy leaves:** This is a sign of overwatering. Reduce watering frequency and ensure the pot has proper drainage holes
- **Wrinkled or shriveled leaves:** The plant needs water. Give it a thorough watering and it should bounce back within a day or two
- **Leggy growth with pale leaves:** Not enough sunlight. Move the plant to a brighter location with more direct sun
- **Brown spots on leaves:** Could be sunburn from intense afternoon sun or fungal issues from too much moisture. Adjust light exposure and improve air circulation
- **Mealybugs or scale insects:** Small white cottony masses or brown bumps on leaves. Wipe off with rubbing alcohol on a cotton swab and treat with neem oil spray
- **Dropping leaves:** Usually caused by overwatering, sudden temperature changes, or lack of light</t>
        </is>
      </c>
      <c r="V194" s="98">
        <f>HYPERLINK("https://rosaryplanthouse.com/plant/"&amp;A194&amp;"-"&amp;SUBSTITUTE(LOWER(E194), " ", "-"))</f>
        <v/>
      </c>
      <c r="W194" t="inlineStr">
        <is>
          <t>🟢 Crassula ovata 'Gollum' (ID: 193)
🌱 Dive into the whimsical world of the Gollum Jade! This enchanting succulent boasts unique, finger-like leaves that are sure to capture your heart and brighten your space. 
✨ **About**: The Gollum Jade is a charming cultivar of the classic jade plant, named after the quirky character from Lord of the Rings. With its tubular leaves and vibrant red tips, it's a low-maintenance beauty perfect for any indoor garden!
🌞 **Key Details**:
- **Sunlight**: Thrives in bright, direct sunlight for 4-6 hours daily. 
- **Watering**: Low frequency, every 10-14 days; allow soil to dry completely between waterings.
- **Humidity**: Prefers low to moderate humidity, making it perfect for most Indian climates.
✨ Bring home this delightful plant and watch it grow! 🌱💚 
👉 **Link in bio** for more details!
#GollumJade #CrassulaOvata #SucculentLove #IndoorPlants #PlantParent #Houseplants #PlantAddict #GreenThumb #RosaryPlantHouse #PlantCare #HomeDecor #SucculentGarden #PlantGoals #PlantLife #BotanicalBeauty</t>
        </is>
      </c>
    </row>
    <row r="195" ht="99.5" customHeight="1">
      <c r="A195" s="73" t="n">
        <v>194</v>
      </c>
      <c r="B195" s="74" t="inlineStr">
        <is>
          <t>Haworthia Fat (Big)</t>
        </is>
      </c>
      <c r="C195" s="74">
        <f>IF(Local!H195,"1","0")</f>
        <v/>
      </c>
      <c r="D195" s="75" t="n">
        <v>99</v>
      </c>
      <c r="E195" s="66" t="inlineStr">
        <is>
          <t>Haworthiopsis attenuata</t>
        </is>
      </c>
      <c r="F195" s="76">
        <f>"public/sale_plants/"&amp;A195&amp;".jpg"</f>
        <v/>
      </c>
      <c r="G195" s="77" t="inlineStr">
        <is>
          <t>(4"-5")</t>
        </is>
      </c>
      <c r="H195" s="78" t="inlineStr">
        <is>
          <t>Low</t>
        </is>
      </c>
      <c r="I195" s="66" t="inlineStr">
        <is>
          <t>Low</t>
        </is>
      </c>
      <c r="J195" s="66" t="inlineStr">
        <is>
          <t>Medium</t>
        </is>
      </c>
      <c r="K195" s="79" t="n">
        <v>199</v>
      </c>
      <c r="L195" s="80" t="inlineStr">
        <is>
          <t>Haworthia</t>
        </is>
      </c>
      <c r="M195" s="80" t="n">
        <v>1</v>
      </c>
      <c r="N195" s="80" t="n">
        <v>0</v>
      </c>
      <c r="O195" s="81" t="n">
        <v>0</v>
      </c>
      <c r="P195" s="80" t="n">
        <v>1</v>
      </c>
      <c r="Q195" s="81">
        <f>IF(Local!I195=TRUE,1,0)</f>
        <v/>
      </c>
      <c r="R195" s="81">
        <f>Local!D195</f>
        <v/>
      </c>
      <c r="S195" s="81">
        <f>Local!F195</f>
        <v/>
      </c>
      <c r="T195" s="81">
        <f>Local!G195</f>
        <v/>
      </c>
      <c r="U195" s="83" t="inlineStr">
        <is>
          <t>## About
The Zebra Cactus is a beautiful small succulent plant with dark green leaves decorated with white raised dots that form horizontal stripes. It is a popular houseplant that is very easy to care for and perfect for beginners. Despite its common name, it is not actually a cactus but a succulent.
## Origin
This plant originally comes from South Africa, particularly from the Eastern Cape Province. It grows naturally in rocky areas and grasslands where it forms small clusters. The plant is well-adapted to survive in harsh, dry conditions.
## Temperature &amp; Humidity
- **Temperature Range:** 15Â°C to 35Â°C (can tolerate Indian summers well)
- **Humidity:** Low to moderate humidity (30% to 50%). The plant is quite adaptable and does well in typical Indian home conditions. It can handle both humid coastal climates and drier inland areas.
## Growth
This is a slow-growing succulent that stays compact and small. It typically grows to about 10-15 cm in height and spreads about 10-12 cm wide. The plant forms rosettes of thick, pointed leaves arranged in a spiral pattern. Over time, it produces offsets (baby plants) at the base, creating attractive clusters. The growth is steady but not rapid, making it perfect for small spaces like tabletops and windowsills.
## Watering
- **Frequency:** Once every 10-15 days depending on season and weather conditions. Water less in monsoon and winter, slightly more during hot summer months.
- **Tips:** Always check if the soil is completely dry before watering again. Pour water until it drains out from the bottom holes. Never let the plant sit in waterlogged soil as this causes root rot. In Indian monsoon season, reduce watering significantly. Water early morning or evening, not during peak afternoon heat.
## Sunlight
- **Hours per day:** 3 to 4 hours of bright light
- **Type:** Bright indirect light or filtered morning sunlight. Can tolerate 1-2 hours of gentle direct morning sun, but protect from harsh afternoon sun which can burn the leaves and turn them brown or orange.
## Care Tips
- Keep in a well-ventilated spot, especially during humid monsoon months to prevent fungal issues
- Perfect for Indian apartments as it thrives in indoor conditions with bright windows
- Avoid placing under direct afternoon sun, especially in summer months (April-June) when temperatures soar
- The plant goes semi-dormant in extreme heat, so reduce watering during peak summer
- Wipe the leaves gently once a month to remove dust and keep the white stripes visible
- Very low maintenance - perfect for busy people or frequent travelers
## Growth Tips
- Use well-draining soil mix: combine regular potting soil with cocopeat and perlite or sand in equal parts
- Add a handful of small stones or gravel to improve drainage
- Fertilize very lightly once every 2-3 months during growing season (spring and autumn) with diluted succulent fertilizer
- Repot only when the plant becomes root-bound or offsets crowd the pot, usually every 2-3 years
- Choose terracotta or clay pots over plastic as they allow better air circulation and moisture evaporation
- The pot should have drainage holes - this is essential
## Common Problems
- **Brown or orange leaves:** Too much direct sunlight causing sunburn - move to shadier location
- **Soft, mushy leaves:** Overwatering or root rot - reduce watering immediately and check roots
- **Leaves turning pale or yellow:** Too little light - move to brighter location
- **Stretched or elongated growth:** Not enough light - the plant is reaching for light source
- **White powdery coating:** Mealybugs - wipe with cotton dipped in neem oil solution
- **Leaves drying from tips:** Underwatering or too much heat - water more frequently
- **No growth or offsets:** Lack of nutrients or pot too small - fertilize or repot</t>
        </is>
      </c>
      <c r="V195" s="98">
        <f>HYPERLINK("https://rosaryplanthouse.com/plant/"&amp;A195&amp;"-"&amp;SUBSTITUTE(LOWER(E195), " ", "-"))</f>
        <v/>
      </c>
      <c r="W195" t="inlineStr">
        <is>
          <t>🟢 Haworthiopsis Attenuata (ID: 194)
🌱 Meet the stunning Haworthia Fat, a perfect companion for both seasoned plant enthusiasts and beginners! This charming succulent boasts dark green leaves adorned with striking white stripes, making it a delightful addition to any indoor space. 
✨ **About Your New Plant Friend:**  
Originating from the rocky terrains of South Africa, this little beauty thrives with minimal care and is exceptionally adaptable to various indoor environments. Ideal for tabletops and windowsills, its compact size and low maintenance needs make it a must-have!
📝 **Key Details:**  
- **Watering:** Low maintenance; water every 10-15 days.  
- **Sunlight:** Enjoys bright indirect light with a sprinkle of morning sun.  
- **Temperature:** Thrives in a range of 15°C to 35°C – perfect for Indian summers!  
Ready to add this easy-going succulent to your collection? 🌿 Link in bio!
#Haworthia #SucculentLove #IndoorPlants #PlantParenthood #GreenThumb #PlantCare #HomeDecor #RosaryPlantHouse #PlantLovers #Houseplants #SucculentCare #ZebraCactus #EasyCarePlants</t>
        </is>
      </c>
    </row>
    <row r="196" ht="99.5" customHeight="1">
      <c r="A196" s="73" t="n">
        <v>195</v>
      </c>
      <c r="B196" s="74" t="inlineStr">
        <is>
          <t>Bramha Prabhu(big)</t>
        </is>
      </c>
      <c r="C196" s="74">
        <f>IF(Local!H196,"1","0")</f>
        <v/>
      </c>
      <c r="D196" s="75" t="n">
        <v>99</v>
      </c>
      <c r="E196" s="66" t="inlineStr">
        <is>
          <t>Echeveria 'Akmalia'</t>
        </is>
      </c>
      <c r="F196" s="76">
        <f>"public/sale_plants/"&amp;A196&amp;".jpg"</f>
        <v/>
      </c>
      <c r="G196" s="77" t="inlineStr">
        <is>
          <t>(5"-6")</t>
        </is>
      </c>
      <c r="H196" s="78" t="inlineStr">
        <is>
          <t>Moderate</t>
        </is>
      </c>
      <c r="I196" s="66" t="inlineStr">
        <is>
          <t>Low</t>
        </is>
      </c>
      <c r="J196" s="66" t="inlineStr">
        <is>
          <t>High</t>
        </is>
      </c>
      <c r="K196" s="79" t="n">
        <v>249</v>
      </c>
      <c r="L196" s="81" t="inlineStr">
        <is>
          <t>Echeveria</t>
        </is>
      </c>
      <c r="M196" s="80" t="n">
        <v>1</v>
      </c>
      <c r="N196" s="80" t="n">
        <v>0</v>
      </c>
      <c r="O196" s="81" t="n">
        <v>0</v>
      </c>
      <c r="P196" s="81" t="n">
        <v>0</v>
      </c>
      <c r="Q196" s="81">
        <f>IF(Local!I196=TRUE,1,0)</f>
        <v/>
      </c>
      <c r="R196" s="81">
        <f>Local!D196</f>
        <v/>
      </c>
      <c r="S196" s="81">
        <f>Local!F196</f>
        <v/>
      </c>
      <c r="T196" s="81">
        <f>Local!G196</f>
        <v/>
      </c>
      <c r="U196" s="83" t="inlineStr">
        <is>
          <t>## About
Echeveria 'Akmalia' is a beautiful succulent plant with thick, fleshy leaves arranged in perfect rosette patterns. This stunning variety features attractive blue-green colored leaves that form tight, compact clusters, making it a popular choice among succulent collectors and gardeners in India.
## Origin
This plant belongs to the Echeveria genus, which originally comes from semi-desert regions of Central America, mainly Mexico. However, cultivated varieties like 'Akmalia' have been bred to enhance certain features like color, size, and clustering behavior. These plants grow naturally on rocky slopes and cliffs in their native habitat.
## Temperature &amp; Humidity
- **Temperature Range:** 15Â°C to 30Â°C (can tolerate up to 35Â°C with proper care)
- **Humidity:** Low to moderate humidity (30% to 50%). This plant prefers drier conditions and does not require high humidity. It adapts well to the varying humidity levels across different Indian seasons.
## Growth
Echeveria 'Akmalia' grows in a clustering, rosette formation with multiple heads developing from the main plant. Each rosette can grow 8 to 12 cm in diameter. The plant typically reaches a height of 10 to 15 cm and spreads outward as it produces more offsets or "pups." Growth is moderate to slow, especially during hot Indian summers when the plant may go semi-dormant. The most active growth happens during cooler months (October to March in most parts of India).
## Watering
- **Frequency:** Once every 10-15 days depending on other parameters like season, temperature, and pot size. Water less frequently during monsoon and winter.
- **Tips:** Always allow the soil to dry out completely between waterings. Water thoroughly until it drains from the bottom, but never let the plant sit in water. Reduce watering significantly during the monsoon season to prevent root rot. In summer, water early morning or late evening. Avoid getting water on the leaves as this can cause rot or remove the natural powdery coating.
## Sunlight
- **Hours per day:** 4 to 6 hours
- **Type:** Bright direct sunlight in the morning or late afternoon. Protect from harsh afternoon sun during peak summer (April-June) to prevent leaf burn. Bright indirect light works well indoors near south or west-facing windows.
## Care Tips
- Provide good air circulation to prevent fungal issues, especially during monsoon
- Protect from heavy rain during monsoon season by moving under shelter or indoors
- The powdery coating on leaves (called farina) is natural protection - avoid touching leaves
- In extremely hot weather (above 38Â°C), provide afternoon shade
- Clean surrounding area to prevent pests from hiding in debris
- Rotate the pot occasionally for even growth and sunlight exposure
- During winter in North India, protect from frost if temperatures drop below 10Â°C
## Growth Tips
- Use well-draining soil: mix 60% regular potting soil with 40% coarse sand, perlite, or pumice
- Terracotta or clay pots work best as they allow soil to dry faster
- Feed with diluted liquid fertilizer (NPK 10:10:10) once every 2-3 months during growing season (October to March)
- Avoid fertilizing during summer dormancy and monsoon
- Repot every 2-3 years or when the plant becomes root-bound, preferably in October-November
- Remove dead lower leaves regularly to keep the plant clean and prevent pest hiding spots
- Propagate easily from offsets (pups) or individual leaves during cooler months
## Common Problems
- **Root rot:** Caused by overwatering or poor drainage, especially common during monsoon. Leaves become mushy and translucent.
- **Mealybugs:** White cottony pests that hide between leaves. Common in humid conditions. Remove with cotton swabs dipped in rubbing alcohol.
- **Leaf spots:** Brown or black spots from fungal infection due to water sitting on leaves or high humidity.
- **Stretching (etiolation):** Stems become long and spaces between leaves increase due to insufficient sunlight.
- **Shriveled leaves:** Lower leaves naturally dry up and can be removed. If many leaves shrivel, the plant needs water.
- **Sunburn:** Brown or white scorched patches on leaves from sudden exposure to intense afternoon sun.
- **Aphids:** Tiny insects that attack new growth and flower stalks, causing deformed growth.</t>
        </is>
      </c>
      <c r="V196" s="98">
        <f>HYPERLINK("https://rosaryplanthouse.com/plant/"&amp;A196&amp;"-"&amp;SUBSTITUTE(LOWER(E196), " ", "-"))</f>
        <v/>
      </c>
      <c r="W196" t="inlineStr">
        <is>
          <t>🟢 Echeveria 'Akmalia' (ID: 195)  
🌿 Ready to elevate your succulent collection? Meet the stunning Echeveria 'Akmalia'! This beautiful succulent features thick, fleshy blue-green leaves arranged in perfect rosettes, making it a must-have for any plant enthusiast. 🌱✨
💧 **Care Made Easy:** With low watering needs and a preference for bright sunlight, this plant thrives with minimal effort. Just remember to let the soil dry out between waterings, and you’re all set! 🌞
🌿 **Key Details:**  
- **Sunlight:** 4-6 hours of bright direct sunlight  
- **Watering:** Once every 10-15 days, adjust for season  
- **Growth:** Moderate to slow, with lovely clustering rosettes  
- **Ideal Conditions:** Thrives in low to moderate humidity  
👉 Don't miss out on adding this beauty to your home! Check out the link in bio for more details!  
#Echeveria #SucculentLove #PlantParent #Houseplants #IndoorGarden #PlantGoals #GreenThumb #RosaryPlantHouse #SucculentCollection #PlantCare #HomeDecor #NatureLovers #PlantObsessed #GardenInspiration</t>
        </is>
      </c>
    </row>
    <row r="197" ht="99.5" customHeight="1">
      <c r="A197" s="73" t="n">
        <v>196</v>
      </c>
      <c r="B197" s="90" t="inlineStr">
        <is>
          <t>Stone(big)</t>
        </is>
      </c>
      <c r="C197" s="74">
        <f>IF(Local!H197,"1","0")</f>
        <v/>
      </c>
      <c r="D197" s="75" t="n">
        <v>79</v>
      </c>
      <c r="E197" s="66" t="inlineStr">
        <is>
          <t>Haworthia cymbiformis</t>
        </is>
      </c>
      <c r="F197" s="76">
        <f>"public/sale_plants/"&amp;A197&amp;".jpg"</f>
        <v/>
      </c>
      <c r="G197" s="77" t="inlineStr">
        <is>
          <t>(5"-6")</t>
        </is>
      </c>
      <c r="H197" s="78" t="inlineStr">
        <is>
          <t>Moderate</t>
        </is>
      </c>
      <c r="I197" s="66" t="inlineStr">
        <is>
          <t>Low</t>
        </is>
      </c>
      <c r="J197" s="66" t="inlineStr">
        <is>
          <t>Medium</t>
        </is>
      </c>
      <c r="K197" s="91" t="n">
        <v>199</v>
      </c>
      <c r="L197" s="80" t="inlineStr">
        <is>
          <t>Haworthia</t>
        </is>
      </c>
      <c r="M197" s="80" t="n">
        <v>1</v>
      </c>
      <c r="N197" s="80" t="n">
        <v>0</v>
      </c>
      <c r="O197" s="81" t="n">
        <v>0</v>
      </c>
      <c r="P197" s="80" t="n">
        <v>1</v>
      </c>
      <c r="Q197" s="81">
        <f>IF(Local!I197=TRUE,1,0)</f>
        <v/>
      </c>
      <c r="R197" s="81">
        <f>Local!D197</f>
        <v/>
      </c>
      <c r="S197" s="81">
        <f>Local!F197</f>
        <v/>
      </c>
      <c r="T197" s="81">
        <f>Local!G197</f>
        <v/>
      </c>
      <c r="U197" s="83" t="inlineStr">
        <is>
          <t>## About
Cathedral Window Haworthia is a beautiful small succulent plant with bright green, boat-shaped leaves that grow in a rosette pattern. It gets its name from the translucent "windows" on the leaf tips that allow light to reach inside the plant. This compact plant is perfect for beginners and fits well in small spaces.
## Origin
This plant originally comes from South Africa, where it grows in rocky areas and grasslands. In its natural home, it often grows under the shade of larger plants or rocks, which protects it from the harsh African sun.
## Temperature &amp; Humidity
- **Temperature Range:** 15Â°C to 30Â°C (ideal range is 18Â°C to 24Â°C)
- **Humidity:** This plant prefers low to moderate humidity levels between 30% to 50%. It can easily adapt to typical indoor humidity levels found in most Indian homes. During monsoon season, ensure good air circulation to prevent fungal issues.
## Growth
Cathedral Window Haworthia is a slow-growing plant that stays compact and small. It typically grows to about 8-10 cm in height and spreads up to 10-12 cm wide. The plant forms tight rosettes of fleshy leaves and produces offsets (baby plants) around the base over time. These offsets can be separated to create new plants. The growth is slower during winter months and picks up during spring and summer.
## Watering
- **Frequency:** Once every 10-14 days depending on season and weather conditions. Water less frequently during monsoon and winter months.
- **Tips:** Always check if the soil is completely dry before watering again. Water thoroughly until water drains from the bottom holes, but never let the plant sit in water. During Indian summer (April-June), you may need to water once a week depending on how quickly the soil dries. In monsoon and winter, reduce watering to once every 2-3 weeks. Avoid getting water on the leaves as this can cause rot.
## Sunlight
- **Hours per day:** 3 to 4 hours
- **Type:** Bright indirect light or filtered morning sunlight. This plant prefers shade to partial sun. Too much direct afternoon sun can burn the leaves and turn them brown or red. East-facing windows are ideal, or a spot that gets morning sun and afternoon shade.
## Care Tips
- Keep the plant in a well-ventilated area, especially during humid monsoon months
- Protect from intense afternoon sun during Indian summers (April-June)
- Bring potted plants indoors or under shelter during heavy monsoon rains
- Clean dust from leaves gently with a soft brush to keep the "windows" clear
- Avoid moving the plant frequently as it prefers stable conditions
- During winter, reduce watering significantly as the plant goes semi-dormant
- Use pots with drainage holes to prevent water logging
## Growth Tips
- **Soil:** Use well-draining cactus or succulent mix. You can make your own by mixing regular potting soil with coarse sand and perlite in equal parts
- **Fertilizer:** Feed very lightly during growing season (spring and summer). Use diluted cactus fertilizer once every 2-3 months. Avoid fertilizing in monsoon and winter
- **Repotting:** Repot only when the plant becomes crowded, typically once every 2-3 years. Best time is early spring
- **Propagation:** Separate offsets (pups) during repotting and plant them in separate pots
## Common Problems
- **Brown or red leaves:** Too much direct sunlight. Move to a shadier spot with filtered light
- **Soft, mushy leaves:** Overwatering or root rot. Reduce watering frequency and check for drainage
- **Stretched, elongated growth:** Not enough light. Move to a brighter location
- **Leaves turning yellow:** Could be overwatering or natural aging of lower leaves
- **White crusty coating on leaves:** Mineral deposits from hard water. Use filtered or rainwater when possible
- **Mealybugs (white cotton-like pests):** Common in Indian climate. Remove with cotton swab dipped in rubbing alcohol
- **Black spots on leaves:** Fungal infection from excess moisture. Improve air circulation and reduce humidity around plant</t>
        </is>
      </c>
      <c r="V197" s="98">
        <f>HYPERLINK("https://rosaryplanthouse.com/plant/"&amp;A197&amp;"-"&amp;SUBSTITUTE(LOWER(E197), " ", "-"))</f>
        <v/>
      </c>
      <c r="W197" t="inlineStr">
        <is>
          <t>🟢 Haworthia cymbiformis (ID: 196)  
🌿 Meet the stunning Cathedral Window Haworthia, a delightful succulent that adds a touch of green elegance to any space! With its bright green, boat-shaped leaves and unique translucent tips, this compact beauty is perfect for plant beginners and small spaces alike.  
✨ Originating from the rocky terrains of South Africa, this resilient plant thrives in low to moderate humidity and prefers bright, indirect light. Its slow growth and charming rosette formation make it an ideal choice for both indoor and outdoor settings.  
🌱 **Key Details:**  
- **Watering:** Low; every 10-14 days  
- **Sunlight:** Medium; 3-4 hours of bright indirect light  
- **Care Tips:** Use well-draining soil, avoid overwatering, and protect from harsh afternoon sun  
👉 Ready to bring home this gorgeous succulent? Check out the details and make it yours! Link in bio.  
#Haworthia #SucculentLove #IndoorPlants #PlantParent #GreenThumb #HomeDecor #PlantLovers #SucculentCare #RosaryPlantHouse #PlantAddict #Houseplants #Gardening #PlantStyle #Nature #BotanicalBeauty #PlantCommunity #UrbanJungle #SucculentGarden</t>
        </is>
      </c>
    </row>
    <row r="198" ht="99.5" customHeight="1">
      <c r="A198" s="73" t="n">
        <v>197</v>
      </c>
      <c r="B198" s="74" t="inlineStr">
        <is>
          <t>tricolor sedum</t>
        </is>
      </c>
      <c r="C198" s="74">
        <f>IF(Local!H198,"1","0")</f>
        <v/>
      </c>
      <c r="D198" s="75" t="n">
        <v>69</v>
      </c>
      <c r="E198" s="66" t="inlineStr">
        <is>
          <t>Sedum spurium 'Tricolor'</t>
        </is>
      </c>
      <c r="F198" s="76">
        <f>"public/sale_plants/"&amp;A198&amp;".jpg"</f>
        <v/>
      </c>
      <c r="G198" s="77" t="inlineStr">
        <is>
          <t>(2"-3")</t>
        </is>
      </c>
      <c r="H198" s="78" t="inlineStr">
        <is>
          <t>High</t>
        </is>
      </c>
      <c r="I198" s="66" t="inlineStr">
        <is>
          <t>Low</t>
        </is>
      </c>
      <c r="J198" s="66" t="inlineStr">
        <is>
          <t>Medium</t>
        </is>
      </c>
      <c r="K198" s="79" t="n">
        <v>59</v>
      </c>
      <c r="L198" s="80" t="inlineStr">
        <is>
          <t>Sedum</t>
        </is>
      </c>
      <c r="M198" s="80" t="n">
        <v>0</v>
      </c>
      <c r="N198" s="80" t="n">
        <v>1</v>
      </c>
      <c r="O198" s="81" t="n">
        <v>0</v>
      </c>
      <c r="P198" s="80" t="n">
        <v>0</v>
      </c>
      <c r="Q198" s="81">
        <f>IF(Local!I198=TRUE,1,0)</f>
        <v/>
      </c>
      <c r="R198" s="81">
        <f>Local!D198</f>
        <v/>
      </c>
      <c r="S198" s="81">
        <f>Local!F198</f>
        <v/>
      </c>
      <c r="T198" s="81">
        <f>Local!G198</f>
        <v/>
      </c>
      <c r="U198" s="83" t="inlineStr">
        <is>
          <t>## About
Tricolor Stonecrop is a beautiful low-growing succulent with fleshy, rounded leaves that show stunning colors of green, cream, and pink. This hardy plant forms a dense mat of foliage and produces attractive star-shaped pink flowers during summer months. It is popular in rock gardens, borders, and hanging planters.
## Origin
This plant comes from the Caucasus region, including areas around Turkey, Armenia, and Iran. It naturally grows in rocky, mountainous areas where it spreads across stones and slopes. The 'Tricolor' variety is a specially bred cultivar valued for its multi-colored foliage.
## Temperature &amp; Humidity
- **Temperature Range:** 5Â°C to 35Â°C (though it prefers cooler temperatures between 15Â°C to 25Â°C for best growth)
- **Humidity:** Low to moderate humidity (30% to 50%). This plant is very tolerant of dry conditions and does not need high humidity. It can handle the dry climate of many Indian regions quite well.
## Growth
Tricolor Stonecrop is a spreading, mat-forming plant that grows 10-15 cm tall and can spread up to 30-45 cm wide. It has a moderate to fast growth rate during the growing season. The stems trail and cascade beautifully, making it perfect for hanging baskets or as ground cover. The variegated leaves create a colorful carpet effect, with the colors becoming more intense in bright light and cooler temperatures.
## Watering
- **Frequency:**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but allow excess water to drain out completely. Avoid getting water on the leaves to prevent rot. Reduce watering during winter months. This plant is drought-tolerant and prefers to stay on the drier side.
## Sunlight
- **Hours per day:** 4 to 6 hours
- **Type:** Bright indirect light or partial direct sunlight. Morning sun is ideal. In harsh Indian summers, provide afternoon shade to prevent leaf burn. The plant can tolerate full sun in cooler months but may need protection during peak summer heat (40Â°C+).
## Care Tips
- Protect from intense afternoon sun during April-June in most parts of India
- Provides excellent drainage to prevent root rot, especially during monsoon season
- The plant becomes more colorful with adequate sunlight and cooler night temperatures
- Can be kept outdoors year-round in most Indian climates except extreme cold regions
- Pinch back stems occasionally to encourage bushier growth
- Remove dead or dried leaves to maintain appearance and prevent pests
- Tolerates neglect well, making it perfect for beginners
## Growth Tips
- Use well-draining soil mix: combine regular potting soil with sand, perlite, or cocopeat in equal parts
- Add a handful of vermicompost or organic manure during planting
- Fertilize lightly once every 2-3 months during growing season (spring and autumn) with diluted liquid succulent fertilizer
- Repot every 2-3 years or when the plant outgrows its container
- Propagation is very easy through stem cuttings - simply place cuttings in moist soil and they will root within 2-3 weeks
- Use shallow, wide pots rather than deep ones as the roots are shallow
## Common Problems
- **Leggy growth:** Caused by insufficient light. Move to a brighter location.
- **Yellow or mushy leaves:** Sign of overwatering or poor drainage. Reduce watering frequency immediately.
- **Brown, crispy leaves:** Result of too much direct harsh sun or underwatering. Adjust light exposure or water slightly more.
- **Mealybugs:** White cottony pests on leaves and stems. Remove with cotton swab dipped in rubbing alcohol or neem oil spray.
- **Root rot:** Caused by waterlogged soil or poor drainage. Ensure pots have drainage holes and use well-draining soil.
- **Loss of color:** Insufficient light causes leaves to become plain green. Increase light exposure gradually.
- **Leaf drop:** Can occur due to sudden temperature changes or extreme heat stress during summer.</t>
        </is>
      </c>
      <c r="V198" s="98">
        <f>HYPERLINK("https://rosaryplanthouse.com/plant/"&amp;A198&amp;"-"&amp;SUBSTITUTE(LOWER(E198), " ", "-"))</f>
        <v/>
      </c>
      <c r="W198" t="inlineStr">
        <is>
          <t>🟢 Sedum spurium 'Tricolor' (ID: 197)  
🌈 Transform your space with the vibrant beauty of the Tricolor Sedum! This low-growing succulent showcases stunning shades of green, cream, and pink, perfect for adding a splash of color to your garden or hanging planters.  
✨ **About this beauty:**  
The Tricolor Stonecrop is not only visually striking but also incredibly hardy. It thrives in rocky landscapes and features star-shaped pink flowers that bloom in the summer, making it a delightful addition to any outdoor setting!  
💚 **Key Details:**  
- **Watering:** Low; once every 10-14 days  
- **Sunlight:** Medium; 4-6 hours of bright indirect light  
- **Care:** Perfect for beginners; tolerates neglect well  
👉 Ready to brighten up your home? Check out the Tricolor Sedum – Link in bio!  
#SedumSpurium #TricolorSedum #SucculentLove #PlantParent #GardeningLife #GreenThumb #PlantMom #SucculentCare #OutdoorPlants #HangingPlants #RosaryPlantHouse #PlantAddict #HomeDecor #GardenGoals</t>
        </is>
      </c>
    </row>
    <row r="199" ht="99.5" customHeight="1">
      <c r="A199" s="73" t="n">
        <v>198</v>
      </c>
      <c r="B199" s="74" t="inlineStr">
        <is>
          <t>snake normal long</t>
        </is>
      </c>
      <c r="C199" s="74">
        <f>IF(Local!H199,"1","0")</f>
        <v/>
      </c>
      <c r="D199" s="75" t="n">
        <v>149</v>
      </c>
      <c r="E199" s="66" t="inlineStr">
        <is>
          <t>Sansevieria trifasciata</t>
        </is>
      </c>
      <c r="F199" s="76">
        <f>"public/sale_plants/"&amp;A199&amp;".jpg"</f>
        <v/>
      </c>
      <c r="G199" s="77" t="inlineStr">
        <is>
          <t>(5"-6")</t>
        </is>
      </c>
      <c r="H199" s="78" t="inlineStr">
        <is>
          <t>Low</t>
        </is>
      </c>
      <c r="I199" s="66" t="inlineStr">
        <is>
          <t>Low</t>
        </is>
      </c>
      <c r="J199" s="66" t="inlineStr">
        <is>
          <t>Medium</t>
        </is>
      </c>
      <c r="K199" s="79" t="n">
        <v>69</v>
      </c>
      <c r="L199" s="80" t="inlineStr">
        <is>
          <t>Sansevieria</t>
        </is>
      </c>
      <c r="M199" s="80" t="n">
        <v>0</v>
      </c>
      <c r="N199" s="80" t="n">
        <v>0</v>
      </c>
      <c r="O199" s="81" t="n">
        <v>0</v>
      </c>
      <c r="P199" s="81" t="n">
        <v>1</v>
      </c>
      <c r="Q199" s="81">
        <f>IF(Local!I199=TRUE,1,0)</f>
        <v/>
      </c>
      <c r="R199" s="81">
        <f>Local!D199</f>
        <v/>
      </c>
      <c r="S199" s="81">
        <f>Local!F199</f>
        <v/>
      </c>
      <c r="T199" s="81">
        <f>Local!G199</f>
        <v/>
      </c>
      <c r="U199" s="83" t="inlineStr">
        <is>
          <t>## About
The Snake Plant, also known as Mother-in-Law's Tongue, is one of the most popular and easy-to-care-for houseplants in the world. With its striking upright leaves featuring beautiful green and silver patterns, this plant is perfect for beginners and busy plant owners who want a tough, low-maintenance addition to their home.
## Origin
Snake Plant is native to tropical West Africa, particularly Nigeria and the Congo region. In its natural habitat, it grows in rocky, dry areas where it has adapted to survive with minimal water and varying light conditions. This makes it incredibly resilient and perfect for Indian homes.
## Temperature &amp; Humidity
- **Temperature Range:** 15Â°C to 35Â°C (thrives well in typical Indian temperatures)
- **Humidity:** Very adaptable, tolerates both low humidity (30%) and high humidity (70%). Does not require any special humidity care, making it ideal for Indian climate across all seasons and regions.
## Growth
Snake Plant is a slow to moderate grower that can reach heights of 30 cm to 120 cm depending on the variety. The leaves grow upright in a rosette pattern from the soil. It spreads slowly by producing pups (baby plants) from underground rhizomes. The plant maintains a compact footprint, making it perfect for small spaces, corners, and tabletops.
## Watering
- **Frequency:** Once every 2-3 weeks depending on season and weather conditions. In monsoon, water even less frequently. In hot summer months, you may water once every 10-14 days.
- **Tips:** Always check if the soil is completely dry before watering. Overwatering is the biggest mistake with Snake Plants. Let the soil dry out completely between waterings. Water less in winter and rainy season. Make sure the pot has drainage holes to prevent root rot.
## Sunlight
- **Hours per day:** 2 to 6 hours
- **Type:** Bright indirect light is ideal, but tolerates low light and even some direct morning sunlight. Can survive in artificial light as well, making it perfect for offices and bathrooms.
## Care Tips
- Extremely low maintenance and perfect for beginners
- Can tolerate neglect better than most plants
- Wipe leaves monthly with a damp cloth to remove dust and keep them shiny
- Ideal for bedrooms as it releases oxygen at night
- Works well in air-conditioned rooms
- No need for misting or special humidity care in any Indian climate
- Protect from frost in North India during extreme winter nights
- Can survive in both coastal humid areas and dry inland regions of India
## Growth Tips
- Use well-draining soil mix: mix regular potting soil with 30-40% cocopeat and perlite or sand
- Feed with diluted liquid fertilizer once every 2-3 months during growing season (spring and summer)
- Repot only when the plant becomes root-bound, usually every 2-3 years
- Use terracotta or clay pots for better drainage
- Propagate easily by leaf cuttings or by dividing pups from the mother plant
- Avoid heavy, water-retaining soil as it causes root rot
## Common Problems
- **Yellow or mushy leaves:** Caused by overwatering and root rot. Reduce watering immediately
- **Brown tips:** Usually from fluoride in tap water or inconsistent watering. Use filtered water if possible
- **Wrinkled or curling leaves:** Sign of severe underwatering. Water thoroughly
- **Slow or no growth:** Normal behavior, as Snake Plant is naturally slow-growing. May also indicate need for fertilizer
- **Pests:** Rarely affected, but occasionally spider mites or mealybugs may appear. Wipe leaves with neem oil solution
- **Falling over:** Leaves may fall if planted in too large a pot or if soil is too loose. Use appropriate pot size</t>
        </is>
      </c>
      <c r="V199" s="98">
        <f>HYPERLINK("https://rosaryplanthouse.com/plant/"&amp;A199&amp;"-"&amp;SUBSTITUTE(LOWER(E199), " ", "-"))</f>
        <v/>
      </c>
      <c r="W199" t="inlineStr">
        <is>
          <t>🟢 Sansevieria trifasciata (ID: 198)
🌿 **Breathe Easy with the Snake Plant!** 🌿
Looking for a low-maintenance, stylish addition to your home? Meet the Sansevieria trifasciata, also known as the Snake Plant! With its striking upright leaves and resilient nature, this beauty is perfect for both novice plant parents and seasoned enthusiasts alike. 🌱✨
**Key Details:**
- 🌞 **Sunlight:** Thrives in bright indirect light but tolerates low light too!
- 💧 **Watering:** Just once every 2-3 weeks – perfect for the busy lifestyle!
- 🌍 **Adaptable:** Native to tropical West Africa, it flourishes in various climates, making it ideal for Indian homes.
Ready to elevate your indoor space with this stunning plant? Tap the link in bio to grab your own Snake Plant today! 🌿💚
#SnakePlant #Sansevieria #Houseplants #IndoorPlants #PlantParent #HomeDecor #GreenThumb #LowMaintenancePlants #AirPurifyingPlants #RosaryPlantHouse #PlantLovers #Gardening #HomeAndGarden #PlantAddict</t>
        </is>
      </c>
    </row>
    <row r="200" ht="99.5" customHeight="1">
      <c r="A200" s="73" t="n">
        <v>199</v>
      </c>
      <c r="B200" s="74" t="inlineStr">
        <is>
          <t>aloe vera normal</t>
        </is>
      </c>
      <c r="C200" s="74">
        <f>IF(Local!H200,"1","0")</f>
        <v/>
      </c>
      <c r="D200" s="75" t="n">
        <v>149</v>
      </c>
      <c r="E200" s="66" t="inlineStr">
        <is>
          <t>Aloe vera</t>
        </is>
      </c>
      <c r="F200" s="76">
        <f>"public/sale_plants/"&amp;A200&amp;".jpg"</f>
        <v/>
      </c>
      <c r="G200" s="77" t="inlineStr">
        <is>
          <t>(4"-5")</t>
        </is>
      </c>
      <c r="H200" s="78" t="inlineStr">
        <is>
          <t>Low</t>
        </is>
      </c>
      <c r="I200" s="66" t="inlineStr">
        <is>
          <t>Low</t>
        </is>
      </c>
      <c r="J200" s="66" t="inlineStr">
        <is>
          <t>Medium</t>
        </is>
      </c>
      <c r="K200" s="79" t="n">
        <v>69</v>
      </c>
      <c r="L200" s="80" t="inlineStr">
        <is>
          <t>Aloe</t>
        </is>
      </c>
      <c r="M200" s="80" t="n">
        <v>0</v>
      </c>
      <c r="N200" s="80" t="n">
        <v>0</v>
      </c>
      <c r="O200" s="81" t="n">
        <v>0</v>
      </c>
      <c r="P200" s="80" t="n">
        <v>1</v>
      </c>
      <c r="Q200" s="81">
        <f>IF(Local!I200=TRUE,1,0)</f>
        <v/>
      </c>
      <c r="R200" s="81">
        <f>Local!D200</f>
        <v/>
      </c>
      <c r="S200" s="81">
        <f>Local!F200</f>
        <v/>
      </c>
      <c r="T200" s="81">
        <f>Local!G200</f>
        <v/>
      </c>
      <c r="U200" s="83" t="inlineStr">
        <is>
          <t>## About
Aloe Vera is a popular succulent plant known for its thick, fleshy leaves filled with healing gel. Originally from the Arabian Peninsula, it has become one of the most beloved houseplants worldwide and is especially valued for its medicinal properties and easy care requirements.
## Origin
Aloe Vera is native to the Arabian Peninsula but now grows wild in tropical, semi-tropical, and arid climates around the world. It has been cultivated for thousands of years and thrives particularly well in warm regions like India, where it is commonly grown both indoors and in gardens.
## Temperature &amp; Humidity
- **Temperature Range:** 15Â°C to 35Â°C (ideal range is 18Â°C to 30Â°C)
- **Humidity:** Prefers low to moderate humidity (30% to 50%). It tolerates dry air very well and does not require high humidity. In fact, too much humidity combined with poor air circulation can lead to fungal issues.
## Growth
Aloe Vera is a rosette-forming succulent that typically grows 30 to 60 cm tall and spreads about 30 to 45 cm wide. It is a slow to moderate grower, producing offsets or "pups" from the base that can be separated and propagated. The leaves grow upright in a spiral pattern from the center and can reach 40 to 50 cm in length. As the plant matures, it may produce a tall flower spike with tubular yellow or orange flowers.
## Watering
- **Frequency:** Water once every two weeks depending on season and weather conditions. In monsoon or winter, water even less frequentlyâ€”once every three weeks or when soil is completely dry.
- **Tips:** Always check if the top 5 cm of soil is dry before watering. Water thoroughly until it drains from the bottom, then allow the soil to dry completely. Overwatering is the most common mistake with Aloe Vera. During Indian summers, you may need to water slightly more often, but never let the plant sit in water. Reduce watering drastically during the monsoon season.
## Sunlight
- **Hours per day:** 4 to 6 hours
- **Type:** Bright indirect light is ideal, though it can tolerate a few hours of direct morning sunlight. Avoid harsh afternoon sun in Indian summers as it can cause the leaves to turn brown or reddish. Filtered or dappled sunlight works best.
## Care Tips
- Place near a bright window with indirect light if growing indoors
- Rotate the pot occasionally to ensure even growth
- Avoid placing in areas with cold drafts or air conditioning vents
- In hot Indian summers, provide shade during peak afternoon hours (12 PM to 4 PM)
- Remove dead or dried lower leaves to keep the plant healthy
- Ensure good air circulation around the plant to prevent fungal problems during monsoon
- Wipe leaves gently with a damp cloth to remove dust and help the plant breathe
## Growth Tips
- Use a well-draining cactus or succulent potting mix, or make your own by mixing regular potting soil with coarse sand and perlite in equal parts
- Terra cotta or clay pots work best as they allow excess moisture to evaporate
- Ensure the pot has drainage holes at the bottom
- Fertilize sparinglyâ€”once every 2 to 3 months during the growing season (spring and summer) with a diluted succulent fertilizer
- Repot every 2 to 3 years or when the plant becomes root-bound or produces many pups
- Propagate by separating pups that have at least 4 to 5 leaves and their own roots
## Common Problems
- **Brown or soft leaves:** Usually caused by overwatering or root rot. Reduce watering immediately and check roots for rot.
- **Leaves turning brown or reddish:** Too much direct sunlight, especially harsh afternoon sun. Move to a shadier spot.
- **Thin, pale, or drooping leaves:** Not enough sunlight. Move to a brighter location.
- **Leaf tips turning brown:** Natural aging process or underwatering. Trim brown tips and adjust watering.
- **Pests:** Mealybugs and scale insects can attack Aloe Vera. Remove manually with cotton swabs dipped in rubbing alcohol or neem oil solution.
- **Fungal issues:** Occur during monsoon with poor drainage. Ensure pot drains well and reduce watering during rainy season.</t>
        </is>
      </c>
      <c r="V200" s="98">
        <f>HYPERLINK("https://rosaryplanthouse.com/plant/"&amp;A200&amp;"-"&amp;SUBSTITUTE(LOWER(E200), " ", "-"))</f>
        <v/>
      </c>
      <c r="W200" t="inlineStr">
        <is>
          <t>🟢 Aloe Vera (ID: 199)  
🌿 Unlock the secrets of nature’s healing powerhouse!  
Discover the wonders of Aloe Vera, a succulent marvel celebrated for its thick, gel-filled leaves that are brimming with medicinal benefits. Originally hailing from the Arabian Peninsula, this beloved houseplant thrives in various climates, making it the perfect companion for any indoor setting!  
✨ **Key Details:**  
- **Watering:** Low maintenance; water every two weeks!  
- **Sunlight:** Loves medium, bright indirect light for optimal growth.  
- **Care Tips:** Keep it near a bright window and rotate for even growth.  
Ready to bring home this green gem? 🌱 Check the “Link in bio” to learn more!  
#AloeVera #IndoorPlants #Succulents #PlantLovers #Houseplants #GreenThumb #PlantCare #HealingPlants #RosaryPlantHouse #EcoFriendly #HomeDecor #PlantParent #GardeningJoy</t>
        </is>
      </c>
    </row>
    <row r="201" ht="99.5" customHeight="1">
      <c r="A201" s="73" t="n">
        <v>200</v>
      </c>
      <c r="B201" s="74" t="inlineStr">
        <is>
          <t>wax ivy(green border)</t>
        </is>
      </c>
      <c r="C201" s="74">
        <f>IF(Local!H201,"1","0")</f>
        <v/>
      </c>
      <c r="D201" s="75" t="n">
        <v>120</v>
      </c>
      <c r="E201" s="66" t="inlineStr">
        <is>
          <t>Hoya carnosa 'Tricolor'</t>
        </is>
      </c>
      <c r="F201" s="76">
        <f>"public/sale_plants/"&amp;A201&amp;".jpg"</f>
        <v/>
      </c>
      <c r="G201" s="77" t="inlineStr">
        <is>
          <t>(5"-6")</t>
        </is>
      </c>
      <c r="H201" s="78" t="inlineStr">
        <is>
          <t>High</t>
        </is>
      </c>
      <c r="I201" s="66" t="inlineStr">
        <is>
          <t>Low</t>
        </is>
      </c>
      <c r="J201" s="66" t="inlineStr">
        <is>
          <t>Medium</t>
        </is>
      </c>
      <c r="K201" s="79" t="n">
        <v>49</v>
      </c>
      <c r="L201" s="80" t="inlineStr">
        <is>
          <t>Creeper</t>
        </is>
      </c>
      <c r="M201" s="80" t="n">
        <v>0</v>
      </c>
      <c r="N201" s="80" t="n">
        <v>1</v>
      </c>
      <c r="O201" s="81" t="n">
        <v>0</v>
      </c>
      <c r="P201" s="80" t="n">
        <v>1</v>
      </c>
      <c r="Q201" s="81">
        <f>IF(Local!I201=TRUE,1,0)</f>
        <v/>
      </c>
      <c r="R201" s="81">
        <f>Local!D201</f>
        <v/>
      </c>
      <c r="S201" s="81">
        <f>Local!F201</f>
        <v/>
      </c>
      <c r="T201" s="81">
        <f>Local!G201</f>
        <v/>
      </c>
      <c r="U201" s="83" t="inlineStr">
        <is>
          <t>## About
Wax Ivy with Green Border, also known as Hoya carnosa 'Tricolor', is a beautiful variegated trailing plant that belongs to the Hoya family. This stunning plant features thick, waxy leaves with cream, white, and green colors bordered by green edges, making it a popular choice for indoor decoration. It's loved by plant collectors for its low maintenance needs and attractive foliage.
## Origin
This plant is native to Eastern Asia and Australia, particularly found in tropical and subtropical regions. Hoya plants naturally grow as epiphytes in their native habitat, climbing on trees and rocks in warm, humid forests. The 'Tricolor' variety is a cultivated form bred for its striking variegated leaves.
## Temperature &amp; Humidity
- **Temperature Range:** 15Â°C to 30Â°C (ideal range is 18Â°C to 27Â°C)
- **Humidity:** Prefers moderate to high humidity levels between 40% to 60%. While it can tolerate average household humidity, higher humidity encourages better growth and prevents leaf edges from browning. In dry Indian summers, occasional misting or placing near a humidity tray helps.
## Growth
Wax Ivy is a slow to moderate-growing trailing or climbing plant. Mature plants can trail down 1 to 2 meters if given proper support or allowed to cascade from hanging baskets. The stems are flexible and can be trained to climb on trellises or moss poles. New leaves emerge in a pinkish-cream color and gradually mature to show the characteristic green borders. The plant has a compact growth habit and can be pruned to maintain desired shape and size.
## Watering
- **Frequency:** Water once every 1-2 weeks depending on season and weather conditions. In summer, water more frequently; in winter, reduce watering.
- **Tips:** Allow the soil to dry out almost completely between waterings. Hoyas store water in their thick leaves, so they are quite drought-tolerant. Overwatering is the biggest enemy of this plant. Always check the top 2-3 inches of soil before watering. During monsoon season, reduce watering frequency as humidity is naturally high. Use room temperature water and ensure the pot has good drainage holes.
## Sunlight
- **Hours per day:** 3 to 5 hours
- **Type:** Bright indirect light or filtered morning sunlight. Avoid harsh afternoon sun which can scorch the variegated leaves. East-facing windows or partially shaded balconies work well in Indian homes.
## Care Tips
- Keep away from direct afternoon sun in hot Indian summers as variegated leaves can burn easily
- Clean the waxy leaves occasionally with a soft damp cloth to remove dust and improve photosynthesis
- Do not move the plant frequently once it's settled, as Hoyas don't like being disturbed
- Provide good air circulation to prevent fungal issues during humid monsoon months
- Slightly rootbound conditions encourage better flowering, so don't rush to repot
- Reduce watering significantly during winter months when growth slows down
## Growth Tips
- Use well-draining soil mix combining regular potting soil with perlite, cocopeat, and orchid bark in equal proportions
- Feed with diluted liquid fertilizer once a month during growing season (March to October)
- Use a balanced NPK fertilizer (10:10:10) or a bloom booster when the plant is mature to encourage flowering
- Repot only when severely rootbound, typically every 2-3 years
- Prune only to shape or remove dead growth; avoid cutting flower spurs as they produce blooms year after year
- Propagate easily through stem cuttings in spring or early summer
## Common Problems
- **Yellow leaves:** Usually caused by overwatering or poor drainage; check roots for rot
- **Brown leaf edges:** Low humidity or underwatering; increase humidity and check watering schedule
- **Leaf drop:** Sudden temperature changes, overwatering, or rootbound conditions
- **Mealybugs and aphids:** Common pests that hide in leaf joints; wipe with neem oil solution
- **No flowering:** Insufficient light, too young (needs to be 2-3 years old), or overfertilizing with nitrogen
- **Leggy growth:** Not enough light; move to a brighter location
- **Root rot:** Overwatering and poor drainage; ensure pot has drainage holes and soil dries between waterings</t>
        </is>
      </c>
      <c r="V201" s="98">
        <f>HYPERLINK("https://rosaryplanthouse.com/plant/"&amp;A201&amp;"-"&amp;SUBSTITUTE(LOWER(E201), " ", "-"))</f>
        <v/>
      </c>
      <c r="W201" t="inlineStr">
        <is>
          <t>🟢 Hoya carnosa 'Tricolor' (ID: 200)
🌿 Elevate your indoor jungle with the stunning Hoya carnosa 'Tricolor'! This fabulous Wax Ivy with a green border is here to add a splash of color and elegance to your space. 
✨ With its thick, waxy leaves showcasing a beautiful blend of cream, white, and green, this trailing beauty is a favorite among plant enthusiasts for its low maintenance and striking appearance. Perfect for hanging baskets or cascading down a trellis!
🌞 **Key Details:**
- 🌱 **Watering:** Low – let the soil dry out between waterings
- ☀️ **Sunlight:** Medium – enjoys bright indirect light
- 💧 **Humidity:** Prefers moderate to high levels for optimal growth
🪴 Ready to bring home this beauty? Check out the 'Link in bio' for more details! 
#HoyaCarnosa #Tricolor #WaxIvy #IndoorPlants #PlantLovers #HomeDecor #GreenThumb #PlantCare #IndoorJungle #Ecommerce #RosaryPlantHouse #PlantParent #HangingPlants #PlantAddict #ThrivingPlants #HouseplantClub</t>
        </is>
      </c>
    </row>
    <row r="202" ht="99.5" customHeight="1">
      <c r="A202" s="73" t="n">
        <v>201</v>
      </c>
      <c r="B202" s="74" t="inlineStr">
        <is>
          <t>stone brown</t>
        </is>
      </c>
      <c r="C202" s="74">
        <f>IF(Local!H202,"1","0")</f>
        <v/>
      </c>
      <c r="D202" s="75" t="n">
        <v>59</v>
      </c>
      <c r="E202" s="66" t="inlineStr">
        <is>
          <t>Haworthia cymbiformis</t>
        </is>
      </c>
      <c r="F202" s="76">
        <f>"public/sale_plants/"&amp;A202&amp;".jpg"</f>
        <v/>
      </c>
      <c r="G202" s="77" t="inlineStr">
        <is>
          <t>(2"-3")</t>
        </is>
      </c>
      <c r="H202" s="78" t="inlineStr">
        <is>
          <t>Low</t>
        </is>
      </c>
      <c r="I202" s="66" t="inlineStr">
        <is>
          <t>Low</t>
        </is>
      </c>
      <c r="J202" s="66" t="inlineStr">
        <is>
          <t>Low</t>
        </is>
      </c>
      <c r="K202" s="92" t="n">
        <v>69</v>
      </c>
      <c r="L202" s="80" t="inlineStr">
        <is>
          <t>Haworthia</t>
        </is>
      </c>
      <c r="M202" s="80" t="n">
        <v>0</v>
      </c>
      <c r="N202" s="80" t="n">
        <v>0</v>
      </c>
      <c r="O202" s="81" t="n">
        <v>0</v>
      </c>
      <c r="P202" s="81" t="n">
        <v>1</v>
      </c>
      <c r="Q202" s="81">
        <f>IF(Local!I202=TRUE,1,0)</f>
        <v/>
      </c>
      <c r="R202" s="81">
        <f>Local!D202</f>
        <v/>
      </c>
      <c r="S202" s="81">
        <f>Local!F202</f>
        <v/>
      </c>
      <c r="T202" s="81">
        <f>Local!G202</f>
        <v/>
      </c>
      <c r="U202" s="83" t="inlineStr">
        <is>
          <t>## About
Haworthia cymbiformis, commonly known as Cathedral Window Haworthia, is a beautiful small succulent with translucent, boat-shaped leaves that form attractive rosettes. Native to South Africa, this plant is perfect for beginners and thrives well in Indian homes with minimal care.
## Origin
This plant comes from the Eastern Cape region of South Africa, where it grows naturally in rocky areas and under the shade of larger plants. It is adapted to survive in areas with limited water and bright but filtered sunlight.
## Temperature &amp; Humidity
- **Temperature Range:** 15Â°C to 30Â°C
- **Humidity:** This plant prefers moderate humidity levels between 40% to 60%, which is typical of most Indian homes. It can tolerate dry air but grows better with some humidity.
## Growth
Haworthia cymbiformis is a slow-growing succulent that stays compact and small. It typically grows to about 8-10 cm in height and spreads up to 10-15 cm wide. The plant forms tight rosettes and produces offsets (baby plants) around the base, which can be separated to create new plants. It is a clump-forming succulent that stays neat and tidy.
## Watering
- **Frequency:** Water once every two weeks during summer, depending on other parameters like humidity and pot size. In monsoon and winter, reduce watering to once every three to four weeks.
- **Tips:** Always check if the soil is completely dry before watering. Water the soil directly and avoid getting water on the leaves or in the center of the rosette, as this can cause rot. Use well-draining soil and pots with drainage holes to prevent waterlogging.
## Sunlight
- **Hours per day:** 2 to 4 hours
- **Type:** Bright indirect light or filtered sunlight. Avoid direct harsh afternoon sun, especially during Indian summers, as it can burn the leaves and turn them brown or red.
## Care Tips
- Keep the plant in a bright spot indoors, near an east or north-facing window
- Protect from intense direct sunlight during peak afternoon hours (12 PM to 4 PM)
- During monsoon season, reduce watering significantly and ensure good air circulation to prevent fungal issues
- Wipe dust off the leaves gently with a soft cloth to keep them clean and help them absorb light better
- Avoid placing the plant in areas with cold drafts from air conditioners
- This plant does well in normal room temperatures found in most Indian homes
## Growth Tips
- Use a well-draining succulent or cactus potting mix, or mix regular soil with cocopeat and sand in equal parts
- Add perlite or small stones to improve drainage
- Fertilize once every 2-3 months during the growing season (spring and early summer) with a diluted liquid succulent fertilizer
- Repot every 2-3 years or when the plant becomes root-bound or produces too many offsets
- Use shallow pots as this plant has a small root system
- Propagate easily by separating offsets from the mother plant during repotting
## Common Problems
- **Brown or red leaves:** Usually caused by too much direct sunlight or heat stress, especially common during Indian summers
- **Soft, mushy leaves:** Sign of overwatering or root rot; reduce watering immediately and check roots
- **Stretched or elongated growth:** Not enough light; move the plant to a brighter location
- **Shriveled or dried leaves:** Underwatering, though this is less common; increase watering slightly
- **White cotton-like spots:** Mealybugs, a common pest; remove with cotton swabs dipped in rubbing alcohol
- **Leaves turning pale or translucent:** Too much water or not enough light; adjust care accordingly
- **No growth:** Normal during winter months when the plant goes semi-dormant; resume regular care in spring</t>
        </is>
      </c>
      <c r="V202" s="98">
        <f>HYPERLINK("https://rosaryplanthouse.com/plant/"&amp;A202&amp;"-"&amp;SUBSTITUTE(LOWER(E202), " ", "-"))</f>
        <v/>
      </c>
      <c r="W202" t="inlineStr">
        <is>
          <t>🟢 Haworthia cymbiformis (ID: 201)  
🌿 Meet the enchanting Stone Brown! 🌿 This stunning succulent is perfect for both seasoned plant lovers and beginners alike. With its unique, translucent, boat-shaped leaves forming compact rosettes, it’s not just a plant; it’s a piece of nature's art! 🎨✨  
📝 About: Native to the rocky terrains of South Africa, the Cathedral Window Haworthia thrives indoors with minimal care, making it an ideal companion for your home. Its low light and watering needs fit seamlessly into any lifestyle!  
🔑 Key Details:  
- 🌞 Light: Bright indirect light or filtered sunlight  
- 💧 Watering: Every 2 weeks in summer, less in winter  
- 🌡️ Temperature: Prefers 15°C to 30°C  
- 🌬️ Humidity: Thrives in moderate humidity (40%-60%)  
🌱 Ready to elevate your plant game? Check out this beauty and more at Rosary Plant House! Link in bio.  
#Haworthia #SucculentLove #IndoorPlants #PlantParent #GreenThumb #HomeDecor #PlantCare #SucculentGarden #RosaryPlantHouse #PlantAddict #NatureLovers #Houseplants #SouthAfricanSucculents #SucculentStyle #PlantOfTheDay</t>
        </is>
      </c>
    </row>
    <row r="203" ht="99.5" customHeight="1">
      <c r="A203" s="73" t="n">
        <v>202</v>
      </c>
      <c r="B203" s="74" t="inlineStr">
        <is>
          <t>variegated leaf</t>
        </is>
      </c>
      <c r="C203" s="74">
        <f>IF(Local!H203,"1","0")</f>
        <v/>
      </c>
      <c r="D203" s="75" t="n">
        <v>149</v>
      </c>
      <c r="E203" s="66" t="inlineStr">
        <is>
          <t>Crassula sarmentosa 'Variegata'</t>
        </is>
      </c>
      <c r="F203" s="76">
        <f>"public/sale_plants/"&amp;A203&amp;".jpg"</f>
        <v/>
      </c>
      <c r="G203" s="77" t="inlineStr">
        <is>
          <t>(2"-3")</t>
        </is>
      </c>
      <c r="H203" s="78" t="inlineStr">
        <is>
          <t>Moderate</t>
        </is>
      </c>
      <c r="I203" s="66" t="inlineStr">
        <is>
          <t>Low</t>
        </is>
      </c>
      <c r="J203" s="66" t="inlineStr">
        <is>
          <t>Medium</t>
        </is>
      </c>
      <c r="K203" s="79" t="n">
        <v>79</v>
      </c>
      <c r="L203" s="80" t="inlineStr">
        <is>
          <t>Crassula</t>
        </is>
      </c>
      <c r="M203" s="80" t="n">
        <v>0</v>
      </c>
      <c r="N203" s="80" t="n">
        <v>0</v>
      </c>
      <c r="O203" s="81" t="n">
        <v>0</v>
      </c>
      <c r="P203" s="80" t="n">
        <v>0</v>
      </c>
      <c r="Q203" s="81" t="n">
        <v>1</v>
      </c>
      <c r="R203" s="81">
        <f>Local!D203</f>
        <v/>
      </c>
      <c r="S203" s="81">
        <f>Local!F203</f>
        <v/>
      </c>
      <c r="T203" s="81">
        <f>Local!G203</f>
        <v/>
      </c>
      <c r="U203" s="83" t="inlineStr">
        <is>
          <t>## About
Crassula sarmentosa 'Variegata', commonly known as Variegated Trailing Jade, is a beautiful succulent with cream and yellow variegated leaves edged with green. This trailing variety makes an excellent choice for hanging baskets and is perfect for adding color to any indoor or outdoor space. The plant is known for its low maintenance requirements and stunning decorative appeal.
## Origin
This plant originates from South Africa, specifically the Eastern Cape region. It grows naturally in rocky areas and cliff faces where it forms trailing cascades. The variegated form is a cultivated variety that has been selected for its attractive coloring.
## Temperature &amp; Humidity
- **Temperature Range:** 15Â°C to 30Â°C (can tolerate up to 35Â°C in Indian summers)
- **Humidity:** Prefers low to moderate humidity levels between 30% to 50%. This plant adapts well to typical Indian household humidity and doesn't require misting. During monsoon season, ensure good air circulation to prevent fungal issues.
## Growth
Variegated Trailing Jade grows in a cascading or trailing manner, making it ideal for hanging pots or elevated planters. The stems can grow up to 30-60 cm long, with fleshy, rounded leaves arranged in opposite pairs along the stems. Growth rate is moderate to slow, especially for the variegated form. The plant branches naturally and becomes fuller with age. In Indian climate, it shows active growth during cooler months (October to March).
## Watering
- **Frequency:** Once every 10-14 days depending on season and weather conditions. During summer, you may need to water once a week depending on other parameters, while in monsoon, reduce to once every 2-3 weeks depending on other parameters.
- **Tips:** Always check if the soil is completely dry before watering. Water thoroughly until it drains from the bottom, then empty the saucer. Reduce watering significantly during monsoon months. The fleshy leaves store water, so it's better to underwater than overwater. In winter months, water even less frequently.
## Sunlight
- **Hours per day:** 3 to 5 hours
- **Type:** Bright indirect light or filtered morning sun. The variegated leaves are more sensitive to harsh direct sunlight and can burn easily. In Indian conditions, morning sun (before 10 AM) is ideal. Avoid harsh afternoon sun, especially during summer months. Can tolerate partial shade but colors will be less vibrant.
## Care Tips
- Place in a location with bright indirect light for best variegation color
- Protect from harsh afternoon sun during Indian summers (especially April-June)
- Bring indoors or provide shelter during heavy monsoon rains
- Rotate the plant occasionally for even growth on all sides
- Keep away from cold drafts in air-conditioned rooms
- The plant is sensitive to overwatering, so err on the side of caution
- Prune leggy stems to encourage bushier growth
- Wipe leaves gently with a dry cloth to remove dust
## Growth Tips
- **Soil:** Use a well-draining succulent or cactus mix. You can make your own by mixing regular potting soil with cocopeat, perlite, and sand in equal parts
- **Fertilizer:** Feed with a diluted liquid succulent fertilizer once every 6-8 weeks during growing season (October to March). Avoid fertilizing during monsoon and peak summer
- **Repotting:** Repot every 2-3 years in spring. Choose a pot only slightly larger than the current one with drainage holes
- **Propagation:** Very easy to propagate from stem cuttings. Let cuttings dry for 2-3 days before planting
- Use terracotta pots for better drainage and air circulation
## Common Problems
- **Leaf yellowing:** Usually caused by overwatering or poor drainage. Reduce watering frequency
- **Leaf drop:** Can occur due to sudden temperature changes or overwatering
- **Brown, crispy leaf edges:** Result of too much direct sunlight or underwatering
- **Leggy growth:** Insufficient light causes stems to stretch. Move to a brighter location
- **Root rot:** Most common problem due to overwatering or poorly draining soil. Ensure pot has drainage holes
- **Mealybugs:** White cottony pests on stems and leaves. Remove with rubbing alcohol on cotton swabs
- **Loss of variegation:** Insufficient light causes leaves to turn more green. Increase light exposure
- **Fungal issues:** High humidity during monsoon can cause fungal problems. Ensure good air circulation</t>
        </is>
      </c>
      <c r="V203" s="98">
        <f>HYPERLINK("https://rosaryplanthouse.com/plant/"&amp;A203&amp;"-"&amp;SUBSTITUTE(LOWER(E203), " ", "-"))</f>
        <v/>
      </c>
      <c r="W203" t="inlineStr">
        <is>
          <t>🟢 Crassula sarmentosa 'Variegata' (ID: 202)
✨ Add a splash of color to your space with the stunning Variegated Trailing Jade! This beautiful succulent features cream and yellow variegated leaves that are edged with vibrant green, making it an eye-catching addition to any indoor or outdoor setting. 🌿
🌱 About this beauty: Originating from the rocky cliffs of South Africa, this low-maintenance plant grows in a cascading manner, perfect for hanging baskets. It's not just pretty; it’s also forgiving, thriving in various conditions with minimal care!
🌞 Key Details:
- **Watering:** Low frequency (every 10-14 days)
- **Sunlight:** Prefers bright indirect light (3-5 hours daily)
- **Humidity:** Adapts well to typical indoor humidity levels
👉 Ready to elevate your plant game? Don’t miss out! Check the link in bio for more details. 
#Crassula #SucculentLove #IndoorPlants #PlantParenthood #GreenThumb #HomeDecor #PlantGoals #PlantAddict #VariegatedJade #RosaryPlantHouse #PlantsOfInstagram #SucculentCare #HangingPlants #PlantCollection #HouseplantClub #BotanicalBeauty</t>
        </is>
      </c>
    </row>
    <row r="204" ht="99.5" customHeight="1">
      <c r="A204" s="73" t="n">
        <v>203</v>
      </c>
      <c r="B204" s="74" t="inlineStr">
        <is>
          <t>Happy bean Peperomia</t>
        </is>
      </c>
      <c r="C204" s="74">
        <f>IF(Local!H204,"1","0")</f>
        <v/>
      </c>
      <c r="D204" s="79" t="n">
        <v>69</v>
      </c>
      <c r="E204" s="66" t="inlineStr">
        <is>
          <t>Peperomia ferreyrae</t>
        </is>
      </c>
      <c r="F204" s="76">
        <f>"public/sale_plants/"&amp;A204&amp;".jpg"</f>
        <v/>
      </c>
      <c r="G204" s="77" t="inlineStr">
        <is>
          <t>(2"-3")</t>
        </is>
      </c>
      <c r="H204" s="78" t="inlineStr">
        <is>
          <t>Low</t>
        </is>
      </c>
      <c r="I204" s="66" t="inlineStr">
        <is>
          <t>Low</t>
        </is>
      </c>
      <c r="J204" s="66" t="inlineStr">
        <is>
          <t>Medium</t>
        </is>
      </c>
      <c r="K204" s="91" t="n">
        <v>120</v>
      </c>
      <c r="L204" s="80" t="inlineStr">
        <is>
          <t>Succulent</t>
        </is>
      </c>
      <c r="M204" s="80" t="n">
        <v>0</v>
      </c>
      <c r="N204" s="80" t="n">
        <v>0</v>
      </c>
      <c r="O204" s="81" t="n">
        <v>0</v>
      </c>
      <c r="P204" s="80" t="n">
        <v>0</v>
      </c>
      <c r="Q204" s="81">
        <f>IF(Local!I204=TRUE,1,0)</f>
        <v/>
      </c>
      <c r="R204" s="81">
        <f>Local!D204</f>
        <v/>
      </c>
      <c r="S204" s="81">
        <f>Local!F204</f>
        <v/>
      </c>
      <c r="T204" s="81">
        <f>Local!G204</f>
        <v/>
      </c>
      <c r="U204" s="83" t="inlineStr">
        <is>
          <t>## About
The Happy Bean Plant is a unique succulent-like plant with unusual narrow, bean-shaped leaves that grow upright in a rosette pattern. Native to Peru, this small, compact plant is loved for its quirky appearance and easy-care nature, making it perfect for beginners and busy plant parents.
## Origin
This plant comes from the tropical rainforests of Peru in South America. It grows naturally in warm, humid environments under the canopy of larger trees, which means it is adapted to bright but filtered light conditions.
## Temperature &amp; Humidity
- **Temperature Range:** 18Â°C to 30Â°C
- **Humidity:** Prefers moderate to high humidity levels between 50% to 70%. However, it can adapt to normal Indian household humidity levels. During hot, dry summers, occasional misting helps keep the plant happy, but avoid overwatering the soil.
## Growth
Peperomia ferreyrae is a slow-growing, compact plant that typically reaches 15 to 25 cm in height. It grows in a tight rosette form with thin, tubular leaves that look like green beans standing upright. The plant stays small and neat, making it ideal for desks, shelves, and small spaces. It rarely spreads wide and maintains a tidy appearance throughout its life.
## Watering
- **Frequency:** Water once every 10 to 14 days depending on weather and season. In monsoon or winter, reduce watering frequency.
- **Tips:** Allow the soil to dry out almost completely between waterings. Peperomias have semi-succulent leaves that store water, so they are very tolerant of drought. Overwatering is the biggest riskâ€”always check the top 2-3 cm of soil before watering. Water less in winter and more during hot summer months, but never let the plant sit in waterlogged soil.
## Sunlight
- **Hours per day:** 3 to 5 hours
- **Type:** Bright indirect or filtered light. Avoid harsh, direct afternoon sunlight as it can scorch the delicate leaves. Morning sun for 1-2 hours is fine. It can tolerate lower light conditions but may grow slower.
## Care Tips
- Keep the plant in a spot with good air circulation to prevent fungal issues, especially during the monsoon season.
- Wipe the leaves gently with a damp cloth every few weeks to remove dust and help the plant breathe better.
- Avoid placing the plant in areas with cold drafts or sudden temperature changes.
- This plant does well in terracotta or clay pots that allow the soil to dry faster and prevent root rot.
- If leaves start to wrinkle or curl, it usually means the plant needs water, but if they turn mushy or black, you are overwatering.
## Growth Tips
- Use a well-draining soil mix. A combination of regular potting soil, cocopeat, and perlite (or sand) in equal parts works well.
- Fertilize lightly once a month during the growing season (spring and summer) with a balanced liquid fertilizer diluted to half strength. Avoid fertilizing in winter.
- Repot every 2 to 3 years or when the plant becomes root-bound. Choose a pot only slightly larger than the current one.
- Propagation is easy through leaf or stem cuttings placed in moist soil or water until roots develop.
## Common Problems
- **Yellowing leaves:** Usually a sign of overwatering or poor drainage. Reduce watering frequency and check the soil.
- **Leaf drop:** Can be caused by sudden temperature changes, underwatering, or overwatering. Adjust care accordingly.
- **Brown, crispy leaf tips:** Low humidity or underwatering. Increase humidity slightly or water a bit more regularly.
- **Mushy, black stems or leaves:** Root rot due to overwatering. Remove affected parts, let the soil dry, and reduce watering.
- **Pests:** Occasionally affected by mealybugs or aphids. Wipe leaves with a damp cloth or use neem oil spray to treat infestations.
- **Slow or no growth:** Usually due to low light or lack of nutrients. Move to a brighter spot and feed during growing season.</t>
        </is>
      </c>
      <c r="V204" s="98">
        <f>HYPERLINK("https://rosaryplanthouse.com/plant/"&amp;A204&amp;"-"&amp;SUBSTITUTE(LOWER(E204), " ", "-"))</f>
        <v/>
      </c>
      <c r="W204" t="inlineStr">
        <is>
          <t>🟢 Peperomia Ferreyrae (ID: 203)
🌱 Meet the Happy Bean Peperomia, your new favorite companion! This quirky succulent is the perfect blend of charm and low-maintenance care, making it ideal for both beginners and seasoned plant parents alike. 
💚 Originating from the lush rainforests of Peru, the Happy Bean boasts unique, bean-shaped leaves that grow upright in a delightful rosette pattern. Its compact size makes it a perfect fit for desks, shelves, and cozy corners of your home!
✨ **Key Details:**
- **Watering:** Only every 10-14 days! This drought-tolerant beauty prefers to dry out between drinks. 
- **Sunlight:** Thrives in bright, indirect light for 3-5 hours a day. 
- **Humidity:** Adapts well but loves moderate to high humidity. 
👉 Ready to bring some joy into your plant collection? Check out the Happy Bean Peperomia! Link in bio.
#HappyBean #PeperomiaFerreyrae #SucculentLove #PlantParent #IndoorPlants #Houseplants #PlantCare #HomeDecor #PlantAddict #GreenThumb #RosaryPlantHouse #PlantLife 🌿</t>
        </is>
      </c>
    </row>
    <row r="205" ht="99.5" customHeight="1">
      <c r="A205" s="73" t="n">
        <v>204</v>
      </c>
      <c r="B205" s="74" t="inlineStr">
        <is>
          <t>watermelon peperomia</t>
        </is>
      </c>
      <c r="C205" s="74">
        <f>IF(Local!H205,"1","0")</f>
        <v/>
      </c>
      <c r="D205" s="79" t="n">
        <v>69</v>
      </c>
      <c r="E205" s="66" t="inlineStr">
        <is>
          <t>Peperomia argyreia</t>
        </is>
      </c>
      <c r="F205" s="76">
        <f>"public/sale_plants/"&amp;A205&amp;".jpg"</f>
        <v/>
      </c>
      <c r="G205" s="77" t="inlineStr">
        <is>
          <t>(2"-3")</t>
        </is>
      </c>
      <c r="H205" s="78" t="inlineStr">
        <is>
          <t>High</t>
        </is>
      </c>
      <c r="I205" s="66" t="inlineStr">
        <is>
          <t>Medium</t>
        </is>
      </c>
      <c r="J205" s="66" t="inlineStr">
        <is>
          <t>Low</t>
        </is>
      </c>
      <c r="K205" s="79" t="n">
        <v>149</v>
      </c>
      <c r="L205" s="80" t="inlineStr">
        <is>
          <t>Peperomia</t>
        </is>
      </c>
      <c r="M205" s="80" t="n">
        <v>0</v>
      </c>
      <c r="N205" s="80" t="n">
        <v>0</v>
      </c>
      <c r="O205" s="81" t="n">
        <v>0</v>
      </c>
      <c r="P205" s="81" t="n">
        <v>1</v>
      </c>
      <c r="Q205" s="81" t="n">
        <v>1</v>
      </c>
      <c r="R205" s="81">
        <f>Local!D205</f>
        <v/>
      </c>
      <c r="S205" s="81">
        <f>Local!F205</f>
        <v/>
      </c>
      <c r="T205" s="81">
        <f>Local!G205</f>
        <v/>
      </c>
      <c r="U205" s="83" t="inlineStr">
        <is>
          <t>## About
Watermelon Peperomia is a beautiful decorative houseplant with stunning round leaves that look exactly like tiny watermelons. The silvery-green stripes on the leaves make this plant a favorite among indoor plant lovers. It is compact, easy to care for, and perfect for adding a tropical touch to your home.
## Origin
This plant originally comes from South America, particularly from the rainforests of Brazil, Ecuador, and Venezuela. It grows naturally under the canopy of larger trees where it receives filtered light and enjoys warm, humid conditions.
## Temperature &amp; Humidity
- **Temperature Range:** 18Â°C to 27Â°C (ideal for most Indian homes)
- **Humidity:** Prefers moderate to high humidity levels between 40% to 60%. The plant can adapt to normal household humidity but thrives better with a bit more moisture in the air, which is naturally available in most parts of India during monsoon season.
## Growth
Watermelon Peperomia is a compact, slow-growing plant that typically reaches 15 to 20 centimeters in height and spreads about 20 to 25 centimeters wide. It has a clumping growth habit with leaves growing on red stems directly from the base. The plant stays small and bushy, making it perfect for tabletops, desks, or small shelves. Growth is faster during the warm months.
## Watering
- **Frequency:** Once a week depending on season and weather conditions. During hot summer months, you may need to water twice a week, while in winter, watering can be reduced to once every 10 days.
- **Tips:** Water only when the top 2-3 cm of soil feels dry to touch. This plant has thick, fleshy leaves that store water, so it is better to underwater than overwater. Always ensure the pot has drainage holes. Avoid wetting the leaves while watering as this can cause fungal spots. Use room temperature water for best results.
## Sunlight
- **Hours per day:** 3 to 5 hours of bright, indirect light
- **Type:** Bright indirect or filtered light works best. Direct sunlight can scorch and fade the beautiful watermelon patterns on the leaves. Place it near an east-facing window or a few feet away from a south or west-facing window with a sheer curtain.
## Care Tips
- Keep away from direct afternoon sun, especially during Indian summers, as it can burn the leaves
- Wipe the leaves gently with a damp cloth once every two weeks to remove dust and keep the patterns vibrant
- Avoid placing near air conditioners or fans that cause dry air drafts
- During the monsoon season, reduce watering frequency as the soil takes longer to dry
- The plant adapts well to Indian indoor conditions and does not need special equipment like humidifiers in most regions
- Rotate the pot every few weeks so all sides of the plant receive equal light
## Growth Tips
- **Soil:** Use a well-draining potting mix. A combination of regular potting soil, cocopeat, and perlite in equal parts works excellently
- **Fertilizer:** Feed with a balanced liquid fertilizer diluted to half strength once a month during spring and summer (March to September). Avoid fertilizing in winter
- **Repotting:** Repot only when the plant becomes root-bound, typically once every 2 to 3 years. Choose a pot only slightly larger than the current one, as Peperomias prefer being slightly root-bound
- **Propagation:** Easily propagated through leaf cuttings or division during the growing season
## Common Problems
- **Yellow leaves:** Usually caused by overwatering or poor drainage. Let the soil dry out more between waterings
- **Brown leaf tips:** Sign of low humidity or using water with too many chemicals. Use filtered water if possible
- **Drooping leaves:** Can mean either underwatering or root rot from overwatering. Check the soil moisture to determine the cause
- **Faded leaf patterns:** Too much direct sunlight. Move the plant to a shadier spot with filtered light
- **Pests:** Occasionally affected by mealybugs and spider mites. Wipe leaves regularly and treat with neem oil solution if pests appear
- **Slow or no growth:** Normal during winter months. If happening in summer, the plant may need more light or nutrients</t>
        </is>
      </c>
      <c r="V205" s="98">
        <f>HYPERLINK("https://rosaryplanthouse.com/plant/"&amp;A205&amp;"-"&amp;SUBSTITUTE(LOWER(E205), " ", "-"))</f>
        <v/>
      </c>
      <c r="W205" t="inlineStr">
        <is>
          <t>🟢 Peperomia argyreia (ID: 204)
🌟 Meet the Watermelon Peperomia, your new favorite indoor companion! 🌿💚 With its stunning round leaves that resemble tiny watermelons, this plant adds a delightful touch of tropical charm to any space.
✨ **About**: Native to the lush rainforests of South America, the Watermelon Peperomia thrives in warm, humid conditions, making it perfect for cozy indoor environments. Its compact size and easy care make it a must-have for any plant lover!
🌱 **Key Details**:
- **Sunlight**: Prefers bright, indirect light – keep it away from harsh afternoon sun! ☀️
- **Watering**: Water when the top 2-3 cm of soil feels dry; better to underwater than overwater! 💧
- **Humidity**: Enjoys moderate to high humidity; a little extra moisture goes a long way! 🌈
👉 Ready to bring this beauty home? Click the link in bio! 
#PeperomiaArgyreia #WatermelonPeperomia #IndoorPlants #PlantLovers #Houseplants #TropicalPlants #GreenThumb #PlantGoals #HomeDecor #RosaryPlantHouse #UrbanJungle #PlantAddict #HouseplantClub #IndoorGardening #PlantParenthood</t>
        </is>
      </c>
    </row>
    <row r="206" ht="99.5" customHeight="1">
      <c r="A206" s="73" t="n">
        <v>205</v>
      </c>
      <c r="B206" s="74" t="inlineStr">
        <is>
          <t>Chinese money plant</t>
        </is>
      </c>
      <c r="C206" s="74">
        <f>IF(Local!H206,"1","0")</f>
        <v/>
      </c>
      <c r="D206" s="79" t="n">
        <v>69</v>
      </c>
      <c r="E206" s="66" t="inlineStr">
        <is>
          <t>Pilea peperomioides</t>
        </is>
      </c>
      <c r="F206" s="76">
        <f>"public/sale_plants/"&amp;A206&amp;".jpg"</f>
        <v/>
      </c>
      <c r="G206" s="77" t="inlineStr">
        <is>
          <t>(2"-3")</t>
        </is>
      </c>
      <c r="H206" s="78" t="inlineStr">
        <is>
          <t>High</t>
        </is>
      </c>
      <c r="I206" s="66" t="inlineStr">
        <is>
          <t>Medium</t>
        </is>
      </c>
      <c r="J206" s="66" t="inlineStr">
        <is>
          <t>Medium</t>
        </is>
      </c>
      <c r="K206" s="79" t="n">
        <v>149</v>
      </c>
      <c r="L206" s="80" t="inlineStr">
        <is>
          <t>Peperomia</t>
        </is>
      </c>
      <c r="M206" s="80" t="n">
        <v>0</v>
      </c>
      <c r="N206" s="80" t="n">
        <v>0</v>
      </c>
      <c r="O206" s="81" t="n">
        <v>0</v>
      </c>
      <c r="P206" s="80" t="n">
        <v>1</v>
      </c>
      <c r="Q206" s="81">
        <f>IF(Local!I206=TRUE,1,0)</f>
        <v/>
      </c>
      <c r="R206" s="81">
        <f>Local!D206</f>
        <v/>
      </c>
      <c r="S206" s="81">
        <f>Local!F206</f>
        <v/>
      </c>
      <c r="T206" s="81">
        <f>Local!G206</f>
        <v/>
      </c>
      <c r="U206" s="83" t="inlineStr">
        <is>
          <t>## About
The Chinese Money Plant is a popular houseplant loved for its unique round, coin-shaped leaves that grow on long stems. This charming plant is easy to care for and makes an excellent choice for beginners and experienced plant parents alike. It is believed to bring good luck and prosperity, which adds to its appeal.
## Origin
Native to the Yunnan Province in southern China, this plant was discovered in the early 1900s. It grows naturally in the shade of rocks and trees in mountainous regions. The plant became popular worldwide after being shared among plant collectors in Scandinavia during the 1940s.
## Temperature &amp; Humidity
- **Temperature Range:** 15Â°C to 30Â°C
- **Humidity:** Prefers moderate humidity levels between 40% to 60%. The plant can tolerate normal household humidity but grows better with slightly higher moisture in the air, which suits most Indian homes during monsoon season.
## Growth
The Chinese Money Plant typically grows to about 30 centimeters tall and wide. It has an upright growth habit with a central stem from which the round leaves emerge on individual stalks. The plant grows at a moderate pace and produces many baby plants (pups) around its base, which can be separated and grown into new plants. Each leaf can grow to about 10 centimeters in diameter.
## Watering
- **Frequency:** Once a week depending on season and weather conditions. During hot summer months, you may need to water twice a week depending on other parameters.
- **Tips:** Water thoroughly when the top 2-3 centimeters of soil feel dry. Make sure excess water drains out completely. Reduce watering during the cooler winter months. The plant prefers slightly moist soil but never soggy conditions. Yellow leaves often indicate overwatering.
## Sunlight
- **Hours per day:** 4 to 6 hours
- **Type:** Bright indirect light or filtered light works best. Avoid harsh direct sunlight which can burn the delicate leaves. A spot near an east or north-facing window is ideal for Indian homes.
## Care Tips
- Rotate the pot every few days so all sides of the plant receive equal light, helping it grow evenly
- Wipe the leaves gently with a damp cloth once a week to remove dust and help the plant breathe better
- Works well in air-conditioned rooms, making it perfect for Indian apartments and offices
- Keep away from direct afternoon sun during harsh Indian summers
- The plant adapts well to indoor conditions across all seasons in India
- Remove yellow or damaged leaves promptly to encourage new growth
## Growth Tips
- Use well-draining potting soil mixed with perlite or cocopeat for better drainage
- Feed with a balanced liquid fertilizer diluted to half strength once a month during the growing season (spring and summer)
- Repot once every 1-2 years or when roots start coming out of drainage holes
- Repotting is best done in early spring before the active growing season
- Separate baby plants (pups) that grow around the base and pot them separately to propagate
- Use a pot with drainage holes to prevent water accumulation at the roots
## Common Problems
- **Drooping leaves:** Usually caused by underwatering or too much direct sunlight. Move to a shadier spot and adjust watering schedule
- **Yellow leaves:** Most commonly due to overwatering. Allow soil to dry out more between waterings
- **Brown leaf tips:** Indicates low humidity or use of hard water with too many salts. Use filtered water if possible
- **Curling leaves:** Sign of underwatering or low humidity. Increase watering frequency slightly
- **Pale or small leaves:** Not enough light. Move the plant to a brighter location with indirect light
- **Pests:** Can occasionally attract spider mites and mealybugs, especially in dry conditions. Wipe leaves regularly and spray with neem oil solution if pests appear</t>
        </is>
      </c>
      <c r="V206" s="98">
        <f>HYPERLINK("https://rosaryplanthouse.com/plant/"&amp;A206&amp;"-"&amp;SUBSTITUTE(LOWER(E206), " ", "-"))</f>
        <v/>
      </c>
      <c r="W206" t="inlineStr">
        <is>
          <t>🟢 Pilea Peperomioides (ID: 205)
✨ Bring home the charm of good fortune with the delightful Chinese Money Plant! This stunning houseplant features unique round, coin-shaped leaves that not only brighten your space but are also believed to attract prosperity. 🌱💰
🌟 About: The Chinese Money Plant is easy to care for, making it a perfect choice for both beginners and seasoned plant enthusiasts. Native to the lush landscapes of Yunnan, China, it thrives in moderate humidity and indirect sunlight—ideal for your cozy indoor spaces! 
🌼 Key Details:
- 🕒 Watering: Once a week (adjust for seasons)
- ☀️ Sunlight: 4-6 hours of bright, indirect light
- 🌿 Growth: Produces adorable baby plants (pups) for propagation!
Ready to add a little luck to your life? 🌈✨ Click the link in bio to shop now!
#ChineseMoneyPlant #PileaPeperomioides #IndoorPlants #PlantCare #Houseplants #PlantParent #GreenThumb #GoodLuckPlant #PlantLover #RosaryPlantHouse #PlantGoals #HomeDecor #IndoorGardening #PlantLife #HouseplantClub</t>
        </is>
      </c>
    </row>
    <row r="207" ht="99.5" customHeight="1">
      <c r="A207" s="73" t="n">
        <v>206</v>
      </c>
      <c r="B207" s="74" t="inlineStr">
        <is>
          <t>aloe variegated</t>
        </is>
      </c>
      <c r="C207" s="74">
        <f>IF(Local!H207,"1","0")</f>
        <v/>
      </c>
      <c r="D207" s="75" t="n">
        <v>69</v>
      </c>
      <c r="E207" s="66" t="inlineStr">
        <is>
          <t>Gasteria bicolor var. liliputana (Variegated)</t>
        </is>
      </c>
      <c r="F207" s="76">
        <f>"public/sale_plants/"&amp;A207&amp;".jpg"</f>
        <v/>
      </c>
      <c r="G207" s="77" t="inlineStr">
        <is>
          <t>(2"-3")</t>
        </is>
      </c>
      <c r="H207" s="78" t="inlineStr">
        <is>
          <t>Low</t>
        </is>
      </c>
      <c r="I207" s="66" t="inlineStr">
        <is>
          <t>Low</t>
        </is>
      </c>
      <c r="J207" s="66" t="inlineStr">
        <is>
          <t>Medium</t>
        </is>
      </c>
      <c r="K207" s="79" t="n">
        <v>149</v>
      </c>
      <c r="L207" s="80" t="inlineStr">
        <is>
          <t>Aloe</t>
        </is>
      </c>
      <c r="M207" s="80" t="n">
        <v>0</v>
      </c>
      <c r="N207" s="80" t="n">
        <v>0</v>
      </c>
      <c r="O207" s="81" t="n">
        <v>0</v>
      </c>
      <c r="P207" s="80" t="n">
        <v>1</v>
      </c>
      <c r="Q207" s="81">
        <f>IF(Local!I207=TRUE,1,0)</f>
        <v/>
      </c>
      <c r="R207" s="81">
        <f>Local!D207</f>
        <v/>
      </c>
      <c r="S207" s="81">
        <f>Local!F207</f>
        <v/>
      </c>
      <c r="T207" s="81">
        <f>Local!G207</f>
        <v/>
      </c>
      <c r="U207" s="83" t="inlineStr">
        <is>
          <t>## About
Variegated Gasteria is a beautiful small succulent plant known for its thick, tongue-shaped leaves with stunning white and green striped patterns. This slow-growing plant is perfect for beginners and makes an excellent indoor plant for Indian homes. It belongs to the same family as Aloe and Haworthia plants.
## Origin
Gasteria plants originally come from South Africa, where they grow in rocky areas and under the shade of larger plants. They are adapted to dry conditions and can survive with minimal water, making them perfect for the Indian climate.
## Temperature &amp; Humidity
- **Temperature Range:** 15Â°C to 35Â°C (can tolerate higher temperatures in Indian summers if kept in shade)
- **Humidity:** Low to moderate humidity (30% to 50%). These plants do well in normal Indian household humidity and don't need any special humidity arrangements.
## Growth
Variegated Gasteria is a compact, slow-growing plant that typically reaches 10 to 15 cm in height and spreads about 8 to 12 cm wide. The leaves grow in a rosette pattern or sometimes in two opposite rows. The variegated form grows even slower than the regular green variety. It produces offsets (baby plants) from the base, which can be separated and grown into new plants. Growth is most active during spring and autumn months in India.
## Watering
- **Frequency:** Once every 10-15 days depending on season and weather conditions. During monsoon, reduce watering to once every 3 weeks. In hot summer months, water once a week depending on other parameters.
- **Tips:** Always check if the soil is completely dry before watering. Water thoroughly until water drains from the bottom holes, then don't water again until soil is dry. Avoid getting water on the leaves as this can cause rot spots. Reduce watering during monsoon and winter months. Overwatering is the biggest mistake people make with this plant.
## Sunlight
- **Hours per day:** 3 to 4 hours of gentle morning or evening sun
- **Type:** Bright indirect light or filtered sunlight. Too much direct harsh afternoon sun can burn the variegated leaves and turn them brown. Morning sun (before 10 AM) or evening sun (after 4 PM) is ideal.
## Care Tips
- Keep the plant in a spot with good air circulation to prevent fungal problems during humid monsoon months
- The variegated leaves are more sensitive to strong sunlight than regular green Gasteria, so provide shade during peak summer hours (11 AM to 4 PM)
- Use a well-draining pot with drainage holes to prevent water logging
- Wipe dust off leaves gently with a soft cloth once a month to keep them clean
- During Indian summers (April-June), move the plant to a cooler, shadier spot if temperatures exceed 40Â°C
- This plant can survive and even thrive with neglect, making it perfect for busy people
- Keep away from heavy rain during monsoon as too much water can cause root rot
## Growth Tips
- Use a succulent or cactus potting mix, or make your own by mixing regular soil with 50% cocopeat and 30% perlite or sand
- Add a handful of small stones or broken clay pot pieces at the bottom for extra drainage
- Feed with a diluted liquid succulent fertilizer once every 2-3 months during spring and autumn only
- No fertilizer is needed during summer and monsoon
- Repot only when the plant has completely filled its current pot, usually every 2-3 years
- Choose a pot only slightly larger than the current one, as these plants like being slightly root-bound
- Best time to repot is early spring (February-March) before the hot summer arrives
## Common Problems
- **Brown or black soft leaves:** Sign of overwatering or fungal rot. Remove affected leaves and reduce watering immediately
- **Leaves turning brown and dry from tips:** Too much direct harsh sunlight. Move to a shadier location with filtered light
- **Slow or no growth:** Normal for this variety. Also happens if the plant is not getting enough light or nutrients
- **White powdery coating:** Could be powdery mildew during humid monsoon months. Improve air circulation and avoid overhead watering
- **Mealybugs (white cottony pests):** Common pest that hides between leaves. Remove with cotton swab dipped in rubbing alcohol or neem oil solution
- **Leaves losing variegation and turning green:** Not enough light. Move to a brighter spot with more indirect sunlight
- **Shriveled wrinkled leaves:** Plant is thirsty and needs water. Water thoroughly and it will plump up within a day or two</t>
        </is>
      </c>
      <c r="V207" s="98">
        <f>HYPERLINK("https://rosaryplanthouse.com/plant/"&amp;A207&amp;"-"&amp;SUBSTITUTE(LOWER(E207), " ", "-"))</f>
        <v/>
      </c>
      <c r="W207" t="inlineStr">
        <is>
          <t>🟢 Gasteria bicolor var. liliputana (ID: 206)
🌿 Looking to elevate your indoor garden? Meet the stunning **Variegated Gasteria**! This petite succulent is not just a feast for the eyes, but also a low-maintenance companion perfect for any home.
✨ **About**: Known for its thick, tongue-shaped leaves adorned with beautiful white and green stripes, the Variegated Gasteria is a slow-growing succulent that thrives in Indian climates. It's the ideal plant for both beginners and seasoned plant parents!
🔑 **Key Details**:
- 🌞 Sunlight: Prefers 3-4 hours of gentle morning or evening light
- 💧 Watering: Low requirements, just once every 10-15 days
- 🌱 Care: Perfect for busy lifestyles; thrives on neglect!
Don't miss out on bringing a touch of green elegance into your space! 🌱💚 **Link in bio** to shop now!
#Gasteria #SucculentLove #IndoorPlants #PlantParents #HomeDecor #PlantCare #GreenThumb #PlantHouse #RosaryPlantHouse #VariegatedPlants #SucculentCollection #Houseplants #Gardening #InstaPlants #BotanicalBeauty</t>
        </is>
      </c>
    </row>
    <row r="208" ht="99.5" customHeight="1">
      <c r="A208" s="73" t="n">
        <v>207</v>
      </c>
      <c r="B208" s="74" t="inlineStr">
        <is>
          <t>peperomia black</t>
        </is>
      </c>
      <c r="C208" s="74">
        <f>IF(Local!H208,"1","0")</f>
        <v/>
      </c>
      <c r="D208" s="75" t="n">
        <v>69</v>
      </c>
      <c r="E208" s="66" t="inlineStr">
        <is>
          <t>Peperomia clusiifolia</t>
        </is>
      </c>
      <c r="F208" s="76">
        <f>"public/sale_plants/"&amp;A208&amp;".jpg"</f>
        <v/>
      </c>
      <c r="G208" s="77" t="inlineStr">
        <is>
          <t>(2"-3")</t>
        </is>
      </c>
      <c r="H208" s="78" t="inlineStr">
        <is>
          <t>Moderate</t>
        </is>
      </c>
      <c r="I208" s="66" t="inlineStr">
        <is>
          <t>Low</t>
        </is>
      </c>
      <c r="J208" s="66" t="inlineStr">
        <is>
          <t>Medium</t>
        </is>
      </c>
      <c r="K208" s="79" t="n">
        <v>99</v>
      </c>
      <c r="L208" s="80" t="inlineStr">
        <is>
          <t>Peperomia</t>
        </is>
      </c>
      <c r="M208" s="80" t="n">
        <v>0</v>
      </c>
      <c r="N208" s="80" t="n">
        <v>0</v>
      </c>
      <c r="O208" s="81" t="n">
        <v>0</v>
      </c>
      <c r="P208" s="81" t="n">
        <v>1</v>
      </c>
      <c r="Q208" s="81">
        <f>IF(Local!I208=TRUE,1,0)</f>
        <v/>
      </c>
      <c r="R208" s="81">
        <f>Local!D208</f>
        <v/>
      </c>
      <c r="S208" s="81">
        <f>Local!F208</f>
        <v/>
      </c>
      <c r="T208" s="81">
        <f>Local!G208</f>
        <v/>
      </c>
      <c r="U208" s="83" t="inlineStr">
        <is>
          <t>## About
Red Edge Peperomia is a beautiful ornamental plant known for its thick, glossy leaves with stunning burgundy-red edges. This compact plant is perfect for Indian homes and offices as it grows well indoors and requires minimal care.
## Origin
This plant is native to the tropical regions of Central America and South America, particularly Venezuela and the Caribbean islands. It naturally grows in warm, humid forest floors under the shade of larger trees.
## Temperature &amp; Humidity
- **Temperature Range:** 18Â°C to 30Â°C
- **Humidity:** Prefers moderate to high humidity levels between 50% to 70%. It adapts well to Indian home conditions but appreciates occasional misting during dry seasons, especially in air-conditioned rooms.
## Growth
Red Edge Peperomia is a slow-growing, compact plant that typically reaches 20 to 30 centimeters in height. It has an upright growth habit with thick, fleshy leaves arranged in a rosette pattern. The leaves are dark green with striking red or purple margins that become more prominent with proper light. The plant stays compact and bushy, making it ideal for small spaces, desks, and windowsills.
## Watering
- **Frequency:** Once a week depending on season and weather conditions. During monsoon or winter, reduce to once every 10-14 days.
- **Tips:** Allow the top layer of soil to dry out completely before watering again. Peperomias have succulent-like leaves that store water, so they are quite drought-tolerant. Overwatering is the most common mistake - it can lead to root rot. Always check the soil moisture before watering. Use water at room temperature and ensure the pot has good drainage holes.
## Sunlight
- **Hours per day:** 3 to 5 hours
- **Type:** Bright indirect light or filtered sunlight. Avoid harsh direct afternoon sun which can scorch the leaves. Morning sun for 1-2 hours is beneficial and helps enhance the red coloring on the leaf edges. Can tolerate low light conditions but growth will be slower and colors less vibrant.
## Care Tips
- Keep away from direct afternoon sun, especially during Indian summers (April-June) when temperatures soar
- Wipe leaves gently with a damp cloth once every 2 weeks to remove dust and keep them glossy
- Avoid placing near air conditioner vents or fans as sudden temperature changes can stress the plant
- During monsoon season, reduce watering frequency as humidity is naturally high
- The plant prefers stable temperatures, so avoid placing it where there are frequent temperature fluctuations
- Misting once or twice a week during hot, dry months helps maintain humidity
## Growth Tips
- Use well-draining potting mix - a combination of regular potting soil, cocopeat, and perlite or sand works well
- Add organic compost or vermicompost once every 2-3 months during growing season (spring and summer)
- Liquid fertilizer can be applied once a month at half strength during active growth period
- Repot only when the plant becomes root-bound, typically once every 2-3 years
- Choose a pot only slightly larger than the current one as Peperomias prefer snug pots
- Prune any yellow or damaged leaves to encourage new growth
- Propagation is easy through stem cuttings or leaf cuttings in spring or summer
## Common Problems
- **Yellowing leaves:** Usually caused by overwatering or poor drainage. Reduce watering frequency and check if pot has proper drainage
- **Leaf drop:** Can occur due to sudden temperature changes, cold drafts, or overwatering
- **Brown leaf tips:** Sign of low humidity or fluoride in tap water. Use filtered water and increase humidity through misting
- **Leggy growth:** Insufficient light causes the plant to stretch. Move to a brighter location
- **Wilting despite moist soil:** Indicates root rot from overwatering. Reduce watering immediately and consider repotting
- **Pests:** Generally pest-resistant but can occasionally get mealybugs or spider mites. Wipe with neem oil solution if detected
- **Faded leaf colors:** Not enough light. Move to a location with brighter indirect light to enhance the beautiful red edges</t>
        </is>
      </c>
      <c r="V208" s="98">
        <f>HYPERLINK("https://rosaryplanthouse.com/plant/"&amp;A208&amp;"-"&amp;SUBSTITUTE(LOWER(E208), " ", "-"))</f>
        <v/>
      </c>
      <c r="W208" t="inlineStr">
        <is>
          <t>🟢 Peperomia Clusiifolia (ID: 207)
🌿 Add a touch of elegance to your indoor space with the stunning Peperomia Black! Known for its glossy leaves adorned with striking burgundy-red edges, this beauty thrives in low-maintenance environments, making it the perfect companion for both seasoned plant lovers and beginners alike. 
✨ **About the Plant:**  
Originally from the lush tropical forests of Central and South America, this compact marvel flourishes in the cozy corners of your home or office. With its unique color and structure, it’s sure to be a conversation starter! 
🌞 **Key Details:**  
- **Watering:** Just once a week! Let the top layer of soil dry out before giving it a drink.  
- **Sunlight:** Loves bright, indirect light—ideal for desks and windowsills.  
- **Humidity:** Prefers moderate to high humidity; occasional misting helps keep it happy.
🌱 Discover the charm of Peperomia Black and elevate your indoor jungle today! Link in bio. 
#Peperomia #IndoorPlants #PlantLover #HousePlants #HomeDecor #PlantCare #GreenThumb #PlantParents #PeperomiaClusiifolia #BurgundyEdges #PlantGoals #RosaryPlantHouse #PlantsOfInstagram #UrbanJungle</t>
        </is>
      </c>
    </row>
    <row r="209" ht="99.5" customHeight="1">
      <c r="A209" s="73" t="n">
        <v>208</v>
      </c>
      <c r="B209" s="74" t="inlineStr">
        <is>
          <t>small wandering Jew</t>
        </is>
      </c>
      <c r="C209" s="74">
        <f>IF(Local!H209,"1","0")</f>
        <v/>
      </c>
      <c r="D209" s="75" t="n">
        <v>69</v>
      </c>
      <c r="E209" s="66" t="inlineStr">
        <is>
          <t>Tradescantia zebrina</t>
        </is>
      </c>
      <c r="F209" s="76">
        <f>"public/sale_plants/"&amp;A209&amp;".jpg"</f>
        <v/>
      </c>
      <c r="G209" s="77" t="inlineStr">
        <is>
          <t>(4"-5")</t>
        </is>
      </c>
      <c r="H209" s="78" t="inlineStr">
        <is>
          <t>High</t>
        </is>
      </c>
      <c r="I209" s="66" t="inlineStr">
        <is>
          <t>Medium</t>
        </is>
      </c>
      <c r="J209" s="66" t="inlineStr">
        <is>
          <t>Medium</t>
        </is>
      </c>
      <c r="K209" s="79" t="n">
        <v>59</v>
      </c>
      <c r="L209" s="80" t="inlineStr">
        <is>
          <t>Others</t>
        </is>
      </c>
      <c r="M209" s="80" t="n">
        <v>0</v>
      </c>
      <c r="N209" s="80" t="n">
        <v>0</v>
      </c>
      <c r="O209" s="81" t="n">
        <v>0</v>
      </c>
      <c r="P209" s="80" t="n">
        <v>0</v>
      </c>
      <c r="Q209" s="81">
        <f>IF(Local!I209=TRUE,1,0)</f>
        <v/>
      </c>
      <c r="R209" s="81">
        <f>Local!D209</f>
        <v/>
      </c>
      <c r="S209" s="81">
        <f>Local!F209</f>
        <v/>
      </c>
      <c r="T209" s="81">
        <f>Local!G209</f>
        <v/>
      </c>
      <c r="U209" s="83" t="inlineStr">
        <is>
          <t>## About
The Wandering Jew (Small Leaf) is a beautiful trailing plant with stunning striped leaves that feature green and cream variegation. This fast-growing plant is perfect for hanging baskets and indoor spaces, making it a popular choice for both beginners and experienced plant lovers across India.
## Origin
Native to Mexico, Central America, and Colombia, this plant grows naturally in tropical and subtropical forests where it thrives as a ground cover under the shade of larger trees. It has now become a beloved houseplant worldwide, including in Indian homes and gardens.
## Temperature &amp; Humidity
- **Temperature Range:** 15Â°C to 30Â°C
- **Humidity:** Prefers moderate to high humidity levels (50% to 70%). The plant adapts well to Indian climate conditions, especially during monsoon season. In dry winters or summer months, occasional misting helps maintain healthy foliage.
## Growth
This is a fast-growing trailing plant that can grow 15-30 cm in length within a few months under good conditions. The stems cascade beautifully downward, making it ideal for hanging planters or elevated pots. Individual leaves are small, oval-shaped, and grow alternately along the stems. The plant can spread horizontally if planted in ground beds, creating a dense carpet-like cover. In Indian climate, growth is most vigorous during spring and monsoon seasons.
## Watering
- **Frequency:** Once or twice a week depending on season, pot size, and weather conditions. During hot summer months, you may need to water more frequently, while in winter, reduce watering.
- **Tips:** Keep the soil slightly moist but never waterlogged. Check the top 2-3 cm of soilâ€”if it feels dry, it's time to water. Use well-draining soil to prevent root rot. Water less during monsoon if kept outdoors. Yellow leaves often indicate overwatering, while crispy brown leaves suggest underwatering.
## Sunlight
- **Hours per day:** 3 to 5 hours
- **Type:** Bright indirect light or filtered morning sunlight. The plant can tolerate some direct morning sun but avoid harsh afternoon sun which can scorch the delicate leaves and fade the beautiful variegation. Grows well near east or north-facing windows indoors.
## Care Tips
- **Prune regularly** to encourage bushier growth and prevent the plant from becoming leggy. Pinch off stem tips every few weeks.
- **Rotate the plant** occasionally if kept indoors to ensure even growth on all sides.
- **Protect from extreme heat** during Indian summers (above 38Â°C). Move to shadier spots if needed.
- **Increase humidity** during dry months by misting or placing near other plants.
- **Clean leaves** monthly with a damp cloth to remove dust and keep the variegation vibrant.
- **Watch for pests** especially during humid monsoon months when spider mites and aphids are common.
## Growth Tips
- **Soil:** Use well-draining potting mix. A combination of garden soil, cocopeat, and perlite or sand (2:1:1 ratio) works excellent.
- **Fertilizer:** Feed with balanced liquid fertilizer diluted to half strength once a month during growing season (spring and monsoon). Reduce feeding in winter.
- **Repotting:** Repot every 12-18 months or when roots outgrow the container. Spring is the best time for repotting.
- **Propagation:** Very easy to propagate through stem cuttings. Simply cut 10-15 cm stems and place in water or directly in moist soil. Roots develop within 1-2 weeks.
## Common Problems
- **Leggy growth with sparse leaves:** Insufficient light. Move to a brighter location.
- **Fading variegation:** Too much direct sunlight or not enough light. Adjust lighting conditions.
- **Brown, crispy leaf tips:** Low humidity or underwatering. Increase watering frequency and mist regularly.
- **Yellow leaves:** Overwatering or poor drainage. Allow soil to dry between waterings.
- **Root rot:** Caused by overwatering and poor drainage. Ensure pot has drainage holes.
- **Spider mites:** Tiny pests causing webbing and leaf damage. Spray with neem oil solution.
- **Aphids:** Small insects on new growth. Wash off with water spray or use neem oil.
- **Drooping stems:** Natural aging or insufficient water. Prune old stems and water appropriately.</t>
        </is>
      </c>
      <c r="V209" s="98">
        <f>HYPERLINK("https://rosaryplanthouse.com/plant/"&amp;A209&amp;"-"&amp;SUBSTITUTE(LOWER(E209), " ", "-"))</f>
        <v/>
      </c>
      <c r="W209" t="inlineStr">
        <is>
          <t>🟢 Tradescantia Zebrina (ID: 208)
🌿 Ready to add some vibrant charm to your space? Meet the Small Wandering Jew! With its stunning striped leaves of lush green and cream, this fast-growing beauty is a must-have for every plant lover! 🌱✨
🌍 **About**: Native to the tropical forests of Mexico and Central America, the Small Wandering Jew thrives in moderate to high humidity, making it perfect for Indian climates. It's ideal for hanging baskets or as a cascading centerpiece in your indoor garden!
🔑 **Key Details**:
- Watering: Medium (once or twice a week)
- Sunlight: Prefers bright indirect light (3-5 hours daily)
- Growth: Fast-growing, can reach 15-30 cm in a few months
🌟 Elevate your plant collection and watch this beauty flourish! Don't miss out – check out the full details and bring home your new green friend! Link in bio. 
#WanderingJew #TradescantiaZebrina #Houseplants #IndoorPlants #PlantLovers #GreenThumb #PlantGoals #HomeDecor #PlantCare #PlantParent #RosaryPlantHouse #PlantAddict #GardeningJoy #EcoFriendlyLiving #TropicalPlants #NatureLovers</t>
        </is>
      </c>
    </row>
    <row r="210" ht="99.5" customHeight="1">
      <c r="A210" s="73" t="n">
        <v>209</v>
      </c>
      <c r="B210" s="74" t="inlineStr">
        <is>
          <t>thorny cactus</t>
        </is>
      </c>
      <c r="C210" s="74">
        <f>IF(Local!H210,"1","0")</f>
        <v/>
      </c>
      <c r="D210" s="75" t="n">
        <v>69</v>
      </c>
      <c r="E210" s="66" t="inlineStr">
        <is>
          <t>Cereus forbesii 'Spiralis' (Monstrose form)</t>
        </is>
      </c>
      <c r="F210" s="76">
        <f>"public/sale_plants/"&amp;A210&amp;".jpg"</f>
        <v/>
      </c>
      <c r="G210" s="77" t="inlineStr">
        <is>
          <t>(2"-3")</t>
        </is>
      </c>
      <c r="H210" s="78" t="inlineStr">
        <is>
          <t>Low</t>
        </is>
      </c>
      <c r="I210" s="66" t="inlineStr">
        <is>
          <t>Low</t>
        </is>
      </c>
      <c r="J210" s="66" t="inlineStr">
        <is>
          <t>High</t>
        </is>
      </c>
      <c r="K210" s="79" t="n">
        <v>99</v>
      </c>
      <c r="L210" s="80" t="inlineStr">
        <is>
          <t>Cactus</t>
        </is>
      </c>
      <c r="M210" s="80" t="n">
        <v>0</v>
      </c>
      <c r="N210" s="80" t="n">
        <v>0</v>
      </c>
      <c r="O210" s="81" t="n">
        <v>0</v>
      </c>
      <c r="P210" s="80" t="n">
        <v>0</v>
      </c>
      <c r="Q210" s="81">
        <f>IF(Local!I210=TRUE,1,0)</f>
        <v/>
      </c>
      <c r="R210" s="81">
        <f>Local!D210</f>
        <v/>
      </c>
      <c r="S210" s="81">
        <f>Local!F210</f>
        <v/>
      </c>
      <c r="T210" s="81">
        <f>Local!G210</f>
        <v/>
      </c>
      <c r="U210" s="83" t="inlineStr">
        <is>
          <t>## About
The Spiral Cactus is a unique and fascinating cactus variety that grows in an unusual twisted, spiral pattern. This eye-catching plant is covered with golden-brown spines and green stems that spiral upward as they grow, making it a favorite among cactus collectors and plant enthusiasts.
## Origin
This cactus originates from South America, particularly from regions in Brazil and Argentina. In its native habitat, it grows in dry, rocky areas with plenty of sunlight. The twisted form is a cultivated variety that has been selectively grown for its unique appearance.
## Temperature &amp; Humidity
- **Temperature Range:** 15Â°C to 40Â°C
- **Humidity:** This cactus prefers low to moderate humidity levels, typically between 30% to 50%. It is well-suited to dry conditions and can tolerate the hot, dry summers commonly found in many parts of India. During winter, it can handle temperatures as low as 10Â°C but should be protected from frost.
## Growth
The Spiral Cactus is a slow to moderate grower that typically reaches heights of 15 to 30 centimeters when grown in pots. As it matures, it develops multiple branches that grow in a clustered, columnar fashion with the distinctive spiral pattern. Each stem is covered with areoles that produce golden to brown spines. The plant maintains a compact, upright growth habit and can eventually form an attractive clump over several years.
## Watering
- **Frequency:** Once every two weeks depending on season and weather conditions. During hot Indian summers, you may need to water once a week, while in winter, watering can be reduced to once every three weeks or even less.
- **Tips:** Always let the soil dry out completely between waterings. Water thoroughly until water drains from the bottom holes, then allow the pot to drain completely. Never let the cactus sit in standing water. Reduce watering significantly during monsoon season and winter months when the plant enters dormancy. Overwatering is the most common cause of problems with this cactus.
## Sunlight
- **Hours per day:** 6 to 8 hours
- **Type:** Direct sunlight is best. This cactus thrives in full sun conditions. In India, you can keep it outdoors in a sunny spot or on a bright south-facing windowsill. During extreme summer heat (above 42Â°C), some afternoon shade may help prevent sunburn.
## Care Tips
- Place your cactus in the brightest spot available, preferably with morning sun exposure
- Use terracotta or clay pots which allow better air circulation and moisture evaporation
- Ensure your pot has drainage holes to prevent water accumulation
- During monsoon season, move the plant to a covered area to prevent excessive moisture
- Rotate the pot occasionally to ensure even growth and sun exposure
- Handle carefully as the spines are sharp and can cause irritation
- Clean dust off the plant gently with a soft brush to help it photosynthesize better
## Growth Tips
- Use a well-draining cactus or succulent potting mix, or make your own by mixing regular potting soil with coarse sand and perlite in a 1:1:1 ratio
- Add small pieces of broken terracotta or gravel at the bottom of the pot for extra drainage
- Fertilize sparingly â€“ use a diluted cactus fertilizer once during the growing season (spring or early summer)
- Repot every 2 to 3 years in spring, choosing a pot only slightly larger than the previous one
- Use gloves or folded newspaper when handling during repotting to protect yourself from spines
- The plant can be propagated from offsets or stem cuttings allowed to dry for several days before planting
## Common Problems
- **Soft, mushy stems** â€“ caused by overwatering or poor drainage; reduce watering immediately and check for root rot
- **Yellow or brown spots** â€“ usually sunburn from sudden exposure to intense sun; gradually acclimate the plant to brighter light
- **Etiolated (stretched) growth** â€“ not enough sunlight; move to a brighter location
- **Shriveled appearance** â€“ underwatering; increase watering frequency slightly
- **Mealybugs or scale insects** â€“ small white cottony masses or brown bumps on the plant; remove with rubbing alcohol on a cotton swab
- **Root rot** â€“ brown, mushy roots caused by excessive moisture; may require repotting with fresh soil and removal of damaged roots
- **Slow or no growth** â€“ normal during winter dormancy, but could indicate lack of nutrients or light during growing season</t>
        </is>
      </c>
      <c r="V210" s="98">
        <f>HYPERLINK("https://rosaryplanthouse.com/plant/"&amp;A210&amp;"-"&amp;SUBSTITUTE(LOWER(E210), " ", "-"))</f>
        <v/>
      </c>
      <c r="W210" t="inlineStr">
        <is>
          <t>🟢 Cereus forbesii 'Spiralis' (ID: 209)  
🌵 Twist and shout! Meet the stunning Spiral Cactus, a true marvel of nature that spirals its way into the hearts of plant lovers everywhere.  
This unique cactus boasts a captivating twisted growth pattern, adorned with golden-brown spines and vibrant green stems. Originating from the sun-kissed landscapes of Brazil and Argentina, it’s perfect for adding a touch of the exotic to your collection!  
✨ **Key Details:**  
- **Watering:** Low; every 2 weeks (adjust for seasons)  
- **Sunlight:** Thrives in direct sunlight (6-8 hours/day)  
- **Transit:** Low maintenance, ideal for beginners!  
Ready to bring home this eye-catching beauty? 🌞 Check the 'Link in bio' for more details!  
#CactusLove #SpiralCactus #PlantCollection #Succulent #IndoorPlants #CactusCare #PlantParents #RosaryPlantHouse #GreenThumb #PlantsofInstagram #HomeDecor #NatureLovers #PlantAddict #ShopLocal #EcommercePlants</t>
        </is>
      </c>
    </row>
    <row r="211" ht="99.5" customHeight="1">
      <c r="A211" s="73" t="n">
        <v>210</v>
      </c>
      <c r="B211" s="74" t="inlineStr">
        <is>
          <t>aloe flat</t>
        </is>
      </c>
      <c r="C211" s="74">
        <f>IF(Local!H211,"1","0")</f>
        <v/>
      </c>
      <c r="D211" s="75" t="n">
        <v>99</v>
      </c>
      <c r="E211" s="66" t="inlineStr">
        <is>
          <t>Aloe aristata</t>
        </is>
      </c>
      <c r="F211" s="76">
        <f>"public/sale_plants/"&amp;A211&amp;".jpg"</f>
        <v/>
      </c>
      <c r="G211" s="77" t="inlineStr">
        <is>
          <t>(2"-3")</t>
        </is>
      </c>
      <c r="H211" s="78" t="inlineStr">
        <is>
          <t>Low</t>
        </is>
      </c>
      <c r="I211" s="66" t="inlineStr">
        <is>
          <t>Low</t>
        </is>
      </c>
      <c r="J211" s="66" t="inlineStr">
        <is>
          <t>Medium</t>
        </is>
      </c>
      <c r="K211" s="79" t="n">
        <v>199</v>
      </c>
      <c r="L211" s="80" t="inlineStr">
        <is>
          <t>Aloe</t>
        </is>
      </c>
      <c r="M211" s="80" t="n">
        <v>0</v>
      </c>
      <c r="N211" s="80" t="n">
        <v>0</v>
      </c>
      <c r="O211" s="81" t="n">
        <v>0</v>
      </c>
      <c r="P211" s="81" t="n">
        <v>1</v>
      </c>
      <c r="Q211" s="81">
        <f>IF(Local!I211=TRUE,1,0)</f>
        <v/>
      </c>
      <c r="R211" s="81">
        <f>Local!D211</f>
        <v/>
      </c>
      <c r="S211" s="81">
        <f>Local!F211</f>
        <v/>
      </c>
      <c r="T211" s="81">
        <f>Local!G211</f>
        <v/>
      </c>
      <c r="U211" s="83" t="inlineStr">
        <is>
          <t>## About
Aloe aristata, commonly known as Lace Aloe or Torch Plant, is a beautiful small succulent that forms attractive rosettes of dark green leaves covered with distinctive white bumps and soft spines along the edges. This charming plant is popular among Indian gardeners for its compact size and low maintenance requirements.
## Origin
Lace Aloe is native to South Africa, particularly found in the mountainous regions of Lesotho and the Eastern Cape. It grows naturally in rocky areas and grasslands where it has adapted to survive in dry conditions with good drainage.
## Temperature &amp; Humidity
- **Temperature Range:** 15Â°C to 35Â°C (can tolerate slightly higher temperatures in Indian summers)
- **Humidity:** Thrives in low to moderate humidity levels (30% to 50%). The plant adapts well to Indian climate conditions and can handle both dry and slightly humid environments.
## Growth
Lace Aloe is a small, clump-forming succulent that typically grows 15 to 20 cm in height and spreads about 20 to 30 cm wide. It grows at a moderate pace and produces offsets (baby plants) around the mother plant, creating attractive clusters over time. The rosette pattern is tight and symmetrical, making it a decorative addition to any collection. During flowering season, it sends up tall spikes that can reach 40 to 50 cm in height.
## Watering
- **Frequency:** Once every two weeks depending on season and weather conditions. During monsoon or winter, reduce watering to once every three weeks.
- **Tips:** Always check if the soil is completely dry before watering. Water thoroughly but ensure excess water drains out completely. Avoid getting water on the leaves to prevent rot. In summer months, you may need to water slightly more frequently, while in winter, reduce watering significantly.
## Sunlight
- **Hours per day:** 4 to 6 hours
- **Type:** Bright indirect light or partial direct sunlight. Morning sun is ideal. Protect from harsh afternoon sun in peak Indian summer as it can cause the leaves to turn brown or red.
## Care Tips
- Best suited for Indian climate as it tolerates heat well
- Protect from heavy monsoon rains by moving potted plants under shelter
- In hot Indian summers above 40Â°C, provide some shade during afternoon hours
- Can be grown outdoors in most parts of India except during extreme cold in northern regions
- Ideal for balcony gardens, windowsills, and terrace gardens
- Keep away from frost in winter (in northern India)
- Good air circulation helps prevent fungal issues during humid months
## Growth Tips
- Use well-draining cactus or succulent potting mix
- Add perlite, coarse sand, or pumice to regular soil to improve drainage
- Use terracotta or clay pots for better moisture control
- Fertilize once every 2 to 3 months during growing season (spring and summer) with diluted succulent fertilizer
- Repot every 2 to 3 years or when the plant becomes root-bound
- Remove offsets to propagate new plants or leave them to form clumps
- Ensure pot has drainage holes to prevent waterlogging
## Common Problems
- **Brown or mushy leaves:** Caused by overwatering or poor drainage. Reduce watering frequency.
- **Leaves turning red or brown:** Too much direct harsh sunlight, especially afternoon sun. Move to a spot with filtered light.
- **Stretched or elongated growth:** Insufficient light. Move plant to a brighter location.
- **Pests like mealybugs or scale insects:** Remove with cotton swab dipped in rubbing alcohol or use neem oil spray.
- **Root rot:** Excessive watering or poorly draining soil. Ensure proper drainage and reduce watering.
- **Dried leaf tips:** Normal aging process, but can also indicate underwatering in extreme heat.
- **No flowers:** Needs cooler winter rest period and adequate light to encourage blooming.</t>
        </is>
      </c>
      <c r="V211" s="98">
        <f>HYPERLINK("https://rosaryplanthouse.com/plant/"&amp;A211&amp;"-"&amp;SUBSTITUTE(LOWER(E211), " ", "-"))</f>
        <v/>
      </c>
      <c r="W211" t="inlineStr">
        <is>
          <t>🟢 Aloe Aristata (ID: 210)  
✨ Discover the beauty of the Lace Aloe! This charming little succulent is the perfect addition to your indoor garden. 🌿
Aloe aristata, also known as Torch Plant, features stunning dark green rosettes adorned with unique white bumps and soft spines. It's not just pretty; it thrives in low maintenance environments, making it an ideal choice for both novice and seasoned plant lovers! 🌱
**Key Details:**  
- 🌞 Sunlight: Bright indirect light or partial direct sunlight (4-6 hours daily)  
- 💧 Watering: Low frequency; check soil dryness before watering  
- 🌡️ Temperature: Adapts to Indian climate (15°C to 35°C)  
- 🌬️ Humidity: Thrives in low to moderate levels (30%-50%)  
Want to add this lovely plant to your collection? 🌟 Link in bio!  
#AloeAristata #LaceAloe #SucculentLove #IndoorPlants #PlantAddict #GreenThumb #PlantCare #RosaryPlantHouse #PlantParent #HomeDecor #SucculentGarden #NatureLovers #GardeningJoy #PlantGoals #ShopNow</t>
        </is>
      </c>
    </row>
    <row r="212" ht="99.5" customHeight="1">
      <c r="A212" s="73" t="n">
        <v>211</v>
      </c>
      <c r="B212" s="74" t="inlineStr">
        <is>
          <t>oval cactus</t>
        </is>
      </c>
      <c r="C212" s="74">
        <f>IF(Local!H212,"1","0")</f>
        <v/>
      </c>
      <c r="D212" s="75" t="n">
        <v>149</v>
      </c>
      <c r="E212" s="66" t="inlineStr">
        <is>
          <t>Mammillaria elongata</t>
        </is>
      </c>
      <c r="F212" s="76">
        <f>"public/sale_plants/"&amp;A212&amp;".jpg"</f>
        <v/>
      </c>
      <c r="G212" s="77" t="inlineStr">
        <is>
          <t>(2"-3")</t>
        </is>
      </c>
      <c r="H212" s="78" t="inlineStr">
        <is>
          <t>Low</t>
        </is>
      </c>
      <c r="I212" s="66" t="inlineStr">
        <is>
          <t>Low</t>
        </is>
      </c>
      <c r="J212" s="66" t="inlineStr">
        <is>
          <t>High</t>
        </is>
      </c>
      <c r="K212" s="79" t="n">
        <v>149</v>
      </c>
      <c r="L212" s="80" t="inlineStr">
        <is>
          <t>Cactus</t>
        </is>
      </c>
      <c r="M212" s="80" t="n">
        <v>0</v>
      </c>
      <c r="N212" s="80" t="n">
        <v>0</v>
      </c>
      <c r="O212" s="81" t="n">
        <v>0</v>
      </c>
      <c r="P212" s="80" t="n">
        <v>0</v>
      </c>
      <c r="Q212" s="81">
        <f>IF(Local!I212=TRUE,1,0)</f>
        <v/>
      </c>
      <c r="R212" s="81">
        <f>Local!D212</f>
        <v/>
      </c>
      <c r="S212" s="81">
        <f>Local!F212</f>
        <v/>
      </c>
      <c r="T212" s="81">
        <f>Local!G212</f>
        <v/>
      </c>
      <c r="U212" s="83" t="inlineStr">
        <is>
          <t>## About
The Ladyfinger Cactus is a beautiful, easy-to-care-for cactus that features a columnar shape with golden-yellow spines arranged in neat patterns. This popular cactus is loved by beginners and collectors alike for its attractive appearance and low-maintenance nature. It produces lovely cream or pink flowers in spring when mature.
## Origin
Mammillaria elongata is native to central Mexico, where it grows naturally in rocky, semi-arid regions. It thrives in dry conditions with plenty of sunlight and has adapted well to cultivation in homes and gardens around the world.
## Temperature &amp; Humidity
- **Temperature Range:** 15Â°C to 35Â°C (can tolerate brief periods down to 5Â°C but prefers warmth)
- **Humidity:** Low to moderate humidity (30% to 50%). This cactus prefers dry air and does not need high humidity. It adapts well to typical Indian household conditions.
## Growth
The Ladyfinger Cactus grows in an upright, columnar form and can reach 10-15 cm in height when grown in pots. Over time, it forms clumps with multiple offsets growing from the base, creating an attractive cluster. Growth is moderate to slow, with the plant producing new offsets regularly. Each stem is cylindrical and covered with soft, golden or white spines that give it a fuzzy appearance.
## Watering
- **Frequency:** Once every two weeks depending on season and weather conditions. During hot Indian summers, you may need to water once a week, while in winter, reduce watering to once a month.
- **Tips:** Always allow the soil to dry out completely between waterings. Water deeply but infrequently. Avoid getting water on the plant body; water directly into the soil. During monsoon season, reduce watering significantly as humidity is naturally high. Overwatering is the most common cause of death for this cactus.
## Sunlight
- **Hours per day:** 4 to 6 hours of bright light
- **Type:** Direct sunlight is ideal, but the plant can adapt to bright indirect light. In very hot Indian summers (above 40Â°C), provide some afternoon shade to prevent sunburn. A south or east-facing windowsill is perfect for indoor growing.
## Care Tips
- Place in the brightest spot available in your home, preferably near a window
- Ensure the pot has excellent drainage holes to prevent water logging
- During Indian summers, watch for signs of sunburn (brown or white patches) and provide light shade if needed
- In winter, the plant enters dormancy and needs minimal water and care
- Keep away from high-humidity areas like bathrooms or near air cooler vents
- This cactus is perfect for hot, dry Indian climates and balcony gardens
- Can be grown outdoors year-round in most parts of India except very cold regions
## Growth Tips
- Use a well-draining cactus or succulent soil mix (mix regular potting soil with 50% sand, perlite, or pumice)
- Add small gravel or stones at the bottom of the pot for extra drainage
- Fertilize once during the growing season (spring to early summer) with diluted cactus fertilizer or any balanced liquid fertilizer at half strength
- Repot every 2-3 years in spring when the plant outgrows its pot
- When repotting, use a slightly larger pot and fresh cactus soil
- The plant propagates easily from offsetsâ€”simply remove the baby plants and pot them separately
- Terracotta pots work best as they allow soil to dry quickly
## Common Problems
- **Soft, mushy stems:** Caused by overwatering or poor drainage. Reduce watering immediately and ensure proper drainage
- **Shriveled, wrinkled stems:** Sign of underwatering. Give the plant a thorough drink
- **Brown or white patches:** Sunburn from too much direct harsh sunlight. Move to a spot with filtered afternoon light
- **No growth or flowering:** Not enough sunlight or nutrients. Move to a brighter location and fertilize during growing season
- **Mealybugs:** White cottony pests that hide between spines. Remove with a cotton swab dipped in rubbing alcohol
- **Root rot:** Black or brown roots caused by excess water. This is often fatal; prevention is key through proper watering
- **Etiolation (stretched growth):** Plant becomes thin and pale due to insufficient light. Move to a brighter spot immediately</t>
        </is>
      </c>
      <c r="V212" s="98">
        <f>HYPERLINK("https://rosaryplanthouse.com/plant/"&amp;A212&amp;"-"&amp;SUBSTITUTE(LOWER(E212), " ", "-"))</f>
        <v/>
      </c>
      <c r="W212" t="inlineStr">
        <is>
          <t>🟢 Mammillaria elongata (ID: 211)
🌵 Meet the stunning Ladyfinger Cactus! Perfect for both beginners and seasoned plant lovers, this beauty showcases a unique columnar shape adorned with golden-yellow spines. Its low-maintenance nature makes it an ideal choice for anyone wanting to add a touch of exotic charm to their space! ✨
🌞 Originating from the rocky terrains of central Mexico, this resilient cactus thrives in bright sunlight and loves dry conditions. With its soft, fuzzy appearance and occasional lovely flowers in spring, it’s sure to be a conversation starter in your home! 
🌱 Key Details:
- 🌡️ Temperature: Prefers warmth; can tolerate brief cool spells.
- 💧 Watering: Low; let the soil dry out completely between waterings.
- ☀️ Sunlight: Needs 4-6 hours of bright light daily; direct sunlight is ideal.
👉 Ready to bring home this captivating cactus? 🌿 Check out our collection and find your perfect plant! Link in bio.
#MammillariaElongata #LadyfingerCactus #CactusLovers #HomeDecor #PlantParent #IndoorGardening #SucculentLove #PlantAddict #RosaryPlantHouse #GreenThumb #CactusCare #DesertVibes #NatureLovers #HouseplantClub #PlantLife #CactusGarden #BotanicalBeauty #EcommercePlants</t>
        </is>
      </c>
    </row>
    <row r="213" ht="99.5" customHeight="1">
      <c r="A213" s="73" t="n">
        <v>212</v>
      </c>
      <c r="B213" s="74" t="inlineStr">
        <is>
          <t>button cactus</t>
        </is>
      </c>
      <c r="C213" s="74">
        <f>IF(Local!H213,"1","0")</f>
        <v/>
      </c>
      <c r="D213" s="75" t="n">
        <v>139</v>
      </c>
      <c r="E213" s="66" t="inlineStr">
        <is>
          <t>Echinopsis subdenudata</t>
        </is>
      </c>
      <c r="F213" s="76">
        <f>"public/sale_plants/"&amp;A213&amp;".jpg"</f>
        <v/>
      </c>
      <c r="G213" s="77" t="inlineStr">
        <is>
          <t>(2"-3")</t>
        </is>
      </c>
      <c r="H213" s="78" t="inlineStr">
        <is>
          <t>Low</t>
        </is>
      </c>
      <c r="I213" s="66" t="inlineStr">
        <is>
          <t>Low</t>
        </is>
      </c>
      <c r="J213" s="66" t="inlineStr">
        <is>
          <t>High</t>
        </is>
      </c>
      <c r="K213" s="79" t="n">
        <v>199</v>
      </c>
      <c r="L213" s="80" t="inlineStr">
        <is>
          <t>Cactus</t>
        </is>
      </c>
      <c r="M213" s="80" t="n">
        <v>0</v>
      </c>
      <c r="N213" s="80" t="n">
        <v>0</v>
      </c>
      <c r="O213" s="81" t="n">
        <v>0</v>
      </c>
      <c r="P213" s="80" t="n">
        <v>0</v>
      </c>
      <c r="Q213" s="81">
        <f>IF(Local!I213=TRUE,1,0)</f>
        <v/>
      </c>
      <c r="R213" s="81">
        <f>Local!D213</f>
        <v/>
      </c>
      <c r="S213" s="81">
        <f>Local!F213</f>
        <v/>
      </c>
      <c r="T213" s="81">
        <f>Local!G213</f>
        <v/>
      </c>
      <c r="U213" s="83" t="inlineStr">
        <is>
          <t>## About
The Easter Lily Cactus is a beautiful, round-shaped cactus with a bright green body covered with small white spines. This cactus is loved by plant collectors for its compact size and stunning white, fragrant flowers that bloom in summer. It's easy to care for and perfect for Indian homes.
## Origin
This cactus originally comes from South America, particularly from the regions of Brazil, Paraguay, and Argentina. It grows naturally in rocky, dry areas where it receives plenty of sunlight and experiences warm temperatures. It has adapted well to similar climates worldwide, including the hot and dry regions of India.
## Temperature &amp; Humidity
- **Temperature Range:** 15Â°C to 35Â°C
- **Humidity:** This cactus prefers low to moderate humidity levels (30% to 50%). It can tolerate the dry conditions common in many parts of India, especially during summer. During monsoon season, ensure good air circulation to prevent moisture-related problems.
## Growth
The Easter Lily Cactus grows slowly and typically reaches a height of 10 to 15 cm with a similar width. It forms a round or slightly cylindrical shape and may produce offsets (baby cacti) around the base as it matures. These offsets can be separated and replanted to create new plants. The growth rate is slow to moderate, making it ideal for small pots and indoor spaces.
## Watering
- **Frequency:** Once every 10-14 days depending on season and weather conditions. In summer, you may water once a week depending on other parameters like pot size and soil dryness. In winter and monsoon, reduce watering to once every 2-3 weeks.
- **Tips:** Always check if the soil is completely dry before watering. Water deeply until excess water drains from the bottom of the pot, then discard the drained water. Never let the cactus sit in waterlogged soil as this leads to root rot. During monsoon, protect the plant from excessive rain if kept outdoors.
## Sunlight
- **Hours per day:** 4 to 6 hours
- **Type:** Direct bright sunlight is ideal. This cactus thrives in full sun but can also tolerate bright indirect light. In extremely hot Indian summers (above 40Â°C), provide some afternoon shade to prevent sunburn. A south or west-facing windowsill or balcony is perfect for indoor placement.
## Care Tips
- Place the cactus in a well-ventilated area with good air circulation, especially during humid monsoon months
- Use a terracotta or clay pot with drainage holes to prevent water retention
- Rotate the pot occasionally to ensure even growth on all sides
- Keep the plant away from areas with high moisture like bathrooms or near water sources
- During winter, reduce watering significantly as the plant goes into a semi-dormant state
- Protect from frost in northern India during winter months
- Clean dust from the cactus surface gently using a soft brush
## Growth Tips
- Use well-draining cactus or succulent soil mix with added perlite, coarse sand, or pumice
- Add a layer of small stones or gravel at the pot bottom for extra drainage
- Feed with a diluted cactus fertilizer once a month during the growing season (March to September)
- Avoid fertilizing during winter months when growth slows down
- Repot every 2 to 3 years in spring using fresh soil mix
- Choose a pot only slightly larger than the current one as cacti prefer snug pots
- Handle carefully during repotting using thick gloves or folded newspaper to avoid spine injury
## Common Problems
- **Root rot:** Caused by overwatering or poor drainage. Signs include soft, mushy base and yellowing
- **Sunburn:** Brown or white patches on the cactus surface due to sudden exposure to intense sunlight
- **Shriveling:** Usually indicates underwatering during hot summer months
- **Mealybugs:** White cottony pests that appear in crevices between spines. Remove with rubbing alcohol on a cotton swab
- **Scale insects:** Brown bumps on the surface. Scrape off gently and treat with neem oil
- **Fungal infections:** Black or brown spots caused by excess humidity during monsoon. Improve air circulation and reduce watering
- **Etiolation:** Stretching and pale color due to insufficient light. Move to a brighter location</t>
        </is>
      </c>
      <c r="V213" s="98">
        <f>HYPERLINK("https://rosaryplanthouse.com/plant/"&amp;A213&amp;"-"&amp;SUBSTITUTE(LOWER(E213), " ", "-"))</f>
        <v/>
      </c>
      <c r="W213" t="inlineStr">
        <is>
          <t>🟢 Echinopsis subdenudata (ID: 212)  
🌵✨ Meet the enchanting Button Cactus! This stunning little gem is perfect for adding a touch of green to your space. With its bright green body adorned with delicate white spines, it’s not just a plant; it’s a conversation starter!  
💚 **About:** The Easter Lily Cactus blooms gorgeous white, fragrant flowers in summer, making it a favorite among plant lovers. Native to the rocky terrains of South America, it thrives in sunny, dry conditions and is easy to care for—ideal for both beginners and seasoned collectors!  
🔑 **Key Details:**  
- **Watering:** Low frequency (once every 10-14 days)  
- **Sunlight:** Loves bright direct light (4-6 hours daily)  
- **Care Tips:** Ensure good drainage and air circulation, especially in humid months  
🌟 Ready to bring this beauty home? Find out more about the Button Cactus—Link in bio!  
#Echinopsis #ButtonCactus #CactusLovers #PlantParent #IndoorPlants #SucculentLove #GreenThumb #CactusCare #PlantAddict #HouseplantClub #RosaryPlantHouse #PlantCollection #HomeDecor #NatureLovers</t>
        </is>
      </c>
    </row>
    <row r="214" ht="99.5" customHeight="1">
      <c r="A214" s="73" t="n">
        <v>213</v>
      </c>
      <c r="B214" s="74" t="inlineStr">
        <is>
          <t>seed cactus</t>
        </is>
      </c>
      <c r="C214" s="74">
        <f>IF(Local!H214,"1","0")</f>
        <v/>
      </c>
      <c r="D214" s="75" t="n">
        <v>69</v>
      </c>
      <c r="E214" s="66" t="inlineStr">
        <is>
          <t>Mammillaria bocasana</t>
        </is>
      </c>
      <c r="F214" s="76">
        <f>"public/sale_plants/"&amp;A214&amp;".jpg"</f>
        <v/>
      </c>
      <c r="G214" s="77" t="inlineStr">
        <is>
          <t>(2"-3")</t>
        </is>
      </c>
      <c r="H214" s="78" t="inlineStr">
        <is>
          <t>Low</t>
        </is>
      </c>
      <c r="I214" s="66" t="inlineStr">
        <is>
          <t>Low</t>
        </is>
      </c>
      <c r="J214" s="66" t="inlineStr">
        <is>
          <t>High</t>
        </is>
      </c>
      <c r="K214" s="79" t="n">
        <v>120</v>
      </c>
      <c r="L214" s="80" t="inlineStr">
        <is>
          <t>Cactus</t>
        </is>
      </c>
      <c r="M214" s="80" t="n">
        <v>0</v>
      </c>
      <c r="N214" s="80" t="n">
        <v>0</v>
      </c>
      <c r="O214" s="81" t="n">
        <v>0</v>
      </c>
      <c r="P214" s="81" t="n">
        <v>0</v>
      </c>
      <c r="Q214" s="81">
        <f>IF(Local!I214=TRUE,1,0)</f>
        <v/>
      </c>
      <c r="R214" s="81">
        <f>Local!D214</f>
        <v/>
      </c>
      <c r="S214" s="81">
        <f>Local!F214</f>
        <v/>
      </c>
      <c r="T214" s="81">
        <f>Local!G214</f>
        <v/>
      </c>
      <c r="U214" s="83" t="inlineStr">
        <is>
          <t>## About
The Powder Puff Cactus is a charming small cactus known for its soft, white, hair-like spines that give it a fluffy, cotton-ball appearance. It produces beautiful pink or cream-colored flowers and is one of the easiest cacti to grow, making it perfect for beginners and Indian climate conditions.
## Origin
This cactus is native to the central regions of Mexico, where it grows in rocky, arid areas with plenty of sunlight. It has adapted well to hot and dry conditions, which makes it an excellent choice for Indian summers.
## Temperature &amp; Humidity
- **Temperature Range:** 15Â°C to 40Â°C (can tolerate temperatures as low as 5Â°C for short periods during winter)
- **Humidity:** Prefers low to moderate humidity levels, around 30% to 50%. It thrives well in the dry climate found in most parts of India and does not need high humidity.
## Growth
The Powder Puff Cactus grows in a compact, round shape and typically reaches 5 to 10 cm in height and width when young. Mature plants can form clusters and grow up to 15 cm tall. It is a slow-growing cactus but can produce offsets (baby plants) around the base, creating attractive clumps over time. The growth is generally compact and stays manageable in pots.
## Watering
- **Frequency:** Once every two weeks depending on season and weather conditions. During the hot summer months, you may water once a week, while in winter reduce watering to once every three to four weeks.
- **Tips:** Always allow the soil to dry out completely between waterings. Water thoroughly but ensure excess water drains out quickly. Overwatering is the most common cause of problems with this cactus. Reduce watering drastically during the monsoon season and winter months when the plant goes dormant.
## Sunlight
- **Hours per day:** 4 to 6 hours
- **Type:** Direct bright sunlight is ideal. This cactus loves morning sun and can handle afternoon sun in most Indian climates. If kept indoors, place it on a south or west-facing windowsill where it receives maximum light.
## Care Tips
- Place the cactus in a location with good air circulation to prevent fungal issues, especially during humid monsoon months
- Protect from heavy rain during monsoons as excessive moisture can cause root rot
- Keep away from very dark corners; insufficient light will cause the plant to stretch and lose its compact shape
- Avoid touching the soft white hairs as they can get dirty easily; if needed, gently clean with a soft brush
- This cactus is pet-safe as it has soft spines, but some plants may develop hooked spines, so handle carefully
- During hot Indian summers, you can keep it outdoors for best results
## Growth Tips
- Use a well-draining cactus or succulent soil mix; you can prepare your own by mixing regular potting soil with coarse sand and perlite in a 1:1:1 ratio
- Add small pieces of brick or gravel to the soil mix to improve drainage
- Fertilize sparinglyâ€”once a month during the growing season (spring and summer) with a diluted cactus fertilizer or half-strength balanced liquid fertilizer
- Repot every 2 to 3 years in spring using a slightly larger pot with drainage holes
- Choose terracotta or clay pots over plastic as they allow better airflow and moisture evaporation
- The plant produces offsets which can be gently separated and replanted to grow new plants
## Common Problems
- **Yellowing or soft base:** Sign of overwatering or root rot; reduce watering immediately and check if the soil drains well
- **Stretching or elongated growth:** Not getting enough sunlight; move to a brighter location
- **White cottony spots:** Mealybugs are a common pest; remove them with a cotton swab dipped in rubbing alcohol or neem oil solution
- **Brown or black spots:** Fungal infection due to excessive moisture or poor air circulation; reduce watering and improve ventilation
- **Shriveling:** Underwatering; give the plant a good soak and adjust watering schedule
- **No flowers:** Needs a cool, dry winter rest period to bloom; reduce watering in winter and provide cooler temperatures (around 10-15Â°C if possible)</t>
        </is>
      </c>
      <c r="V214" s="98">
        <f>HYPERLINK("https://rosaryplanthouse.com/plant/"&amp;A214&amp;"-"&amp;SUBSTITUTE(LOWER(E214), " ", "-"))</f>
        <v/>
      </c>
      <c r="W214" t="inlineStr">
        <is>
          <t>🟢 Mammillaria bocasana (ID: 213)  
🌵 Meet the charming Powder Puff Cactus! This delightful little cactus is not just a sight to behold, but also a breeze to care for. With its soft, fluffy spines and stunning pink or cream flowers, it's perfect for both novice and seasoned plant lovers. 🌸✨
**About the Plant:**  
Originating from the sun-soaked regions of Mexico, this low-maintenance beauty thrives in bright sunlight and is perfectly suited for the Indian climate! Enjoy its compact growth and the joy of watching it bloom, all while requiring minimal watering. 
**Key Details:**  
- 🌞 Sunlight: Prefers 4-6 hours of direct sunlight  
- 💧 Watering: Low, only every 2 weeks (or weekly in summer)  
- 🌱 Growth: Compact and manageable, forms clusters over time  
- 🌬️ Air circulation: Essential for keeping it healthy  
Ready to add this adorable cactus to your collection? 🌿👉 Link in bio!
#PowderPuffCactus #MammillariaBocasana #CactusLove #PlantParenthood #IndoorGardening #Succulent #PlantCare #GreenThumb #HousePlants #CactusCollection #RosaryPlantHouse</t>
        </is>
      </c>
    </row>
    <row r="215" ht="99.5" customHeight="1">
      <c r="A215" s="73" t="n">
        <v>214</v>
      </c>
      <c r="B215" s="74" t="inlineStr">
        <is>
          <t>dragon bone</t>
        </is>
      </c>
      <c r="C215" s="74">
        <f>IF(Local!H215,"1","0")</f>
        <v/>
      </c>
      <c r="D215" s="75" t="n">
        <v>69</v>
      </c>
      <c r="E215" s="66" t="inlineStr">
        <is>
          <t>Euphorbia lactea</t>
        </is>
      </c>
      <c r="F215" s="76">
        <f>"public/sale_plants/"&amp;A215&amp;".jpg"</f>
        <v/>
      </c>
      <c r="G215" s="77" t="inlineStr">
        <is>
          <t>(4"-5")</t>
        </is>
      </c>
      <c r="H215" s="78" t="inlineStr">
        <is>
          <t>Low</t>
        </is>
      </c>
      <c r="I215" s="66" t="inlineStr">
        <is>
          <t>Low</t>
        </is>
      </c>
      <c r="J215" s="66" t="inlineStr">
        <is>
          <t>High</t>
        </is>
      </c>
      <c r="K215" s="79" t="n">
        <v>120</v>
      </c>
      <c r="L215" s="80" t="inlineStr">
        <is>
          <t>Cactus</t>
        </is>
      </c>
      <c r="M215" s="80" t="n">
        <v>0</v>
      </c>
      <c r="N215" s="80" t="n">
        <v>0</v>
      </c>
      <c r="O215" s="81" t="n">
        <v>0</v>
      </c>
      <c r="P215" s="80" t="n">
        <v>0</v>
      </c>
      <c r="Q215" s="81">
        <f>IF(Local!I215=TRUE,1,0)</f>
        <v/>
      </c>
      <c r="R215" s="81">
        <f>Local!D215</f>
        <v/>
      </c>
      <c r="S215" s="81">
        <f>Local!F215</f>
        <v/>
      </c>
      <c r="T215" s="81">
        <f>Local!G215</f>
        <v/>
      </c>
      <c r="U215" s="83" t="inlineStr">
        <is>
          <t>## About
Euphorbia lactea, commonly called Dragon Bones, is a striking succulent plant that looks like a cactus but is actually a member of the Euphorbia family. This plant has thick, green upright stems with spiny edges that grow in a candelabra-like shape, making it a dramatic addition to any plant collection.
## Origin
This plant is native to tropical regions of Asia, particularly India and Sri Lanka. It grows naturally in dry, rocky areas and open forests where it receives plenty of direct sunlight.
## Temperature &amp; Humidity
- **Temperature Range:** 15Â°C to 40Â°C
- **Humidity:** Low to moderate humidity (30% to 50%). This plant is very tolerant of dry air and adapts well to typical Indian home conditions.
## Growth
Dragon Bones can grow quite tall, reaching up to 4-6 feet indoors and even taller outdoors. It grows slowly but steadily, producing new branches that give it a tree-like appearance over time. The stems have three to four ridges with small spines along the edges. Growth is more active during warm months.
## Watering
- **Frequency:** Once every 10-15 days depending on season and weather conditions. Water less in monsoon and winter, slightly more in hot summer months.
- **Tips:** Allow the soil to dry out completely between waterings. The stems store water, so this plant is very drought-tolerant. Overwatering is the biggest risk. In rainy season, reduce watering significantly. Always water at the base, not on the plant body. Ensure the pot has good drainage holes.
## Sunlight
- **Hours per day:** 5 to 6 hours
- **Type:** Direct sunlight is best. Can tolerate bright indirect light indoors but grows best with direct sun. A south-facing or west-facing window works well indoors.
## Care Tips
- Handle with care as the plant contains a milky white sap (latex) that is toxic and can cause skin irritation. Wear gloves when pruning.
- Works very well in Indian climate, especially in hot and dry regions.
- Can be kept outdoors year-round in most parts of India.
- Protect from heavy monsoon rains if kept outdoors - move under a shelter or reduce exposure to constant rain.
- Wipe dust off the stems occasionally to keep them healthy and green.
- Very low maintenance and perfect for beginners.
## Growth Tips
- Use well-draining cactus or succulent potting mix. You can mix regular soil with sand and perlite in equal parts.
- Add organic compost once every 3-4 months for better growth.
- Fertilize with diluted liquid succulent fertilizer once a month during the growing season (March to October).
- Repot every 2-3 years or when the plant outgrows its pot. Spring is the best time to repot.
- Choose a heavy pot as the plant can become top-heavy when mature.
## Common Problems
- **Yellowing stems:** Usually caused by overwatering or poor drainage. Let soil dry out completely before next watering.
- **Soft, mushy stems:** Sign of root rot from too much water. Reduce watering immediately and check drainage.
- **Slow or no growth:** May need more sunlight or fertilizer. Move to a brighter location.
- **Mealybugs:** Small white cotton-like pests can appear on stems. Wipe with cotton dipped in rubbing alcohol or neem oil solution.
- **Brown spots:** Could be sunburn if moved suddenly from shade to harsh direct sun. Gradually increase sun exposure.
- **Sap burns:** The milky latex can cause skin rashes. Wash immediately with soap and water if contact occurs. Keep away from children and pets.</t>
        </is>
      </c>
      <c r="V215" s="98">
        <f>HYPERLINK("https://rosaryplanthouse.com/plant/"&amp;A215&amp;"-"&amp;SUBSTITUTE(LOWER(E215), " ", "-"))</f>
        <v/>
      </c>
      <c r="W215" t="inlineStr">
        <is>
          <t>🟢 Euphorbia lactea (ID: 214)
🌟 Meet the stunning Dragon Bone! This captivating succulent is here to elevate your plant game with its unique candelabra-like structure and striking green stems. 
🌱 About: Euphorbia lactea, commonly known as Dragon Bone, is not your average cactus! With its spiny edges and dramatic appearance, it’s the perfect addition for any indoor garden or outdoor space. Native to the tropical regions of Asia, this beauty thrives in bright sunlight and is extremely low-maintenance. 
✨ Key Details:
- 🌞 Sunlight: Loves direct sunlight (5-6 hours a day!)
- 💧 Watering: Drought-tolerant, water every 10-15 days
- 🌬️ Humidity: Prefers low to moderate humidity
Ready to bring home this unique plant? 🌿 Click the link in bio to learn more!
#DragonBone #EuphorbiaLactea #SucculentLove #PlantParent #CactusCollection #GreenThumb #IndoorGardening #PlantCare #RosaryPlantHouse #HouseplantClub #PlantLovers #SucculentAddict #HomeDecor #PlantGoals #CactusLovers</t>
        </is>
      </c>
    </row>
    <row r="216" ht="99.5" customHeight="1">
      <c r="A216" s="73" t="n">
        <v>215</v>
      </c>
      <c r="B216" s="74" t="inlineStr">
        <is>
          <t>grey opentia</t>
        </is>
      </c>
      <c r="C216" s="74">
        <f>IF(Local!H216,"1","0")</f>
        <v/>
      </c>
      <c r="D216" s="79" t="n">
        <v>99</v>
      </c>
      <c r="E216" s="66" t="inlineStr">
        <is>
          <t>Opuntia cylindrica</t>
        </is>
      </c>
      <c r="F216" s="76">
        <f>"public/sale_plants/"&amp;A216&amp;".jpg"</f>
        <v/>
      </c>
      <c r="G216" s="77" t="inlineStr">
        <is>
          <t>(2"-3")</t>
        </is>
      </c>
      <c r="H216" s="78" t="inlineStr">
        <is>
          <t>Low</t>
        </is>
      </c>
      <c r="I216" s="66" t="inlineStr">
        <is>
          <t>Low</t>
        </is>
      </c>
      <c r="J216" s="66" t="inlineStr">
        <is>
          <t>High</t>
        </is>
      </c>
      <c r="K216" s="79" t="n">
        <v>120</v>
      </c>
      <c r="L216" s="80" t="inlineStr">
        <is>
          <t>Cactus</t>
        </is>
      </c>
      <c r="M216" s="80" t="n">
        <v>0</v>
      </c>
      <c r="N216" s="80" t="n">
        <v>0</v>
      </c>
      <c r="O216" s="81" t="n">
        <v>0</v>
      </c>
      <c r="P216" s="80" t="n">
        <v>0</v>
      </c>
      <c r="Q216" s="81">
        <f>IF(Local!I216=TRUE,1,0)</f>
        <v/>
      </c>
      <c r="R216" s="81">
        <f>Local!D216</f>
        <v/>
      </c>
      <c r="S216" s="81">
        <f>Local!F216</f>
        <v/>
      </c>
      <c r="T216" s="81">
        <f>Local!G216</f>
        <v/>
      </c>
      <c r="U216" s="83" t="inlineStr">
        <is>
          <t>## About
Opuntia cylindrica, commonly known as Cane Cholla, is a striking columnar cactus with cylindrical stems covered in sharp spines. This South American native is popular among cactus collectors for its unique upright growth and easy care requirements. It produces beautiful red or pink flowers when mature.
## Origin
This cactus originates from the mountainous regions of South America, particularly Ecuador, Peru, and Bolivia. It grows naturally in dry, rocky areas at high altitudes where it has adapted to survive with minimal water and intense sunlight.
## Temperature &amp; Humidity
- **Temperature Range:** 15Â°C to 35Â°C
- **Humidity:** Prefers low to moderate humidity (30% to 50%). This cactus is well-suited to dry conditions and can tolerate the hot summers common in most parts of India. It should be protected from frost and temperatures below 10Â°C during winter months.
## Growth
Opuntia cylindrica grows in a vertical, columnar fashion and can reach heights of 1 to 2 meters when mature, though potted specimens typically stay smaller. The stems are segmented and cylindrical, usually 5-10 cm in diameter. Growth is moderate to slow, adding 10-20 cm per year under good conditions. The plant may branch from the base or from older segments, creating a candelabra-like appearance over time.
## Watering
- **Frequency:** Once every two weeks depending on season and weather conditions. In summer, you may water slightly more frequently if the soil is completely dry. In winter and monsoon, reduce to once every three to four weeks.
- **Tips:** Always check if the soil is completely dry before watering. Water thoroughly until water drains from the bottom, then allow the soil to dry completely. Overwatering is the biggest threat to this cactus. In the monsoon season, protect from excessive rain or move to a covered area. Use the "soak and dry" method for best results.
## Sunlight
- **Hours per day:** 6 to 8 hours
- **Type:** Direct sunlight. This cactus thrives in full sun and needs strong, direct light to maintain healthy growth and good spine development. It can tolerate very bright indirect light indoors near a south-facing window, but will grow best outdoors in full sun.
## Care Tips
- Place in the brightest spot available, preferably outdoors where it can receive maximum sunlight
- Protect from heavy monsoon rains by moving under a roof or using a rain cover
- Use a well-draining cactus mix or add 50% coarse sand or perlite to regular potting soil
- During hot Indian summers (above 40Â°C), provide some afternoon shade to prevent sunburn
- Clean dust from the stems gently with a soft brush to allow better photosynthesis
- Handle with thick gloves as the spines are very sharp and can cause injury
- Ensure good air circulation around the plant to prevent fungal issues
## Growth Tips
- Use a cactus-specific potting mix or make your own with 50% regular soil, 30% coarse sand, and 20% perlite or pumice
- Add a layer of gravel or small stones at the pot bottom for extra drainage
- Fertilize once during the growing season (March to June) with a diluted cactus fertilizer or balanced NPK (10:10:10) at half strength
- Repot every 2-3 years in spring, choosing a pot only slightly larger than the current one
- Terracotta pots are ideal as they allow soil to dry faster
- Propagate easily by cutting segments, letting them dry for a week, then planting in dry soil
## Common Problems
- **Root rot:** Caused by overwatering or poor drainage. Stems become soft and discolored at the base
- **Etiolation (stretching):** Stems become thin and pale due to insufficient light. Move to a brighter location
- **Mealybugs:** White cottony pests that hide between stem segments. Remove with alcohol-soaked cotton or neem oil spray
- **Scale insects:** Brown bumps on stems that suck plant sap. Scrape off manually or treat with neem oil
- **Sunburn:** Brown or white patches appear when suddenly moved from shade to intense sun. Gradually acclimate to full sun
- **Wrinkled stems:** Sign of underwatering or root problems. Check roots and adjust watering schedule
- **Yellow spots:** May indicate fungal infection from excess moisture or poor air circulation</t>
        </is>
      </c>
      <c r="V216" s="98">
        <f>HYPERLINK("https://rosaryplanthouse.com/plant/"&amp;A216&amp;"-"&amp;SUBSTITUTE(LOWER(E216), " ", "-"))</f>
        <v/>
      </c>
      <c r="W216" t="inlineStr">
        <is>
          <t>🟢 Opuntia Cylindrica (ID: 215)
🌵 Get ready to elevate your plant game with the stunning Grey Opuntia! This eye-catching cactus is not just a pretty face; it’s a low-maintenance gem that thrives on neglect. Perfect for beginners and seasoned collectors alike!
✨ **About:** The Opuntia cylindrica, also known as Cane Cholla, features striking cylindrical stems adorned with sharp spines and rewards your patience with vibrant red or pink flowers as it matures. Originating from the breathtaking mountainous regions of South America, it’s perfectly adapted to survive in dry, rocky terrains.
🔑 **Key Details:**
- **Watering:** Low frequency, every 2-4 weeks. 
- **Sunlight:** Loves 6-8 hours of direct sunlight!
- **Temperature:** Thrives in a warm range of 15°C to 35°C.
- **Humidity:** Prefers low to moderate levels, making it ideal for drier conditions.
👉 Ready to bring this desert beauty into your home? Don’t miss out! Click the link in bio to grab your own Grey Opuntia today!
#OpuntiaCylindrica #CactusLover #Houseplants #PlantCare #DesertPlant #IndoorGardening #PlantCollection #CactusGarden #GreenThumb #RosaryPlantHouse #PlantAddict #SucculentLove #CactusLife #PlantParent #BotanicalBeauty</t>
        </is>
      </c>
    </row>
    <row r="217" ht="99.5" customHeight="1">
      <c r="A217" s="73" t="n">
        <v>216</v>
      </c>
      <c r="B217" s="74" t="inlineStr">
        <is>
          <t>carrion flower</t>
        </is>
      </c>
      <c r="C217" s="74">
        <f>IF(Local!H217,"1","0")</f>
        <v/>
      </c>
      <c r="D217" s="79" t="n">
        <v>99</v>
      </c>
      <c r="E217" s="66" t="inlineStr">
        <is>
          <t>Stapelia flavopurpurea</t>
        </is>
      </c>
      <c r="F217" s="76">
        <f>"public/sale_plants/"&amp;A217&amp;".jpg"</f>
        <v/>
      </c>
      <c r="G217" s="77" t="inlineStr">
        <is>
          <t>(2"-3")</t>
        </is>
      </c>
      <c r="H217" s="78" t="inlineStr">
        <is>
          <t>Low</t>
        </is>
      </c>
      <c r="I217" s="66" t="inlineStr">
        <is>
          <t>Low</t>
        </is>
      </c>
      <c r="J217" s="66" t="inlineStr">
        <is>
          <t>Medium</t>
        </is>
      </c>
      <c r="K217" s="79" t="n">
        <v>199</v>
      </c>
      <c r="L217" s="80" t="inlineStr">
        <is>
          <t>Succulent</t>
        </is>
      </c>
      <c r="M217" s="80" t="n">
        <v>0</v>
      </c>
      <c r="N217" s="80" t="n">
        <v>0</v>
      </c>
      <c r="O217" s="81" t="n">
        <v>0</v>
      </c>
      <c r="P217" s="81" t="n">
        <v>0</v>
      </c>
      <c r="Q217" s="81">
        <f>IF(Local!I217=TRUE,1,0)</f>
        <v/>
      </c>
      <c r="R217" s="81">
        <f>Local!D217</f>
        <v/>
      </c>
      <c r="S217" s="81">
        <f>Local!F217</f>
        <v/>
      </c>
      <c r="T217" s="81">
        <f>Local!G217</f>
        <v/>
      </c>
      <c r="U217" s="83" t="inlineStr">
        <is>
          <t>## About
Stapelia flavopurpurea, commonly known as the Starfish Cactus, is a unique succulent plant that produces unusual star-shaped flowers. Despite its common name, it is not a true cactus but a stem succulent. This plant is loved by collectors for its interesting appearance and exotic blooms.
## Origin
Stapelia flavopurpurea is native to South Africa, where it grows in rocky, arid regions. It thrives in dry conditions and has adapted to survive with minimal water. The plant grows naturally in areas with well-draining soil and plenty of sunlight.
## Temperature &amp; Humidity
- **Temperature Range:** 15Â°C to 35Â°C
- **Humidity:** This plant prefers low to moderate humidity levels, typically between 30% to 50%. It can tolerate the dry conditions common in many parts of India, especially during summer months. Avoid keeping it in very humid environments as this can lead to rot.
## Growth
Stapelia flavopurpurea is a low-growing succulent that spreads horizontally rather than growing tall. The stems are thick, fleshy, and four-angled with small teeth along the edges. The plant typically grows 10-15 cm tall and can spread up to 30 cm wide. It grows at a moderate pace and can form clumps over time. The stems may appear green to greyish-green and can develop a reddish tint when exposed to strong sunlight.
## Watering
- **Frequency:** Once every two weeks depending on season and weather conditions. During monsoon or winter, reduce watering to once every three to four weeks.
- **Tips:** Always allow the soil to dry out completely between waterings. Water sparingly during the winter months when the plant is dormant. Use the soak and dry method - water thoroughly until it drains out from the bottom, then wait until the soil is completely dry before watering again. Overwatering is the most common cause of death for this plant.
## Sunlight
- **Hours per day:** 4 to 6 hours
- **Type:** Bright indirect light with some direct morning sunlight. Can tolerate a few hours of direct sun but protect from intense afternoon sun, especially during hot Indian summers. Filtered light through a window or under a shade net works well.
## Care Tips
- Protect from heavy monsoon rains as excess water can cause root rot
- Provide good air circulation around the plant to prevent fungal issues
- During Indian summers (April-June), move to a shadier spot if leaves start turning brown
- Can be grown outdoors year-round in most parts of India except in areas with heavy frost
- The plant may produce distinctive star-shaped flowers that can have an unpleasant smell to attract flies for pollination
- Keep away from areas where the flower smell might be bothersome
## Growth Tips
- **Soil:** Use a very well-draining cactus or succulent mix. You can make your own by mixing regular potting soil with coarse sand and perlite in a 1:1:1 ratio
- **Fertilizer:** Feed sparingly, only during the growing season (spring and summer). Use a diluted succulent fertilizer once a month. Avoid fertilizing in winter
- **Repotting:** Repot every 2-3 years or when the plant outgrows its container. Use a shallow, wide pot with drainage holes. Spring is the best time for repotting
## Common Problems
- **Stem rot:** Caused by overwatering or poor drainage. Stems become soft and mushy
- **Shriveled stems:** Sign of underwatering, though this plant is very drought-tolerant
- **No flowers:** Insufficient light or too much fertilizer can prevent blooming
- **Mealybugs:** White cottony pests that appear in stem joints. Remove with rubbing alcohol on a cotton swab
- **Root rot:** Caused by waterlogged soil or pots without drainage holes
- **Yellowing stems:** Usually due to overwatering or lack of sunlight
- **Sunburn:** Brown or white patches on stems from too much direct harsh sunlight</t>
        </is>
      </c>
      <c r="V217" s="98">
        <f>HYPERLINK("https://rosaryplanthouse.com/plant/"&amp;A217&amp;"-"&amp;SUBSTITUTE(LOWER(E217), " ", "-"))</f>
        <v/>
      </c>
      <c r="W217" t="inlineStr">
        <is>
          <t>🟢 Stapelia flavopurpurea (ID: 216)  
🌟 Dive into the exotic world of the Carrion Flower! This stunning succulent isn't just a feast for the eyes; it’s a conversation starter! 
The Stapelia flavopurpurea, also known as the Starfish Cactus, showcases unique star-shaped flowers that are sure to captivate any plant lover. Native to the rocky landscapes of South Africa, this resilient beauty thrives in low-water conditions, making it perfect for those who appreciate low-maintenance greenery. 
✨ **Key Details:**  
- 🌞 Sunlight: Prefers bright indirect light with some morning sun  
- 💧 Watering: Low frequency; allow soil to dry out completely  
- 🌡️ Temperature: Thrives in 15°C to 35°C with low to moderate humidity  
- 🌼 Unique blooms can have an unconventional smell to attract pollinators  
Ready to add this exotic treasure to your collection? 🌱 Link in bio!  
#SucculentLove #CarrionFlower #PlantLovers #IndoorPlants #ExoticPlants #Stapelia #GardeningJoy #PlantParent #RosaryPlantHouse #HomeDecor #GreenThumb #PlantCare #HousePlants #NatureLovers</t>
        </is>
      </c>
    </row>
    <row r="218" ht="99.5" customHeight="1">
      <c r="A218" s="73" t="n">
        <v>217</v>
      </c>
      <c r="B218" s="74" t="inlineStr">
        <is>
          <t>small jain temple</t>
        </is>
      </c>
      <c r="C218" s="74">
        <f>IF(Local!H218,"1","0")</f>
        <v/>
      </c>
      <c r="D218" s="75" t="n">
        <v>69</v>
      </c>
      <c r="E218" s="66" t="inlineStr">
        <is>
          <t>Crassula capitella 'Red Pagoda'</t>
        </is>
      </c>
      <c r="F218" s="76">
        <f>"public/sale_plants/"&amp;A218&amp;".jpg"</f>
        <v/>
      </c>
      <c r="G218" s="77" t="inlineStr">
        <is>
          <t>(2"-3")</t>
        </is>
      </c>
      <c r="H218" s="78" t="inlineStr">
        <is>
          <t>Low</t>
        </is>
      </c>
      <c r="I218" s="66" t="inlineStr">
        <is>
          <t>Low</t>
        </is>
      </c>
      <c r="J218" s="66" t="inlineStr">
        <is>
          <t>High</t>
        </is>
      </c>
      <c r="K218" s="79" t="n">
        <v>149</v>
      </c>
      <c r="L218" s="80" t="inlineStr">
        <is>
          <t>Succulent</t>
        </is>
      </c>
      <c r="M218" s="80" t="n">
        <v>0</v>
      </c>
      <c r="N218" s="80" t="n">
        <v>0</v>
      </c>
      <c r="O218" s="81" t="n">
        <v>0</v>
      </c>
      <c r="P218" s="80" t="n">
        <v>0</v>
      </c>
      <c r="Q218" s="81">
        <f>IF(Local!I218=TRUE,1,0)</f>
        <v/>
      </c>
      <c r="R218" s="81">
        <f>Local!D218</f>
        <v/>
      </c>
      <c r="S218" s="81">
        <f>Local!F218</f>
        <v/>
      </c>
      <c r="T218" s="81">
        <f>Local!G218</f>
        <v/>
      </c>
      <c r="U218" s="83" t="inlineStr">
        <is>
          <t>## About
Red Pagoda is a beautiful succulent with stacked, triangular leaves that grow in a distinctive spiral pattern resembling a pagoda or tower. The leaves turn vibrant red or burgundy when exposed to bright sunlight, making it a stunning addition to any collection. This plant is native to South Africa and is popular among succulent lovers for its unique shape and colorful foliage.
## Origin
Red Pagoda originates from South Africa, where it grows in rocky, well-drained areas with plenty of sunlight. It belongs to the Crassula family, which includes many popular succulent species. In its natural habitat, it thrives in dry conditions with minimal rainfall.
## Temperature &amp; Humidity
- **Temperature Range:** 15Â°C to 35Â°C
- **Humidity:** Low to moderate humidity (30% to 50%). This plant prefers dry conditions and does well in the typical Indian climate, especially in regions with hot, dry weather.
## Growth
Red Pagoda is a slow to moderate grower that typically reaches 15 to 20 cm in height. It grows upright with stacked leaves forming tower-like structures. The plant may produce offsets or pups from the base, creating a clumping effect over time. With proper care and bright light, the leaves develop stunning red, orange, and burgundy colors along the edges.
## Watering
- **Frequency:** Once every 10-14 days depending on season and weather conditions. Water less frequently during monsoon and winter months.
- **Tips:** Allow the soil to dry out completely between waterings. Water thoroughly but ensure excess water drains out completely. Reduce watering during winter months. Overwatering is the most common cause of problems with this plant, so it's better to underwater than overwater.
## Sunlight
- **Hours per day:** 4 to 6 hours of direct sunlight
- **Type:** Direct sunlight is best for bringing out the vibrant red coloration. Can tolerate bright indirect light but colors will be less intense and leaves may stay green.
## Care Tips
- Place the plant in the brightest spot available, preferably where it receives morning sunlight
- In extremely hot Indian summers (above 40Â°C), provide some afternoon shade to prevent leaf burn
- Protect from heavy monsoon rains as excess moisture can cause root rot
- Use a well-draining pot with drainage holes to prevent water logging
- During winter, reduce watering frequency significantly as the plant enters a semi-dormant phase
- The plant is generally pest-resistant and easy to care for, making it perfect for beginners
## Growth Tips
- Use a well-draining succulent or cactus potting mix, or create your own by mixing regular soil with cocopeat, sand, and perlite in equal parts
- Add small pieces of charcoal to the soil mix to prevent fungal growth
- Fertilize very sparingly - once every 2-3 months during the growing season (spring and autumn) with a diluted succulent fertilizer
- Repot every 2-3 years or when the plant outgrows its container
- Propagation is easy through stem cuttings or leaf cuttings - simply let the cuttings dry for 2-3 days before planting in well-draining soil
## Common Problems
- **Leaves turning pale or staying green:** Not enough sunlight. Move to a brighter location with more direct sun exposure
- **Soft, mushy leaves or stems:** Overwatering or root rot. Reduce watering frequency and check roots for rot
- **Stretched or leggy growth:** Insufficient light causing etiolation. Provide more direct sunlight
- **Mealybugs or aphids:** These pests may occasionally attack the plant. Remove manually or spray with neem oil solution
- **Leaf drop:** Can be caused by sudden temperature changes or overwatering. Maintain consistent care routine
- **Brown, crispy leaves:** Sunburn from too intense afternoon sun or underwatering. Adjust light exposure or increase watering slightly</t>
        </is>
      </c>
      <c r="V218" s="98">
        <f>HYPERLINK("https://rosaryplanthouse.com/plant/"&amp;A218&amp;"-"&amp;SUBSTITUTE(LOWER(E218), " ", "-"))</f>
        <v/>
      </c>
      <c r="W218" t="inlineStr">
        <is>
          <t>🟢 Crassula capitella 'Red Pagoda' (ID: 217)
🌟 Ready to elevate your plant game? Meet the stunning Red Pagoda, a succulent that will leave you in awe with its unique spiral-shaped leaves and vibrant hues! 
This South African beauty thrives in bright sunlight, transforming into a radiant display of reds and burgundies when given the right conditions. Perfect for both seasoned collectors and beginners, the Red Pagoda is low maintenance and a true showstopper!
🔑 **Key Details:**
- 🌱 **Watering:** Low, every 10-14 days
- ☀️ **Sunlight:** 4-6 hours of direct sunlight
- 🌡️ **Temperature:** Thrives between 15°C to 35°C
- 🏡 **Humidity:** Low to moderate
- 🌸 **Care:** Pest-resistant and easy to care for
Discover the beauty of the Red Pagoda today! 🌿 Link in bio.
#CrassulaCapitella #RedPagoda #SucculentLove #PlantCollection #IndoorPlants #HousePlants #PlantCare #PlantParenthood #GreenThumb #EcommercePlants #RosaryPlantHouse</t>
        </is>
      </c>
    </row>
    <row r="219" ht="99.5" customHeight="1">
      <c r="A219" s="73" t="n">
        <v>218</v>
      </c>
      <c r="B219" s="74" t="inlineStr">
        <is>
          <t>coral relif sedum</t>
        </is>
      </c>
      <c r="C219" s="74">
        <f>IF(Local!H219,"1","0")</f>
        <v/>
      </c>
      <c r="D219" s="75" t="n">
        <v>120</v>
      </c>
      <c r="E219" s="66" t="inlineStr">
        <is>
          <t>Crassula davii</t>
        </is>
      </c>
      <c r="F219" s="76">
        <f>"public/sale_plants/"&amp;A219&amp;".jpg"</f>
        <v/>
      </c>
      <c r="G219" s="77" t="inlineStr">
        <is>
          <t>(2"-3")</t>
        </is>
      </c>
      <c r="H219" s="78" t="inlineStr">
        <is>
          <t>High</t>
        </is>
      </c>
      <c r="I219" s="66" t="inlineStr">
        <is>
          <t>Low</t>
        </is>
      </c>
      <c r="J219" s="66" t="inlineStr">
        <is>
          <t>Medium</t>
        </is>
      </c>
      <c r="K219" s="79" t="n">
        <v>149</v>
      </c>
      <c r="L219" s="80" t="inlineStr">
        <is>
          <t>Sedum</t>
        </is>
      </c>
      <c r="M219" s="80" t="n">
        <v>0</v>
      </c>
      <c r="N219" s="80" t="n">
        <v>1</v>
      </c>
      <c r="O219" s="81" t="n">
        <v>0</v>
      </c>
      <c r="P219" s="80" t="n">
        <v>0</v>
      </c>
      <c r="Q219" s="81">
        <f>IF(Local!I219=TRUE,1,0)</f>
        <v/>
      </c>
      <c r="R219" s="81">
        <f>Local!D219</f>
        <v/>
      </c>
      <c r="S219" s="81">
        <f>Local!F219</f>
        <v/>
      </c>
      <c r="T219" s="81">
        <f>Local!G219</f>
        <v/>
      </c>
      <c r="U219" s="83" t="inlineStr">
        <is>
          <t>## About
Crassula davii is a delightful miniature succulent that forms compact rosettes of tiny, tightly-packed green leaves. This charming plant is perfect for small pots and indoor collections, producing lovely pink or white flowers during its blooming season.
## Origin
Crassula davii is native to South Africa, where it grows naturally in rocky areas and well-drained soils. It belongs to the large Crassula genus, which includes hundreds of succulent species adapted to dry conditions.
## Temperature &amp; Humidity
- **Temperature Range:** 15Â°C to 30Â°C
- **Humidity:** Low to moderate humidity (30% to 50%). This plant tolerates the typical dry indoor conditions found in most Indian homes and does not require high humidity levels.
## Growth
Crassula davii is a slow-growing, compact succulent that typically reaches 5 to 8 centimeters in height and spreads about 10 to 12 centimeters wide. The plant forms small rosettes that cluster together, creating a dense mat-like appearance over time. Each rosette consists of tiny, rounded leaves arranged in neat rows. The growth is compact and controlled, making it ideal for small containers and terrariums.
## Watering
- **Frequency:** Once every 10 to 14 days depending on season and weather conditions. Water less frequently during monsoon and winter months.
- **Tips:** Always allow the soil to dry out completely between waterings. Water thoroughly until water drains from the bottom, then empty the saucer to prevent root rot. Reduce watering significantly during winter months. In hot Indian summers, check the soil more frequently as it may dry faster. Avoid getting water on the leaves to prevent fungal problems.
## Sunlight
- **Hours per day:** 4 to 6 hours
- **Type:** Bright indirect light or filtered morning sunlight. Can tolerate 2-3 hours of gentle direct morning sun, but protect from harsh afternoon sun which can scorch the leaves.
## Care Tips
- Place in a bright spot near an east or north-facing window for best results in Indian homes
- Protect from intense afternoon sun during peak summer months (April to June)
- Bring indoors during heavy monsoon rains to prevent overwatering and fungal issues
- Ensure good air circulation around the plant to prevent moisture-related problems
- During winter, reduce watering significantly as the plant enters a semi-dormant phase
- Use a well-draining pot with drainage holes to prevent water accumulation
- Keep away from areas with constant moisture or high humidity like bathrooms
## Growth Tips
- Use a well-draining succulent or cactus potting mix, or make your own by mixing regular potting soil with cocopeat and perlite in a 1:1:1 ratio
- Add sand or pumice to improve drainage further
- Fertilize sparingly with a diluted succulent fertilizer once every 2 to 3 months during the growing season (spring and early summer)
- Repot only when the plant outgrows its container, typically every 2 to 3 years
- Use shallow pots as the root system is not very deep
- Propagate easily from stem cuttings or by separating offsets during spring
- Allow cuttings to dry for a day before planting to prevent rot
## Common Problems
- **Overwatering:** Leads to yellow, mushy leaves and root rot. Always ensure soil is dry before watering again
- **Leaf drop:** Usually caused by too much water or poor drainage
- **Stretching (etiolation):** Occurs when the plant doesn't get enough light. Move to a brighter location
- **Brown or scorched leaves:** Result of too much direct harsh sunlight. Provide filtered light instead
- **Mealybugs:** White cottony pests that appear in leaf joints. Remove with cotton swabs dipped in rubbing alcohol
- **Fungal issues:** Can develop during monsoon if kept outdoors or if leaves stay wet. Ensure good air circulation and avoid overhead watering
- **Slow growth:** Normal for this species, but can also indicate lack of nutrients. Feed sparingly during growing season</t>
        </is>
      </c>
      <c r="V219" s="98">
        <f>HYPERLINK("https://rosaryplanthouse.com/plant/"&amp;A219&amp;"-"&amp;SUBSTITUTE(LOWER(E219), " ", "-"))</f>
        <v/>
      </c>
      <c r="W219" t="inlineStr">
        <is>
          <t>🟢 Crassula Davii (ID: 218)  
🌱 Looking for a charming addition to your succulent collection? Meet the delightful Coral Relief Sedum! This miniature beauty is perfect for small spaces and will add a touch of green to your home.  
✨ About: Crassula davii forms compact rosettes of tightly-packed green leaves and graces us with lovely pink or white flowers during its blooming season. With its slow growth and mat-like appearance, it's ideal for terrariums and small pots.  
🌞 Key Details:  
- **Sunlight:** Thrives in bright indirect light; perfect near east or north-facing windows.  
- **Watering:** Low maintenance, water every 10-14 days, allowing soil to dry out completely in between.  
- **Temperature:** Prefers 15°C to 30°C; can tolerate low to moderate humidity.  
🌿 Ready to elevate your plant game? 🌟 Link in bio!  
#CrassulaDavii #CoralReliefSedum #SucculentLove #PlantCollection #IndoorPlants #PlantParent #GreenThumb #SucculentCare #RosaryPlantHouse #HouseplantClub #PlantAddict #HomeDecor #UrbanJungle #PlantLovers #SucculentGarden</t>
        </is>
      </c>
    </row>
    <row r="220" ht="99.5" customHeight="1">
      <c r="A220" s="73" t="n">
        <v>219</v>
      </c>
      <c r="B220" s="84" t="inlineStr">
        <is>
          <t>Echeveria Star Valley</t>
        </is>
      </c>
      <c r="C220" s="74">
        <f>IF(Local!H220,"1","0")</f>
        <v/>
      </c>
      <c r="D220" s="75" t="n">
        <v>149</v>
      </c>
      <c r="E220" s="66" t="inlineStr">
        <is>
          <t>Echeveria 'Star Valley'</t>
        </is>
      </c>
      <c r="F220" s="76">
        <f>"public/sale_plants/"&amp;A220&amp;".jpg"</f>
        <v/>
      </c>
      <c r="G220" s="77" t="inlineStr">
        <is>
          <t>(2"-3")</t>
        </is>
      </c>
      <c r="H220" s="78" t="inlineStr">
        <is>
          <t>Low</t>
        </is>
      </c>
      <c r="I220" s="66" t="inlineStr">
        <is>
          <t>Low</t>
        </is>
      </c>
      <c r="J220" s="66" t="inlineStr">
        <is>
          <t>High</t>
        </is>
      </c>
      <c r="K220" s="79" t="n">
        <v>120</v>
      </c>
      <c r="L220" s="80" t="inlineStr">
        <is>
          <t>Succulent</t>
        </is>
      </c>
      <c r="M220" s="80" t="n">
        <v>0</v>
      </c>
      <c r="N220" s="80" t="n">
        <v>0</v>
      </c>
      <c r="O220" s="81" t="n">
        <v>0</v>
      </c>
      <c r="P220" s="81" t="n">
        <v>0</v>
      </c>
      <c r="Q220" s="81" t="n">
        <v>1</v>
      </c>
      <c r="R220" s="81">
        <f>Local!D220</f>
        <v/>
      </c>
      <c r="S220" s="81">
        <f>Local!F220</f>
        <v/>
      </c>
      <c r="T220" s="81">
        <f>Local!G220</f>
        <v/>
      </c>
      <c r="U220" s="83" t="inlineStr">
        <is>
          <t>## About
Star Valley Echeveria is a beautiful succulent with thick, fleshy leaves arranged in a perfect rosette pattern. The pale green to silvery-green leaves have a powdery coating that gives them a soft, velvety appearance. This easy-to-care-for plant is perfect for beginners and experienced plant lovers alike.
## Origin
This Echeveria variety originates from Mexico and Central America, where it naturally grows in rocky, dry environments. It belongs to the Crassulaceae family and is a cultivated hybrid variety developed for its attractive appearance and compact growth habit.
## Temperature &amp; Humidity
- **Temperature Range:** 15Â°C to 30Â°C
- **Humidity:** Low to moderate humidity (30% to 50%). This plant thrives in dry conditions and does not require high humidity. It can tolerate the hot and dry summers common in most parts of India.
## Growth
Star Valley Echeveria is a slow to moderate grower that typically reaches 10 to 15 cm in diameter when mature. It grows in a compact rosette form with leaves spiraling from the center. The plant stays relatively small and neat, making it perfect for small pots and arrangements. It may produce offsets (baby plants) around the base, which can be separated to create new plants.
## Watering
- **Frequency:** Once every 10-14 days depending on other parameters like season, pot size, and indoor/outdoor placement
- **Tips:** Water thoroughly but allow the soil to dry out completely between waterings. During monsoon season, reduce watering significantly. In winter, water even less frequently (once every 3 weeks). Always water at the base of the plant and avoid getting water on the leaves, as this can wash away the protective powdery coating. Never let the plant sit in water as this causes root rot.
## Sunlight
- **Hours per day:** 4 to 6 hours
- **Type:** Bright direct or indirect sunlight. Morning sun is ideal, but protect from harsh afternoon sun during peak summer months (April-June) to prevent leaf burn. The plant can tolerate some shade but colors and form are best with adequate sunlight.
## Care Tips
- Protect from heavy monsoon rains as excess moisture can cause rot
- Keep in a well-ventilated area to prevent fungal issues during humid months
- The powdery coating on leaves is natural and protective - avoid touching leaves frequently
- If growing indoors, place near a bright window (south or east-facing works well)
- During extreme summer heat (above 40Â°C), provide some afternoon shade
- Bring indoors or provide protection if temperatures drop below 10Â°C in winter
## Growth Tips
- Use well-draining cactus or succulent mix; you can make your own by mixing regular potting soil with cocopeat and sand in equal parts
- Add perlite or small stones to improve drainage
- Fertilize once a month during growing season (February to October) with diluted liquid succulent fertilizer at half strength
- Repot every 2 to 3 years or when the plant outgrows its pot, preferably in early spring
- Use terracotta or clay pots which allow better air circulation and moisture evaporation
- Remove dead lower leaves regularly to keep the plant healthy
## Common Problems
- **Leaf rot or mushy leaves:** Caused by overwatering or water sitting on leaves. Reduce watering frequency immediately
- **Stretching or elongated growth:** Not enough sunlight. Move to a brighter location
- **Shriveled leaves:** Underwatering. Water more frequently but still allow soil to dry between waterings
- **Black spots or fungal issues:** Excess humidity or poor air circulation, common during monsoon. Improve ventilation and reduce watering
- **Mealybugs (white cottony insects):** Common pest on succulents. Remove with cotton swab dipped in rubbing alcohol
- **Loss of powdery coating:** Too much handling or water on leaves. This coating protects the plant, so handle gently
- **Brown, crispy leaf tips:** Sunburn from too much harsh direct sun. Provide filtered light during peak afternoon hours</t>
        </is>
      </c>
      <c r="V220" s="98">
        <f>HYPERLINK("https://rosaryplanthouse.com/plant/"&amp;A220&amp;"-"&amp;SUBSTITUTE(LOWER(E220), " ", "-"))</f>
        <v/>
      </c>
      <c r="W220" t="inlineStr">
        <is>
          <t>🟢 Echeveria 'Star Valley' (ID: 219)
🌟 Looking to brighten up your space with a touch of nature? Meet the stunning Echeveria 'Star Valley'! This charming succulent is not just a feast for the eyes but also a breeze to care for!
🌿 About: This beautiful succulent features thick, fleshy leaves arranged in a perfect rosette, showcasing a lovely pale green to silvery-green hue with a soft, velvety touch. Originating from the rocky landscapes of Mexico and Central America, it's ideal for both plant newbies and seasoned enthusiasts alike!
✨ Key Details:
- 🌞 Sunlight: Thrives in bright, direct or indirect sunlight for 4 to 6 hours daily.
- 💧 Watering: Low maintenance with watering every 10-14 days – just let that soil dry out!
- 🌵 Ideal for: Small pots and arrangements, making it a perfect addition to your indoor or outdoor collection.
🌱 Ready to bring home this enchanting plant? Check the 'Link in bio' to grab yours today!
#Echeveria #SucculentLove #PlantParent #StarValley #IndoorPlants #PlantAddict #GreenThumb #RosaryPlantHouse #HomeDecor #PlantCollection #SucculentCare #DesertPlants #PlantLife #SucculentGarden</t>
        </is>
      </c>
    </row>
    <row r="221" ht="99.5" customHeight="1">
      <c r="A221" s="73" t="n">
        <v>220</v>
      </c>
      <c r="B221" s="74" t="inlineStr">
        <is>
          <t>Peperomia white</t>
        </is>
      </c>
      <c r="C221" s="74">
        <f>IF(Local!H221,"1","0")</f>
        <v/>
      </c>
      <c r="D221" s="75" t="n">
        <v>149</v>
      </c>
      <c r="E221" s="66" t="inlineStr">
        <is>
          <t>Peperomia caperata 'Variegata'</t>
        </is>
      </c>
      <c r="F221" s="76">
        <f>"public/sale_plants/"&amp;A221&amp;".jpg"</f>
        <v/>
      </c>
      <c r="G221" s="77" t="inlineStr">
        <is>
          <t>(2"-3")</t>
        </is>
      </c>
      <c r="H221" s="78" t="inlineStr">
        <is>
          <t>High</t>
        </is>
      </c>
      <c r="I221" s="66" t="inlineStr">
        <is>
          <t>Medium</t>
        </is>
      </c>
      <c r="J221" s="66" t="inlineStr">
        <is>
          <t>Low</t>
        </is>
      </c>
      <c r="K221" s="79" t="n">
        <v>149</v>
      </c>
      <c r="L221" s="80" t="inlineStr">
        <is>
          <t>Peperomia</t>
        </is>
      </c>
      <c r="M221" s="80" t="n">
        <v>0</v>
      </c>
      <c r="N221" s="80" t="n">
        <v>0</v>
      </c>
      <c r="O221" s="81" t="n">
        <v>0</v>
      </c>
      <c r="P221" s="80" t="n">
        <v>1</v>
      </c>
      <c r="Q221" s="81">
        <f>IF(Local!I221=TRUE,1,0)</f>
        <v/>
      </c>
      <c r="R221" s="81">
        <f>Local!D221</f>
        <v/>
      </c>
      <c r="S221" s="81">
        <f>Local!F221</f>
        <v/>
      </c>
      <c r="T221" s="81">
        <f>Local!G221</f>
        <v/>
      </c>
      <c r="U221" s="83" t="inlineStr">
        <is>
          <t>## About
The Variegated Radiator Plant is a stunning compact houseplant known for its beautiful cream and green variegated leaves with a rippled texture. This lovely tropical plant is perfect for Indian homes and offices, adding charm to any indoor space with its attractive foliage.
## Origin
Native to the tropical rainforests of Brazil and South America. It naturally grows under the canopy of larger trees, which means it is adapted to low light conditions and humid environments.
## Temperature &amp; Humidity
- **Temperature Range:** 18Â°C to 27Â°C
- **Humidity:** This plant loves humidity between 50% to 70%. Indian monsoon season is perfect for this plant, but during dry summer months, you may need to increase humidity around the plant using a pebble tray or occasional misting.
## Growth
This is a small, compact plant that grows slowly and reaches about 15 to 20 cm in height and spread. It forms a neat clump with leaves growing from the center in a rosette pattern. The growth is slow to moderate, making it easy to manage even in small spaces. The plant remains compact and bushy, perfect for tabletops, shelves, and small containers.
## Watering
- **Frequency:** Once a week depending on season and weather conditions. During hot summer months, you may need to water twice a week, while in monsoon or winter, reduce to once every 10 days.
- **Tips:** Always check if the top layer of soil (about 2-3 cm deep) is dry before watering. This plant has thick, fleshy leaves that store water, so it does not like to sit in wet soil. Overwatering can cause root rot. Water less during winter months. Use room temperature water and avoid wetting the leaves too much as they can develop spots.
## Sunlight
- **Hours per day:** 2 to 4 hours
- **Type:** Bright indirect or filtered light. This plant thrives in shade or low light conditions. Direct sunlight can burn the delicate variegated leaves and cause them to lose their beautiful coloring. Perfect for rooms with windows that have curtains or for spots away from direct sun.
## Care Tips
- Keep away from direct afternoon sun, especially during Indian summers (March to June) when the sun is very intense
- Wipe the leaves gently with a damp cloth once every two weeks to remove dust and keep them shiny
- Avoid placing near air conditioners or fans as sudden temperature changes can stress the plant
- During monsoon season, reduce watering as the plant gets enough moisture from humid air
- This plant is pet-safe and non-toxic, making it perfect for homes with cats and dogs
- Rotate the pot every few weeks so all sides get equal light and the plant grows evenly
## Growth Tips
- Use well-draining potting mix made with equal parts regular potting soil, cocopeat, and perlite or sand
- Add organic compost or vermicompost to the soil mix for better nutrition
- Feed with diluted liquid fertilizer once a month during growing season (spring and summer)
- Avoid heavy fertilizers as this plant prefers light feeding
- Repot only when the plant outgrows its pot, usually once every 2 to 3 years
- Choose a pot that is only slightly larger than the current one, as this plant likes to be slightly root-bound
- Ensure the pot has drainage holes to prevent waterlogging
## Common Problems
- **Yellow leaves:** Usually caused by overwatering. Check if soil is too wet and reduce watering frequency
- **Brown leaf edges:** Low humidity or underwatering. Increase humidity around the plant or water more regularly
- **Drooping or wilting leaves:** Can be either overwatering or underwatering. Check the soil moisture to determine the cause
- **Pale or faded variegation:** Too much direct sunlight. Move the plant to a shadier spot with filtered light
- **Slow growth or no new leaves:** Lack of nutrients or too much shade. Add some fertilizer and ensure it gets some bright indirect light
- **White fuzzy patches on leaves:** Mealybugs attack. Wipe them off with cotton dipped in neem oil solution
- **Leaf drop:** Sudden temperature changes or cold drafts. Keep the plant in a stable temperature environment
- **Root rot:** Overwatering and poor drainage. Reduce watering and ensure pot has proper drainage holes</t>
        </is>
      </c>
      <c r="V221" s="98">
        <f>HYPERLINK("https://rosaryplanthouse.com/plant/"&amp;A221&amp;"-"&amp;SUBSTITUTE(LOWER(E221), " ", "-"))</f>
        <v/>
      </c>
      <c r="W221" t="inlineStr">
        <is>
          <t>🟢 Peperomia Caperata 'Variegata' (ID: 220)
🌱 Looking to elevate your indoor space? Meet the charming Peperomia Caperata 'Variegata'! This compact beauty boasts stunning cream and green variegated leaves, perfect for adding a touch of tropical elegance to your home or office. 
✨ About: Native to the lush rainforests of Brazil, this delightful plant thrives in low light and humid environments, making it an ideal choice for Indian households. With a slow growth habit, it remains compact and bushy, perfect for tabletops or shelves.
🌿 Key Details:
- 🌞 Light: Prefers bright indirect light
- 💧 Water: Medium, check soil moisture before watering
- 🌡️ Love humidity: Thrives in 50%-70% humidity
Ready to bring this beauty home? 🌿💚 Link in bio!
#Peperomia #IndoorPlants #HousePlants #PlantLovers #TropicalPlants #HomeDecor #PlantParent #GreenThumb #PlantAesthetic #RosaryPlantHouse</t>
        </is>
      </c>
    </row>
    <row r="222" ht="99.5" customHeight="1">
      <c r="A222" s="73" t="n">
        <v>221</v>
      </c>
      <c r="B222" s="74" t="inlineStr">
        <is>
          <t>pink echeveria</t>
        </is>
      </c>
      <c r="C222" s="74">
        <f>IF(Local!H222,"1","0")</f>
        <v/>
      </c>
      <c r="D222" s="75" t="n">
        <v>79</v>
      </c>
      <c r="E222" s="66" t="inlineStr">
        <is>
          <t>Echeveria fabula</t>
        </is>
      </c>
      <c r="F222" s="76">
        <f>"public/sale_plants/"&amp;A222&amp;".jpg"</f>
        <v/>
      </c>
      <c r="G222" s="77" t="inlineStr">
        <is>
          <t>(2"-3")</t>
        </is>
      </c>
      <c r="H222" s="78" t="inlineStr">
        <is>
          <t>Low</t>
        </is>
      </c>
      <c r="I222" s="66" t="inlineStr">
        <is>
          <t>Low</t>
        </is>
      </c>
      <c r="J222" s="66" t="inlineStr">
        <is>
          <t>Medium</t>
        </is>
      </c>
      <c r="K222" s="79" t="n">
        <v>120</v>
      </c>
      <c r="L222" s="81" t="inlineStr">
        <is>
          <t>Echeveria</t>
        </is>
      </c>
      <c r="M222" s="80" t="n">
        <v>0</v>
      </c>
      <c r="N222" s="80" t="n">
        <v>0</v>
      </c>
      <c r="O222" s="81" t="n">
        <v>0</v>
      </c>
      <c r="P222" s="80" t="n">
        <v>0</v>
      </c>
      <c r="Q222" s="81">
        <f>IF(Local!I222=TRUE,1,0)</f>
        <v/>
      </c>
      <c r="R222" s="81">
        <f>Local!D222</f>
        <v/>
      </c>
      <c r="S222" s="81">
        <f>Local!F222</f>
        <v/>
      </c>
      <c r="T222" s="81">
        <f>Local!G222</f>
        <v/>
      </c>
      <c r="U222" s="83" t="inlineStr">
        <is>
          <t>## About
Echeveria fabula is a beautiful rosette-forming succulent with pale green leaves edged with yellow-cream margins and subtle pink tips. This stunning plant creates a perfect geometric pattern that makes it a favorite among succulent collectors and beginners alike.
## Origin
Echeveria fabula is native to Mexico, where it grows naturally in rocky, mountainous regions with well-draining soil. It belongs to the Crassulaceae family and thrives in semi-arid environments with plenty of sunlight.
## Temperature &amp; Humidity
- **Temperature Range:** 15Â°C to 35Â°C
- **Humidity:** Prefers low to moderate humidity levels, around 30% to 50%. This plant does well in dry conditions and can tolerate the varying humidity levels found across different Indian seasons.
## Growth
Echeveria fabula is a slow to moderate-growing succulent that typically reaches 10-15 cm in diameter when fully mature. It grows in a compact rosette form with tightly packed leaves spiraling from the center. The plant stays relatively small and doesn't spread much, making it perfect for small pots, dish gardens, or succulent arrangements. It may produce offsets (baby plants) around its base over time.
## Watering
- **Frequency:** Once every 10-14 days depending on season and weather conditions. Water less frequently during monsoon and winter months.
- **Tips:** Always water deeply but allow the soil to dry out completely between waterings. Water at the base of the plant, avoiding the rosette center to prevent rot. Reduce watering significantly during winter months. In Indian summers, you may need to water slightly more often, but always check the soil first. Overwatering is the biggest threat to this plant.
## Sunlight
- **Hours per day:** 4 to 6 hours
- **Type:** Bright indirect light is ideal, with 2-3 hours of gentle morning direct sunlight. Avoid harsh afternoon sun in Indian summers as it can scorch the leaves and fade the beautiful coloring. In cooler months (October to February), more direct sunlight is beneficial.
## Care Tips
- Place in a bright spot with good air circulation to prevent fungal issues during humid monsoon months
- Protect from heavy rain during monsoons as excessive moisture can cause root rot
- During Indian summers (April-June), provide shade during peak afternoon hours (12 PM - 4 PM)
- Keep away from air conditioner vents and fans that can cause sudden temperature changes
- The beautiful leaf margins and colors intensify with proper sunlight exposure
- Remove any dead or dried leaves from the base to prevent pest problems
- In winter, reduce watering as the plant enters a semi-dormant phase
## Growth Tips
- Use a well-draining succulent or cactus mix with 50% cocopeat, 30% perlite or pumice, and 20% garden soil
- Add a layer of small stones at the bottom of the pot for extra drainage
- Choose terracotta or clay pots over plastic as they allow better moisture evaporation
- Feed with a balanced liquid fertilizer diluted to half strength once every 4-6 weeks during growing season (March-October)
- Avoid fertilizing during winter months
- Repot every 2-3 years in spring, choosing a pot only slightly larger than the current one
- When repotting, allow the roots to dry for a day before placing in fresh soil
## Common Problems
- **Leaf rot and black spots:** Caused by water sitting in the rosette center or overwatering, especially during monsoons
- **Stretched or elongated growth:** Insufficient light causes the plant to stretch and lose its compact form
- **Leaf drop or shriveling:** Can indicate underwatering or root problems
- **Yellowing leaves at the base:** Normal aging process, but if widespread, may indicate overwatering
- **Brown, crispy leaf tips:** Sunburn from too much direct harsh sunlight
- **Mealybugs:** White cotton-like pests that hide between leaves; treat with neem oil solution
- **Fungal infections:** More common during monsoons when humidity is high; ensure good air flow and avoid wetting leaves</t>
        </is>
      </c>
      <c r="V222" s="98">
        <f>HYPERLINK("https://rosaryplanthouse.com/plant/"&amp;A222&amp;"-"&amp;SUBSTITUTE(LOWER(E222), " ", "-"))</f>
        <v/>
      </c>
      <c r="W222" t="inlineStr">
        <is>
          <t>🌸 Echeveria Fabula (ID: 221) 🌸
✨ Meet the stunning Pink Echeveria, your new favorite succulent! This beauty boasts a mesmerizing rosette of pale green leaves with delightful yellow-cream edges and soft pink tips. Perfect for both seasoned collectors and newcomers, it adds a unique geometric touch to any space! 
🌱 **Key Details:**
- **Origin:** Native to Mexico, thriving in rocky terrains.
- **Watering:** Low maintenance, just once every 10-14 days!
- **Sunlight:** Prefers 4-6 hours of bright indirect light.
- **Care:** Keep in a well-draining pot and remove dead leaves for optimal health.
Ready to elevate your plant game? 🌿✨ Check out more about this gorgeous Echeveria in our bio! 
#EcheveriaFabula #SucculentLove #PlantParent #IndoorPlants #SucculentCare #GreenThumb #RosaryPlantHouse #HomeDecor #PlantLovers #GardeningJoy #PlantsOfInstagram #PlantAddict #SucculentSociety #HouseplantClub</t>
        </is>
      </c>
    </row>
    <row r="223" ht="99.5" customHeight="1">
      <c r="A223" s="73" t="n">
        <v>222</v>
      </c>
      <c r="B223" s="74" t="inlineStr">
        <is>
          <t>Cryptanthus bicolour</t>
        </is>
      </c>
      <c r="C223" s="74">
        <f>IF(Local!H223,"1","0")</f>
        <v/>
      </c>
      <c r="D223" s="75" t="n">
        <v>59</v>
      </c>
      <c r="E223" s="66" t="inlineStr">
        <is>
          <t>Cryptanthus bivittatus</t>
        </is>
      </c>
      <c r="F223" s="76">
        <f>"public/sale_plants/"&amp;A223&amp;".jpg"</f>
        <v/>
      </c>
      <c r="G223" s="77" t="inlineStr">
        <is>
          <t>(2"-3")</t>
        </is>
      </c>
      <c r="H223" s="78" t="inlineStr">
        <is>
          <t>Low</t>
        </is>
      </c>
      <c r="I223" s="66" t="inlineStr">
        <is>
          <t>Medium</t>
        </is>
      </c>
      <c r="J223" s="66" t="inlineStr">
        <is>
          <t>Medium</t>
        </is>
      </c>
      <c r="K223" s="79" t="n">
        <v>99</v>
      </c>
      <c r="L223" s="80" t="inlineStr">
        <is>
          <t>Others</t>
        </is>
      </c>
      <c r="M223" s="80" t="n">
        <v>0</v>
      </c>
      <c r="N223" s="80" t="n">
        <v>0</v>
      </c>
      <c r="O223" s="81" t="n">
        <v>0</v>
      </c>
      <c r="P223" s="81" t="n">
        <v>0</v>
      </c>
      <c r="Q223" s="81">
        <f>IF(Local!I223=TRUE,1,0)</f>
        <v/>
      </c>
      <c r="R223" s="81">
        <f>Local!D223</f>
        <v/>
      </c>
      <c r="S223" s="81">
        <f>Local!F223</f>
        <v/>
      </c>
      <c r="T223" s="81">
        <f>Local!G223</f>
        <v/>
      </c>
      <c r="U223" s="83" t="inlineStr">
        <is>
          <t>## About
Pink Earth Star is a beautiful tropical plant with stunning pink and green striped leaves that form a rosette shape like a star. This low-growing bromeliad is perfect for indoor decoration and adds a pop of color to any space with its unique foliage pattern.
## Origin
Pink Earth Star is native to Brazil, where it grows naturally on the forest floor among fallen leaves and organic matter. It belongs to the bromeliad family and thrives in warm, humid tropical environments.
## Temperature &amp; Humidity
- **Temperature Range:** 18Â°C to 32Â°C
- **Humidity:** Prefers moderate to high humidity levels between 50% to 70%. In Indian climate, it does well during monsoon season and may need extra humidity during dry summer months.
## Growth
This is a small, compact plant that grows close to the ground. It typically reaches 15 to 20 cm in width and about 10 to 15 cm in height. The plant grows slowly and forms a flat rosette of colorful leaves. It spreads gradually and can produce small offsets (baby plants) around the base of the mother plant.
## Watering
- **Frequency:** Once to twice a week depending on season, temperature, and humidity levels
- **Tips:** Water the soil directly and also pour a little water into the central rosette. Make sure the soil is slightly moist but never waterlogged. During monsoon season in India, reduce watering frequency. In summer, you may need to water more often. Use room temperature water and avoid tap water with high chlorine content if possible.
## Sunlight
- **Hours per day:** 2 to 4 hours
- **Type:** Bright indirect light or filtered light. Avoid direct harsh sunlight as it can fade the beautiful pink color and burn the leaves. Morning sunlight for a short duration is acceptable.
## Care Tips
- Keep the plant in a well-ventilated area with good air circulation
- Mist the leaves regularly during hot and dry months to maintain humidity
- Protect from direct afternoon sun, especially during Indian summer months (April to June)
- Can be grown indoors near east or north-facing windows
- Keep away from cold drafts and air conditioner vents
- Wipe leaves gently with a damp cloth to remove dust and keep them looking fresh
- Works well in terrariums and dish gardens
## Growth Tips
- Use well-draining potting mix with peat moss, orchid bark, and perlite
- Soil should be light, airy, and slightly acidic (pH 5.5 to 6.5)
- Feed with diluted liquid fertilizer (half strength) once a month during growing season (spring and monsoon)
- Avoid heavy fertilizers as bromeliads have light feeding requirements
- Repot only when the plant outgrows its pot or to separate offsets
- Can be grown in shallow pots or mounted on driftwood with sphagnum moss
- Offsets can be separated when they are about one-third the size of the mother plant
## Common Problems
- **Leaf browning or tips turning brown:** Usually caused by low humidity, chlorinated water, or salt buildup in soil
- **Fading pink color:** Too much direct sunlight or insufficient light can both affect leaf coloration
- **Rotting at the base:** Overwatering or poor drainage leads to root rot
- **Leaves becoming soft and mushy:** Sign of overwatering or fungal infection
- **Slow growth or no new leaves:** Insufficient light, nutrients, or plant may be rootbound
- **Pests like mealybugs or scale insects:** Can hide in leaf crevices; wipe with neem oil solution
- **Leaves curling inward:** Not enough water or humidity is too low</t>
        </is>
      </c>
      <c r="V223" s="98">
        <f>HYPERLINK("https://rosaryplanthouse.com/plant/"&amp;A223&amp;"-"&amp;SUBSTITUTE(LOWER(E223), " ", "-"))</f>
        <v/>
      </c>
      <c r="W223" t="inlineStr">
        <is>
          <t>🟢 Cryptanthus Bicolour (ID: 222)
🌟 Meet the stunning Pink Earth Star! 🌟 This eye-catching tropical beauty features mesmerizing pink and green striped leaves that form a charming rosette, perfect for adding a splash of color to your indoor space. 
🍃 **About:** Native to the lush forests of Brazil, this low-growing bromeliad thrives in warm, humid environments. Ideal for those looking to infuse their home with vibrant foliage while enjoying a plant that's easy to care for!
🌱 **Key Details:**
- 🌞 **Sunlight:** Prefers bright, indirect light (2-4 hours/day)
- 💧 **Watering:** Medium; water once or twice a week, adjusting according to humidity
- 🌬️ **Humidity:** Thrives in moderate to high humidity (50%-70%)
✨ Ready to brighten up your home with this lovely addition? Don't wait! Check it out - Link in bio!
#CryptanthusBicolour #PinkEarthStar #IndoorPlants #PlantLover #Bromeliad #TropicalPlants #PlantCare #HomeDecor #Houseplants #PlantAddict #RosaryPlantHouse</t>
        </is>
      </c>
    </row>
    <row r="224" ht="99.5" customHeight="1">
      <c r="A224" s="73" t="n">
        <v>223</v>
      </c>
      <c r="B224" s="90" t="inlineStr">
        <is>
          <t>Aloe bright star</t>
        </is>
      </c>
      <c r="C224" s="74">
        <f>IF(Local!H224,"1","0")</f>
        <v/>
      </c>
      <c r="D224" s="85" t="n"/>
      <c r="E224" s="66" t="inlineStr">
        <is>
          <t>Aloe 'Bright Star'</t>
        </is>
      </c>
      <c r="F224" s="76">
        <f>"public/sale_plants/"&amp;A224&amp;".jpg"</f>
        <v/>
      </c>
      <c r="G224" s="77" t="inlineStr">
        <is>
          <t>(2"-3")</t>
        </is>
      </c>
      <c r="H224" s="78" t="inlineStr">
        <is>
          <t>Low</t>
        </is>
      </c>
      <c r="I224" s="66" t="inlineStr">
        <is>
          <t>Low</t>
        </is>
      </c>
      <c r="J224" s="66" t="inlineStr">
        <is>
          <t>Medium</t>
        </is>
      </c>
      <c r="K224" s="79" t="n">
        <v>120</v>
      </c>
      <c r="L224" s="80" t="inlineStr">
        <is>
          <t>Aloe</t>
        </is>
      </c>
      <c r="M224" s="80" t="n">
        <v>0</v>
      </c>
      <c r="N224" s="80" t="n">
        <v>0</v>
      </c>
      <c r="O224" s="81" t="n">
        <v>0</v>
      </c>
      <c r="P224" s="80" t="n">
        <v>0</v>
      </c>
      <c r="Q224" s="81" t="n">
        <v>1</v>
      </c>
      <c r="R224" s="81">
        <f>Local!D224</f>
        <v/>
      </c>
      <c r="S224" s="81">
        <f>Local!F224</f>
        <v/>
      </c>
      <c r="T224" s="81">
        <f>Local!G224</f>
        <v/>
      </c>
      <c r="U224" s="83" t="inlineStr">
        <is>
          <t>## About
Bright Star Aloe is a stunning hybrid succulent known for its beautiful star-shaped rosette pattern and striking white spots on green leaves with red edges. This compact aloe variety is perfect for Indian homes and gardens, offering both beauty and easy care.
## Origin
This plant is a cultivated hybrid, developed from various Aloe species. The parent species of aloes are native to South Africa and Madagascar, where they grow in semi-arid conditions. The 'Bright Star' variety was specifically bred for its ornamental appeal and compact growth habit.
## Temperature &amp; Humidity
- **Temperature Range:** 15Â°C to 35Â°C
- **Humidity:** Low to moderate humidity (30% to 50%). This plant is highly tolerant of dry conditions and thrives well in typical Indian household humidity levels. It can handle the heat of Indian summers quite well.
## Growth
Bright Star Aloe is a slow-growing, compact succulent that typically reaches 15-20 cm in height and spreads about 15-20 cm wide. The plant forms a beautiful rosette shape with pointed leaves arranged in a star pattern. Over time, it may produce small offsets (pups) around the base, which can be separated and grown into new plants. Growth is slowest during winter months and picks up during the warm growing season.
## Watering
- **Frequency:** Once every 10-14 days depending on season and weather conditions. Water less frequently during monsoon and winter, and slightly more often during hot summer months.
- **Tips:** Always allow the soil to dry out completely between waterings. Water thoroughly until it drains from the bottom, then empty the saucer. Avoid getting water in the center of the rosette as this can cause rot. During monsoon season, reduce watering significantly as the plant can absorb moisture from humid air.
## Sunlight
- **Hours per day:** 4 to 6 hours
- **Type:** Bright indirect light or morning direct sunlight. Avoid harsh afternoon sun, especially during peak summer months (April-June), as it can cause the leaves to turn brown or red. A spot with morning sun and afternoon shade is ideal, such as an east-facing window or balcony.
## Care Tips
- Protect from heavy monsoon rains as excessive water can cause root rot
- During summer, move to a shadier spot if leaves start turning brown
- Keep away from temperatures below 10Â°C during winter in northern India
- Clean the leaves occasionally with a soft brush to remove dust and maintain the attractive spotted pattern
- Ensure good air circulation around the plant to prevent fungal issues
- Use a well-draining pot with drainage holes to prevent waterlogging
## Growth Tips
- Use a cactus or succulent potting mix, or create your own with regular soil, cocopeat, and sand in equal parts
- Add perlite or pumice for extra drainage
- Fertilize sparingly - once every 2-3 months during the growing season (March to October) with diluted succulent fertilizer
- Repot every 2-3 years or when the plant outgrows its pot, preferably during spring
- Use terracotta pots as they allow better air circulation and moisture evaporation
- Propagate easily by removing offsets and planting them in fresh soil after allowing the cut to dry for a day
## Common Problems
- **Soft, mushy leaves:** Caused by overwatering or root rot. Reduce watering frequency immediately
- **Brown or red leaves:** Too much direct sunlight, especially harsh afternoon sun. Move to a shadier location
- **Stretched, elongated growth:** Insufficient light. Move to a brighter spot with more indirect sunlight
- **Shriveled leaves:** Underwatering. Increase watering frequency slightly
- **Mealybugs:** Small white cotton-like pests in leaf crevices. Remove with cotton swabs dipped in rubbing alcohol
- **Fungal spots:** Caused by excessive humidity or water sitting on leaves. Improve air circulation and avoid overhead watering
- **Slow or no growth:** Normal during winter; may also indicate need for fertilizer or repotting if rootbound</t>
        </is>
      </c>
      <c r="V224" s="98">
        <f>HYPERLINK("https://rosaryplanthouse.com/plant/"&amp;A224&amp;"-"&amp;SUBSTITUTE(LOWER(E224), " ", "-"))</f>
        <v/>
      </c>
      <c r="W224" t="inlineStr">
        <is>
          <t>🟢 Aloe 'Bright Star' (ID: 223)  
✨ Brighten up your space with the stunning Aloe 'Bright Star'! This captivating hybrid succulent is a true showstopper, featuring a beautiful star-shaped rosette adorned with striking white spots and vibrant red edges. 🌟 Perfect for any home, it brings beauty and easy care into your life.  
🌱 **Key Details:**  
- **Watering:** Low maintenance, just once every 10-14 days!  
- **Sunlight:** Thrives in bright indirect light or morning sun.  
- **Growth:** Compact and slow-growing, it forms a charming rosette shape.  
👉 Transform your collection with this beauty! Don’t miss out—**Link in bio** to shop now!  
#AloeBrightStar #SucculentLove #PlantGoals #IndoorPlants #PlantParent #HomeDecor #GreenLiving #RosaryPlantHouse #PlantAddict #SucculentCare #HousePlants #PlantLover #SucculentCollection #GreenThumb #BotanicalBeauty</t>
        </is>
      </c>
    </row>
    <row r="225" ht="99.5" customHeight="1">
      <c r="A225" s="73" t="n">
        <v>224</v>
      </c>
      <c r="B225" s="74" t="inlineStr">
        <is>
          <t>white Kalanchoe</t>
        </is>
      </c>
      <c r="C225" s="74">
        <f>IF(Local!H225,"1","0")</f>
        <v/>
      </c>
      <c r="D225" s="75" t="n">
        <v>69</v>
      </c>
      <c r="E225" s="66" t="inlineStr">
        <is>
          <t>Kalanchoe millotii</t>
        </is>
      </c>
      <c r="F225" s="76">
        <f>"public/sale_plants/"&amp;A225&amp;".jpg"</f>
        <v/>
      </c>
      <c r="G225" s="77" t="inlineStr">
        <is>
          <t>(2"-3")</t>
        </is>
      </c>
      <c r="H225" s="78" t="inlineStr">
        <is>
          <t>Low</t>
        </is>
      </c>
      <c r="I225" s="66" t="inlineStr">
        <is>
          <t>Low</t>
        </is>
      </c>
      <c r="J225" s="66" t="inlineStr">
        <is>
          <t>High</t>
        </is>
      </c>
      <c r="K225" s="79" t="n">
        <v>69</v>
      </c>
      <c r="L225" s="80" t="inlineStr">
        <is>
          <t>Succulent</t>
        </is>
      </c>
      <c r="M225" s="80" t="n">
        <v>0</v>
      </c>
      <c r="N225" s="80" t="n">
        <v>0</v>
      </c>
      <c r="O225" s="81" t="n">
        <v>0</v>
      </c>
      <c r="P225" s="80" t="n">
        <v>0</v>
      </c>
      <c r="Q225" s="81">
        <f>IF(Local!I225=TRUE,1,0)</f>
        <v/>
      </c>
      <c r="R225" s="81">
        <f>Local!D225</f>
        <v/>
      </c>
      <c r="S225" s="81">
        <f>Local!F225</f>
        <v/>
      </c>
      <c r="T225" s="81">
        <f>Local!G225</f>
        <v/>
      </c>
      <c r="U225" s="83" t="inlineStr">
        <is>
          <t>## About
Kalanchoe millotii, commonly known as Velvet Leaf Kalanchoe, is a beautiful succulent plant with soft, fuzzy leaves that feel like velvet to touch. This charming plant originates from Madagascar and is loved by plant collectors for its unique texture and attractive pale green to silvery-green foliage with scalloped edges.
## Origin
Native to Madagascar, this plant grows naturally in rocky, well-draining areas where it receives plenty of sunlight. In its natural habitat, it thrives in warm, dry conditions with minimal rainfall, making it perfectly adapted to survive drought-like conditions.
## Temperature &amp; Humidity
- **Temperature Range:** 15Â°C to 35Â°C
- **Humidity:** Prefers low to moderate humidity levels, around 30% to 50%. This plant does well in typical Indian household humidity and does not require any special misting or humidity management. It can tolerate the dry conditions commonly found in many Indian homes.
## Growth
Kalanchoe millotii is a compact, slow-growing succulent that typically reaches 6 to 12 inches in height and spreads about 8 to 10 inches wide. The plant forms a small rosette shape with thick, fleshy leaves covered in fine hairs that give it a soft, velvety texture. New growth emerges from the center, creating an attractive layered appearance. It grows slowly but steadily during the warmer months.
## Watering
- **Frequency:** Once every 10-15 days depending on weather conditions and season. In summer, you may need to water slightly more often, while in winter, reduce watering significantly.
- **Tips:** Always check if the soil is completely dry before watering. Insert your finger about 2 inches into the soil - if it feels dry, it's time to water. Water thoroughly until water drains from the bottom holes, but never let the plant sit in standing water. Overwatering is the most common cause of problems with this plant. During monsoon season, reduce watering as the humidity is already high.
## Sunlight
- **Hours per day:** 4 to 6 hours
- **Type:** Prefers bright direct sunlight, especially morning sun. In extremely hot Indian summers (above 40Â°C), provide some afternoon shade to prevent leaf burn. Bright indirect light also works well, though the plant may grow more slowly and the leaves may lose some of their compact form.
## Care Tips
- Keep in a well-ventilated spot to prevent fungal issues during humid monsoon months
- Avoid getting water on the fuzzy leaves as this can cause spotting or rot
- In peak summer heat above 38Â°C, move to a spot with morning sun and afternoon shade
- This plant is perfect for beginners as it tolerates neglect well
- Can be kept on sunny windowsills, balconies, or in bright outdoor spots
- During winter months (December-January), protect from temperatures below 10Â°C
- Clean dust off leaves gently with a soft brush rather than wiping with water
## Growth Tips
- **Soil:** Use a well-draining succulent or cactus mix. You can make your own by mixing regular potting soil with coarse sand and perlite in a 1:1:1 ratio
- **Fertilizer:** Feed with a diluted liquid succulent fertilizer once during spring and once during early autumn. Avoid fertilizing in winter and peak summer
- **Repotting:** Repot once every 2-3 years in spring, or when the plant outgrows its pot. Choose a pot only slightly larger than the current one, with good drainage holes
- **Propagation:** Easy to propagate from leaf cuttings or stem cuttings. Allow cuttings to dry for 2-3 days before planting in well-draining soil
## Common Problems
- **Soft, mushy leaves:** Sign of overwatering or root rot. Reduce watering frequency immediately
- **Leaves turning brown or black:** Usually caused by overwatering or fungal infection from excess moisture
- **Stretched or leggy growth:** Not getting enough sunlight. Move to a brighter location
- **Leaves losing fuzzy texture or color fading:** May need more light or nutrients
- **Mealybugs:** Small white cottony pests that hide between leaves. Wipe off with cotton dipped in rubbing alcohol
- **Leaf drop:** Can happen due to sudden temperature changes or stress from moving the plant
- **Wrinkled leaves:** Sign of underwatering. Give the plant a good drink</t>
        </is>
      </c>
      <c r="V225" s="98">
        <f>HYPERLINK("https://rosaryplanthouse.com/plant/"&amp;A225&amp;"-"&amp;SUBSTITUTE(LOWER(E225), " ", "-"))</f>
        <v/>
      </c>
      <c r="W225" t="inlineStr">
        <is>
          <t>🟢 Kalanchoe millotii (ID: 224)  
🌿✨ Meet the enchanting White Kalanchoe, a succulent delight that brings a touch of Madagascar to your home! Its soft, fuzzy leaves not only feel like velvet but also add a unique texture to your plant collection.  
💚 This charming plant thrives in bright sunlight and is a perfect companion for both novice and seasoned plant lovers. With low watering needs and a compact growth habit, it’s the ideal addition to your indoor oasis or sunny windowsill!  
🔑 **Key Details:**  
- 🌞 **Sunlight:** 4-6 hours of bright direct sunlight  
- 💧 **Watering:** Once every 10-15 days, allowing soil to dry completely  
- 🌱 **Care:** Low maintenance and perfect for beginners  
👉 Ready to add this stunning succulent to your collection? Check out the details! Link in bio.  
#Kalanchoe #SucculentLove #HousePlants #IndoorGardening #PlantParenthood #GreenThumb #PlantCollection #HomeDecor #PlantLovers #RosaryPlantHouse #MadagascarMagic 🌱✨</t>
        </is>
      </c>
    </row>
    <row r="226" ht="99.5" customHeight="1">
      <c r="A226" s="73" t="n">
        <v>225</v>
      </c>
      <c r="B226" s="74" t="inlineStr">
        <is>
          <t>Cryptanthus colour</t>
        </is>
      </c>
      <c r="C226" s="74">
        <f>IF(Local!H226,"1","0")</f>
        <v/>
      </c>
      <c r="D226" s="93" t="n">
        <v>69</v>
      </c>
      <c r="E226" s="66" t="inlineStr">
        <is>
          <t>Tradescantia spathacea</t>
        </is>
      </c>
      <c r="F226" s="76">
        <f>"public/sale_plants/"&amp;A226&amp;".jpg"</f>
        <v/>
      </c>
      <c r="G226" s="77" t="inlineStr">
        <is>
          <t>(2"-3")</t>
        </is>
      </c>
      <c r="H226" s="78" t="inlineStr">
        <is>
          <t>High</t>
        </is>
      </c>
      <c r="I226" s="66" t="inlineStr">
        <is>
          <t>Medium</t>
        </is>
      </c>
      <c r="J226" s="66" t="inlineStr">
        <is>
          <t>Medium</t>
        </is>
      </c>
      <c r="K226" s="79" t="n">
        <v>99</v>
      </c>
      <c r="L226" s="80" t="inlineStr">
        <is>
          <t>Others</t>
        </is>
      </c>
      <c r="M226" s="80" t="n">
        <v>0</v>
      </c>
      <c r="N226" s="80" t="n">
        <v>0</v>
      </c>
      <c r="O226" s="81" t="n">
        <v>0</v>
      </c>
      <c r="P226" s="81" t="n">
        <v>0</v>
      </c>
      <c r="Q226" s="81">
        <f>IF(Local!I226=TRUE,1,0)</f>
        <v/>
      </c>
      <c r="R226" s="81">
        <f>Local!D226</f>
        <v/>
      </c>
      <c r="S226" s="81">
        <f>Local!F226</f>
        <v/>
      </c>
      <c r="T226" s="81">
        <f>Local!G226</f>
        <v/>
      </c>
      <c r="U226" s="83" t="inlineStr">
        <is>
          <t>## About
The Boat Lily is a beautiful ornamental plant known for its attractive sword-shaped leaves that grow in a rosette pattern. This hardy plant is popular in Indian gardens and homes for its easy care and striking appearance with green leaves that often have purple undersides.
## Origin
Boat Lily is native to Central America, Mexico, and the West Indies. It grows naturally in tropical and subtropical regions with warm, humid conditions. The plant has adapted very well to Indian climate conditions and is now commonly grown across the country as both an indoor and outdoor ornamental plant.
## Temperature &amp; Humidity
- **Temperature Range:** 18Â°C to 35Â°C
- **Humidity:** Prefers moderate to high humidity levels between 50% to 70%. The plant tolerates the humid conditions of Indian monsoons very well and can also survive drier periods once established.
## Growth
Boat Lily is a compact, clump-forming plant that typically grows 20 to 30 cm in height and spreads about 30 to 40 cm wide. It has a moderate growth rate and forms dense rosettes of fleshy, lance-shaped leaves. The plant grows in an upright manner and produces offsets around the base, which gradually form attractive clusters. In good conditions, it can fill out a pot or garden bed within one growing season.
## Watering
- **Frequency:** Once or twice a week depending on season, weather conditions, and soil moisture levels
- **Tips:** Water thoroughly when the top layer of soil feels dry to touch. During Indian summers, the plant may need more frequent watering, while in monsoons, reduce watering significantly. Avoid waterlogging as it can cause root rot. The fleshy leaves store some moisture, making the plant somewhat drought-tolerant for short periods.
## Sunlight
- **Hours per day:** 3 to 5 hours
- **Type:** Bright indirect light or filtered morning sunlight. The plant can tolerate a few hours of gentle direct sun but should be protected from harsh afternoon sun, especially in hot Indian summers.
## Care Tips
- Place in a spot with bright, filtered light for best leaf coloration
- Protect from intense afternoon sun during peak summer months (April to June)
- The plant tolerates Indian monsoon conditions well but ensure good drainage
- Works excellently as a border plant in shaded garden areas
- Can be grown successfully indoors near east or west-facing windows
- Remove old, damaged leaves regularly to maintain appearance
- The plant is quite hardy and can tolerate some neglect
- Suitable for beginners and low-maintenance gardens
## Growth Tips
- Use well-draining potting mix with equal parts garden soil, cocopeat, and perlite or sand
- Add organic compost or vermicompost every 2-3 months during growing season
- Fertilize with balanced liquid fertilizer (NPK 10:10:10) once a month during spring and summer
- Repot every 1-2 years or when the plant becomes root-bound
- Propagate easily by dividing offsets or plantlets that form around the mother plant
- Best planting time in India is during monsoon or early winter (June to October)
- Mulch around outdoor plants to retain moisture and regulate soil temperature
## Common Problems
- **Yellow leaves:** Usually caused by overwatering or poor drainage; allow soil to dry between waterings
- **Brown leaf tips:** Result of low humidity, underwatering, or exposure to direct hot sun
- **Pale or faded leaves:** Insufficient light; move to a brighter location with indirect light
- **Root rot:** Caused by waterlogged soil or poor drainage; ensure pots have drainage holes
- **Mealybugs and aphids:** Common pests that appear as white cottony masses or tiny insects; treat with neem oil spray
- **Slow growth:** May indicate poor soil quality or lack of nutrients; fertilize regularly during growing season
- **Leggy growth:** Too little light causes stretched, weak stems; relocate to brighter spot</t>
        </is>
      </c>
      <c r="V226" s="98">
        <f>HYPERLINK("https://rosaryplanthouse.com/plant/"&amp;A226&amp;"-"&amp;SUBSTITUTE(LOWER(E226), " ", "-"))</f>
        <v/>
      </c>
      <c r="W226" t="inlineStr">
        <is>
          <t>🟢 Tradescantia Spathacea (ID: 225)
🌿 Ready to elevate your indoor garden? Meet the stunning Boat Lily! This beauty is not just a feast for the eyes but also a breeze to care for. 🌈
💚 The Boat Lily features attractive sword-shaped leaves that form a charming rosette pattern, making it a must-have for any plant lover. Native to Central America and perfectly adapted to thrive in Indian climates, it's perfect for both indoor and outdoor spaces.
✨ **Key Details:**
- 🌡️ Temperature: Thrives between 18°C to 35°C
- 💧 Watering: Medium; water once or twice a week
- ☀️ Sunlight: Prefers bright indirect light for vibrant color
- 🌱 Hardy and low-maintenance – ideal for beginners!
Don’t miss out on adding this stunning plant to your collection! 🌱✨ Link in bio!
#TradescantiaSpathacea #BoatLily #HousePlants #IndoorGardening #PlantLovers #GreenThumb #PlantCare #GardenJoy #TropicalPlants #RosaryPlantHouse #PlantAddict #HomeDecor #PlantParenting #NatureLovers #IndoorJungle #EasyCarePlants</t>
        </is>
      </c>
    </row>
    <row r="227" ht="99.5" customHeight="1">
      <c r="A227" s="73" t="n">
        <v>226</v>
      </c>
      <c r="B227" s="74" t="inlineStr">
        <is>
          <t>Rhoeo Plant</t>
        </is>
      </c>
      <c r="C227" s="74">
        <f>IF(Local!H227,"1","0")</f>
        <v/>
      </c>
      <c r="D227" s="75" t="n">
        <v>120</v>
      </c>
      <c r="E227" s="66" t="inlineStr">
        <is>
          <t>Haworthia attenuata 'Lime Green' (or similar Haworthia cultivar)</t>
        </is>
      </c>
      <c r="F227" s="76">
        <f>"public/sale_plants/"&amp;A227&amp;".jpg"</f>
        <v/>
      </c>
      <c r="G227" s="77" t="inlineStr">
        <is>
          <t>(2"-3")</t>
        </is>
      </c>
      <c r="H227" s="78" t="inlineStr">
        <is>
          <t>Low</t>
        </is>
      </c>
      <c r="I227" s="66" t="inlineStr">
        <is>
          <t>Low</t>
        </is>
      </c>
      <c r="J227" s="66" t="inlineStr">
        <is>
          <t>Medium</t>
        </is>
      </c>
      <c r="K227" s="79" t="n">
        <v>99</v>
      </c>
      <c r="L227" s="80" t="inlineStr">
        <is>
          <t>Others</t>
        </is>
      </c>
      <c r="M227" s="80" t="n">
        <v>0</v>
      </c>
      <c r="N227" s="80" t="n">
        <v>0</v>
      </c>
      <c r="O227" s="81" t="n">
        <v>0</v>
      </c>
      <c r="P227" s="80" t="n">
        <v>0</v>
      </c>
      <c r="Q227" s="81">
        <f>IF(Local!I227=TRUE,1,0)</f>
        <v/>
      </c>
      <c r="R227" s="81">
        <f>Local!D227</f>
        <v/>
      </c>
      <c r="S227" s="81">
        <f>Local!F227</f>
        <v/>
      </c>
      <c r="T227" s="81">
        <f>Local!G227</f>
        <v/>
      </c>
      <c r="U227" s="83" t="inlineStr">
        <is>
          <t>## About
The Lime Green Zebra Plant is a stunning variety of Haworthia, a small succulent known for its rosette shape and bright lime-green leaves. This plant is a favorite among succulent collectors for its compact size, easy care, and eye-catching color that brightens up any indoor or outdoor space.
## Origin
This plant belongs to the Haworthia genus, which originates from South Africa. Haworthias grow naturally in rocky, semi-arid regions where they are often found in the shade of larger plants or rocks. They have adapted to survive in harsh conditions with minimal water and indirect light.
## Temperature &amp; Humidity
- **Temperature Range:** 15Â°C to 30Â°C
- **Humidity:** This plant prefers low to moderate humidity levels, typically around 30% to 50%. It is well-suited to the dry indoor environments common in Indian homes and can tolerate the humidity variations across different seasons.
## Growth
The Lime Green Zebra Plant grows in a compact rosette form, typically reaching 8 to 15 centimeters in height and width. It is a slow-growing succulent that produces offsets (baby plants) around the base, which can be separated and propagated. The leaves are thick, fleshy, and pointed, arranged in a beautiful star-like pattern. This plant stays small, making it perfect for windowsills, desks, and small pots.
## Watering
- **Frequency:** Once every two weeks depending on season and weather conditions. During the hot summer months, you may need to water slightly more often, while in monsoon and winter, reduce watering significantly.
- **Tips:** Always allow the soil to dry out completely between waterings. Water at the base of the plant, avoiding the center of the rosette to prevent rot. Overwatering is the most common cause of problems with this plant. In Indian winters, water sparinglyâ€”once every three weeks may be enough.
## Sunlight
- **Hours per day:** 3 to 5 hours
- **Type:** Bright indirect light or filtered light. This plant prefers morning sun or bright shade. Avoid harsh afternoon sun, especially during Indian summers, as it can scorch the leaves and turn them brown. A north or east-facing window is ideal indoors.
## Care Tips
- Keep the plant in a well-ventilated area to prevent fungal issues, especially during monsoon.
- Protect from direct afternoon sun, which can cause leaf burn and browning.
- If grown outdoors, place under a shade net or beneath a tree canopy.
- Wipe the leaves gently with a damp cloth occasionally to remove dust and keep them vibrant.
- Avoid placing the plant in areas with extreme temperature fluctuations, such as near air conditioners or heaters.
- This plant is perfect for beginners and busy people due to its low maintenance needs.
## Growth Tips
- **Soil:** Use a well-draining cactus or succulent potting mix. You can also make your own by mixing regular potting soil with coarse sand and perlite in equal parts.
- **Fertilizer:** Feed with a diluted liquid succulent fertilizer once every 2 to 3 months during the growing season (spring and summer). Avoid fertilizing in winter.
- **Repotting:** Repot every 2 to 3 years or when the plant has outgrown its pot. Choose a pot that is only slightly larger than the current one, with drainage holes.
- Propagate by separating the offsets that grow around the mother plant and planting them in fresh soil.
## Common Problems
- **Yellowing or mushy leaves:** This is usually a sign of overwatering or poor drainage. Reduce watering frequency and ensure the pot has drainage holes.
- **Brown or scorched leaves:** Caused by too much direct sunlight. Move the plant to a shadier spot with filtered light.
- **Leggy or stretched growth:** Indicates insufficient light. Move the plant to a brighter location with more indirect sunlight.
- **Pests:** Mealybugs and aphids can occasionally attack. Remove them with a cotton swab dipped in rubbing alcohol or neem oil solution.
- **Root rot:** Caused by waterlogged soil or overwatering. Always use well-draining soil and water only when the soil is completely dry.
- **Slow or no growth:** This is normal, as Haworthias are naturally slow growers. Be patient and ensure the plant is getting adequate light and occasional feeding.</t>
        </is>
      </c>
      <c r="V227" s="98">
        <f>HYPERLINK("https://rosaryplanthouse.com/plant/"&amp;A227&amp;"-"&amp;SUBSTITUTE(LOWER(E227), " ", "-"))</f>
        <v/>
      </c>
      <c r="W227" t="inlineStr">
        <is>
          <t>🟢 Haworthia attenuata 'Lime Green' (ID: 226)
🌿 Bring a splash of vibrant color and unique charm to your space with the stunning Haworthia attenuata 'Lime Green'! This eye-catching succulent is a must-have for any plant lover's collection. 
✨ Known for its rosette shape and thick, fleshy leaves, this compact beauty thrives in low to moderate humidity and is incredibly easy to care for. Whether you're a seasoned gardener or just starting your plant journey, this succulent is perfect for you!
🔑 **Key Details:**
- 🌞 Sunlight: Prefers bright indirect light (3-5 hours daily)
- 💧 Watering: Low frequency; water every two weeks (less in winter)
- 🌡️ Temperature: Thrives between 15°C to 30°C
Ready to add this delightful plant to your home? 🌱 Link in bio!
#Haworthia #SucculentLove #PlantCare #IndoorPlants #GreenThumb #PlantParent #HomeDecor #PlantAddict #RosaryPlantHouse #SucculentCollection #EasyCarePlants #PlantGoals</t>
        </is>
      </c>
    </row>
    <row r="228" ht="99.5" customHeight="1">
      <c r="A228" s="73" t="n">
        <v>227</v>
      </c>
      <c r="B228" s="90" t="inlineStr">
        <is>
          <t>Wandering Jew</t>
        </is>
      </c>
      <c r="C228" s="74">
        <f>IF(Local!H228,"1","0")</f>
        <v/>
      </c>
      <c r="D228" s="75" t="n">
        <v>59</v>
      </c>
      <c r="E228" s="66" t="inlineStr">
        <is>
          <t>Tradescantia zebrina</t>
        </is>
      </c>
      <c r="F228" s="76">
        <f>"public/sale_plants/"&amp;A228&amp;".jpg"</f>
        <v/>
      </c>
      <c r="G228" s="77" t="inlineStr">
        <is>
          <t>(2"-3")</t>
        </is>
      </c>
      <c r="H228" s="78" t="inlineStr">
        <is>
          <t>High</t>
        </is>
      </c>
      <c r="I228" s="66" t="inlineStr">
        <is>
          <t>Medium</t>
        </is>
      </c>
      <c r="J228" s="66" t="inlineStr">
        <is>
          <t>Medium</t>
        </is>
      </c>
      <c r="K228" s="79" t="n">
        <v>79</v>
      </c>
      <c r="L228" s="80" t="inlineStr">
        <is>
          <t>Others</t>
        </is>
      </c>
      <c r="M228" s="80" t="n">
        <v>0</v>
      </c>
      <c r="N228" s="80" t="n">
        <v>1</v>
      </c>
      <c r="O228" s="81" t="n">
        <v>0</v>
      </c>
      <c r="P228" s="80" t="n">
        <v>0</v>
      </c>
      <c r="Q228" s="81">
        <f>IF(Local!I228=TRUE,1,0)</f>
        <v/>
      </c>
      <c r="R228" s="81">
        <f>Local!D228</f>
        <v/>
      </c>
      <c r="S228" s="81">
        <f>Local!F228</f>
        <v/>
      </c>
      <c r="T228" s="81">
        <f>Local!G228</f>
        <v/>
      </c>
      <c r="U228" s="83" t="inlineStr">
        <is>
          <t>## About
This beautiful trailing plant features striking green and white striped leaves that create an eye-catching display. The Wandering Jew is a fast-growing creeper that looks stunning in hanging baskets or as ground cover, making it a popular choice for both indoor and outdoor gardens in India.
## Origin
Native to Mexico, Central America, and parts of South America, this plant thrives in tropical and subtropical regions. It has adapted extremely well to Indian climate conditions and grows vigorously throughout the year, especially during the monsoon and winter seasons.
## Temperature &amp; Humidity
- **Temperature Range:** 15Â°C to 35Â°C
- **Humidity:** This plant loves humidity levels between 40% to 70%. It does very well in India's humid climate, especially during monsoons. However, it can also adapt to drier conditions if watered regularly.
## Growth
The Wandering Jew is a vigorous, fast-growing plant that can spread quickly. It produces trailing stems that can grow up to 1-2 feet long within a few months. The plant spreads horizontally and creates a dense mat of foliage, making it perfect for hanging baskets or as decorative ground cover. New growth appears at the tips and nodes, and the plant can easily double in size within a growing season.
## Watering
- **Frequency:** Water once or twice a week depending on season, weather, and soil moisture. During hot summer months, you may need to water more frequently.
- **Tips:** Check the top inch of soil before watering. The soil should be slightly moist but never waterlogged. During monsoons, reduce watering frequency as the plant gets natural moisture from the air. Always water at the base of the plant to avoid fungal issues on the leaves.
## Sunlight
- **Hours per day:** 3 to 5 hours
- **Type:** Bright indirect light is best. Some morning direct sunlight (1-2 hours) is beneficial for maintaining the vibrant leaf stripes. Avoid harsh afternoon sun which can scorch the leaves.
## Care Tips
- Keep the plant in a spot with good air circulation to prevent fungal growth, especially during humid Indian monsoons
- Pinch back the growing tips regularly to encourage bushier growth and prevent the plant from becoming leggy
- Rotate the plant weekly if kept indoors to ensure even growth on all sides
- Remove any dead or yellowing leaves promptly to maintain plant health
- The plant can tolerate some neglect, making it perfect for beginner gardeners
- In winter, protect from temperatures below 10Â°C if kept outdoors
## Growth Tips
- Use well-draining potting soil mixed with some cocopeat or perlite for better drainage
- Apply a balanced liquid fertilizer (NPK 20:20:20) diluted to half strength once every 3-4 weeks during the growing season (spring and summer)
- Repot once a year or when the plant becomes root-bound, preferably during spring
- This plant propagates very easily from stem cuttingsâ€”just place cuttings in water or directly in soil
- Prune regularly to maintain shape and encourage dense foliage
- Add compost or vermicompost to the soil every few months for healthy growth
## Common Problems
- **Leggy growth with sparse leaves:** Usually caused by insufficient light. Move the plant to a brighter location
- **Brown, crispy leaf tips:** This indicates low humidity or underwatering. Increase watering frequency and mist the leaves occasionally
- **Yellowing leaves:** Often a sign of overwatering or poor drainage. Allow soil to dry slightly between waterings
- **Loss of variegation (stripes fading):** Caused by too little light. The plant needs adequate bright light to maintain its colorful stripes
- **Spider mites:** These tiny pests can attack in dry conditions. Spray the plant with neem oil solution
- **Root rot:** Occurs when soil stays too wet. Ensure proper drainage and reduce watering
- **Aphids and mealybugs:** Common in humid conditions. Remove manually or spray with diluted neem oil</t>
        </is>
      </c>
      <c r="V228" s="98">
        <f>HYPERLINK("https://rosaryplanthouse.com/plant/"&amp;A228&amp;"-"&amp;SUBSTITUTE(LOWER(E228), " ", "-"))</f>
        <v/>
      </c>
      <c r="W228" t="inlineStr">
        <is>
          <t>🟢 Wandering Jew (ID: 227)  
✨ Add a touch of elegance to your space with the stunning Wandering Jew! 🌿 This captivating creeper boasts striking green and white striped leaves, perfect for enhancing your indoor or outdoor garden. 
🌟 **About the Plant:**  
Native to the vibrant climates of Mexico and Central America, the Wandering Jew thrives in India’s humid conditions, making it a fast-growing delight for plant lovers. Whether cascading from a hanging basket or spreading across the ground, this plant is a showstopper! 
🔑 **Key Details:**  
- **Watering:** Medium 🌧️ (once or twice a week)  
- **Sunlight:** Medium ☀️ (3 to 5 hours of bright indirect light)  
- **Humidity:** Loves humidity (40% to 70%) 🌬️  
👉 Ready to bring home this beauty? Check the 'Link in bio' for more! 
#WanderingJew #TradescantiaZebrina #HousePlants #IndoorGarden #PlantLovers #HangingPlants #HomeDecor #GreenThumb #PlantAddict #PlantCare #RosaryPlantHouse #GardenGoals #NatureLovers #TropicalPlants 🌱✨</t>
        </is>
      </c>
    </row>
    <row r="229" ht="99.5" customHeight="1">
      <c r="A229" s="73" t="n">
        <v>228</v>
      </c>
      <c r="B229" s="90" t="inlineStr">
        <is>
          <t>Haworthia glass</t>
        </is>
      </c>
      <c r="C229" s="74">
        <f>IF(Local!H229,"1","0")</f>
        <v/>
      </c>
      <c r="D229" s="75" t="n">
        <v>59</v>
      </c>
      <c r="E229" s="66" t="inlineStr">
        <is>
          <t>Haworthia cooperi var. pilifera</t>
        </is>
      </c>
      <c r="F229" s="76">
        <f>"public/sale_plants/"&amp;A229&amp;".jpg"</f>
        <v/>
      </c>
      <c r="G229" s="77" t="inlineStr">
        <is>
          <t>(2"-3")</t>
        </is>
      </c>
      <c r="H229" s="78" t="inlineStr">
        <is>
          <t>Low</t>
        </is>
      </c>
      <c r="I229" s="66" t="inlineStr">
        <is>
          <t>Low</t>
        </is>
      </c>
      <c r="J229" s="66" t="inlineStr">
        <is>
          <t>Medium</t>
        </is>
      </c>
      <c r="K229" s="79" t="n">
        <v>149</v>
      </c>
      <c r="L229" s="80" t="inlineStr">
        <is>
          <t>Haworthia</t>
        </is>
      </c>
      <c r="M229" s="80" t="n">
        <v>0</v>
      </c>
      <c r="N229" s="80" t="n">
        <v>0</v>
      </c>
      <c r="O229" s="81" t="n">
        <v>0</v>
      </c>
      <c r="P229" s="81" t="n">
        <v>1</v>
      </c>
      <c r="Q229" s="81">
        <f>IF(Local!I229=TRUE,1,0)</f>
        <v/>
      </c>
      <c r="R229" s="81">
        <f>Local!D229</f>
        <v/>
      </c>
      <c r="S229" s="81">
        <f>Local!F229</f>
        <v/>
      </c>
      <c r="T229" s="81">
        <f>Local!G229</f>
        <v/>
      </c>
      <c r="U229" s="83" t="inlineStr">
        <is>
          <t>## About
Haworthia cooperi var. pilifera is a beautiful small succulent with plump, translucent green leaves that look like tiny windows. This variety features soft, rounded leaves arranged in tight rosettes that give it a unique decorative appearance. It is a slow-growing plant perfect for beginners and ideal for small spaces.
## Origin
This plant originates from South Africa, where it grows naturally in rocky areas with partial shade. It is adapted to dry conditions and thrives in well-draining soil with protection from harsh afternoon sun.
## Temperature &amp; Humidity
- **Temperature Range:** 15Â°C to 30Â°C
- **Humidity:** This plant tolerates low to moderate humidity levels (30% to 50%). It adapts well to typical indoor conditions in India and does not require high humidity like tropical plants.
## Growth
Haworthia cooperi var. pilifera is a compact plant that grows slowly and stays small. Individual rosettes typically reach 3 to 5 cm in diameter and about 5 to 7 cm in height. Over time, the plant produces offsets (baby plants) around the base, creating attractive clusters. The growth rate is slow, making it easy to maintain in small pots for years.
## Watering
- **Frequency:** Water once every two weeks depending on season and weather conditions. During hot Indian summers, you may need to water slightly more often, while in monsoon and winter, reduce watering significantly.
- **Tips:** Always allow the soil to dry out completely between waterings. Water the soil directly and avoid getting water on the leaves or in the center of the rosette. Overwatering is the most common cause of problems with this plant. During the monsoon season, move the plant to a covered area to prevent root rot from excessive moisture.
## Sunlight
- **Hours per day:** 3 to 4 hours
- **Type:** Bright indirect light or filtered morning sunlight. This plant does best with gentle morning sun and bright shade for the rest of the day. Avoid harsh afternoon sun, especially in Indian summers, as it can burn the translucent leaves and cause them to turn brown or red.
## Care Tips
- Keep the plant in bright indirect light near an east-facing window for best results in Indian homes
- Protect from direct afternoon sun during hot summer months (April to June)
- Move indoors or under cover during heavy monsoon rains to prevent waterlogging
- Use a well-draining pot with drainage holes to prevent water accumulation
- Clean dust from leaves gently with a soft brush to maintain their translucent appearance
- Avoid placing near air conditioner vents or in areas with cold drafts
## Growth Tips
- Use a well-draining succulent or cactus mix, or make your own by mixing regular potting soil with coarse sand and perlite in equal parts
- Add a top layer of small pebbles or gravel to prevent stem rot and improve drainage
- Fertilize sparinglyâ€”use a diluted succulent fertilizer once every 2 to 3 months during the growing season (spring and summer)
- Repot only when the plant becomes very crowded, typically every 2 to 3 years
- When repotting, choose a pot only slightly larger than the current one, as Haworthias prefer snug containers
- Propagate easily by separating offsets from the mother plant during repotting
## Common Problems
- **Brown or red leaves:** Caused by too much direct sunlight or sunburn. Move to a shadier location.
- **Soft, mushy leaves:** Sign of overwatering or root rot. Reduce watering immediately and check roots for rot.
- **Stretched or elongated growth:** Not enough light. Move to a brighter location with more indirect light.
- **Shriveled, wrinkled leaves:** Underwatering. Increase watering frequency slightly, but still allow soil to dry between waterings.
- **White cottony spots:** Mealybugs are common pests. Remove with rubbing alcohol on a cotton swab or spray with neem oil solution.
- **No growth or dormant appearance:** Normal during very hot summer months or winter. The plant may slow down or stop growing during extreme temperatures.</t>
        </is>
      </c>
      <c r="V229" s="98">
        <f>HYPERLINK("https://rosaryplanthouse.com/plant/"&amp;A229&amp;"-"&amp;SUBSTITUTE(LOWER(E229), " ", "-"))</f>
        <v/>
      </c>
      <c r="W229" t="inlineStr">
        <is>
          <t>🟢 Haworthia cooperi var. pilifera (ID: 228)  
🌱 Meet the mesmerizing Haworthia glass! This charming succulent is perfect for plant lovers looking to add a touch of elegance to their indoor spaces. With plump, translucent leaves that resemble tiny windows, it’s a stunning addition to any collection!
🌍 **About**: Native to the rocky terrains of South Africa, this slow-growing beauty thrives in low light and requires minimal care, making it perfect for beginners and busy plant parents. Ideal for small spaces, its compact size allows you to showcase it anywhere in your home!
✨ **Care Tips**:
- 🕶️ Bright indirect light is best; avoid harsh afternoon sun!
- 💧 Water every two weeks, allowing the soil to dry out completely between waterings.
- 🌬️ Keep away from cold drafts and air conditioning vents for optimal growth.
Ready to bring home this stunning succulent? 🌟 Link in bio!  
#Haworthia #SucculentLove #IndoorPlants #PlantCare #GreenThumb #PlantParent #HousePlants #SucculentAddict #RosaryPlantHouse #PlantGoals #LowMaintenancePlants #SouthAfricanPlants</t>
        </is>
      </c>
    </row>
    <row r="230" ht="99.5" customHeight="1">
      <c r="A230" s="73" t="n">
        <v>229</v>
      </c>
      <c r="B230" s="90" t="inlineStr">
        <is>
          <t>grey aloe</t>
        </is>
      </c>
      <c r="C230" s="74">
        <f>IF(Local!H230,"1","0")</f>
        <v/>
      </c>
      <c r="D230" s="75" t="n">
        <v>59</v>
      </c>
      <c r="E230" s="66" t="inlineStr">
        <is>
          <t>Aloe 'Minnie Belle'</t>
        </is>
      </c>
      <c r="F230" s="76">
        <f>"public/sale_plants/"&amp;A230&amp;".jpg"</f>
        <v/>
      </c>
      <c r="G230" s="77" t="inlineStr">
        <is>
          <t>(2"-3")</t>
        </is>
      </c>
      <c r="H230" s="78" t="inlineStr">
        <is>
          <t>Low</t>
        </is>
      </c>
      <c r="I230" s="66" t="inlineStr">
        <is>
          <t>Low</t>
        </is>
      </c>
      <c r="J230" s="66" t="inlineStr">
        <is>
          <t>High</t>
        </is>
      </c>
      <c r="K230" s="79" t="n">
        <v>99</v>
      </c>
      <c r="L230" s="80" t="inlineStr">
        <is>
          <t>Aloe</t>
        </is>
      </c>
      <c r="M230" s="80" t="n">
        <v>0</v>
      </c>
      <c r="N230" s="80" t="n">
        <v>0</v>
      </c>
      <c r="O230" s="81" t="n">
        <v>0</v>
      </c>
      <c r="P230" s="80" t="n">
        <v>1</v>
      </c>
      <c r="Q230" s="81">
        <f>IF(Local!I230=TRUE,1,0)</f>
        <v/>
      </c>
      <c r="R230" s="81">
        <f>Local!D230</f>
        <v/>
      </c>
      <c r="S230" s="81">
        <f>Local!F230</f>
        <v/>
      </c>
      <c r="T230" s="81">
        <f>Local!G230</f>
        <v/>
      </c>
      <c r="U230" s="83" t="inlineStr">
        <is>
          <t>## About
Aloe 'Minnie Belle' is a beautiful compact hybrid aloe with distinctive white-spotted green leaves that have attractive serrated edges. This small ornamental succulent forms a tight rosette pattern and is perfect for Indian homes as it thrives in warm climates and requires minimal care.
## Origin
Aloe 'Minnie Belle' is a cultivated hybrid variety developed through selective breeding. While the parent species of Aloe originate from Africa and Madagascar, this particular hybrid was created for ornamental purposes and has become popular worldwide, including in Indian gardens and homes.
## Temperature &amp; Humidity
- **Temperature Range:** 15Â°C to 40Â°C (can tolerate Indian summers very well)
- **Humidity:** Low to moderate humidity (30% to 50%). This plant does well in dry conditions and adapts easily to most Indian climate zones, from coastal areas to drier inland regions.
## Growth
Aloe 'Minnie Belle' is a slow to moderate growing dwarf aloe variety. It typically reaches 15 to 20 cm in height and spreads about 20 to 25 cm in diameter. The plant grows in a compact rosette form with multiple pointed leaves radiating from the center. It may produce offsets (pups) around the base, which can be separated and grown as new plants. The growth rate picks up during the warmer months and slows down during winter.
## Watering
- **Frequency:** Once every 10-14 days depending on season and weather conditions. Water less frequently during monsoon and winter, and slightly more during hot summer months.
- **Tips:** Always allow the soil to dry out completely between waterings. Water deeply but infrequently. Avoid getting water on the leaves or in the center of the rosette as this can cause rot. Reduce watering significantly during the rainy season. Use the "soak and dry" method - water thoroughly until it drains out, then wait until soil is completely dry before watering again.
## Sunlight
- **Hours per day:** 4 to 6 hours
- **Type:** Bright direct sunlight or bright indirect light. Morning sun is ideal. Can tolerate full sun once acclimatized, but protect from intense afternoon sun during peak summer (especially in North India where temperatures exceed 40Â°C). If kept indoors, place near a south or west-facing window.
## Care Tips
- Protect from heavy monsoon rains - bring potted plants under cover or ensure excellent drainage
- In extremely hot regions (above 42Â°C), provide some afternoon shade using shade nets
- The white spots on leaves become more prominent with adequate sunlight
- Clean dust from leaves occasionally with a soft brush to help the plant photosynthesize better
- Avoid placing near air conditioner vents if kept indoors
- During winter in North India, protect from frost (below 10Â°C)
- The plant can develop a reddish tinge when stressed by intense sun - this is normal but reduce sun exposure if leaves start browning
## Growth Tips
- Use well-draining cactus or succulent soil mix - add 50% cocopeat, 30% regular potting soil, and 20% perlite or coarse sand
- Add a handful of neem cake to the soil to prevent pests
- Fertilize sparingly - once every 2-3 months during growing season (March to October) with diluted succulent fertilizer or diluted cow dung manure
- Repot every 2-3 years in spring, using a pot only slightly larger than the previous one
- Use terracotta or clay pots for better drainage and air circulation
- Ensure the pot has drainage holes at the bottom - this is essential
- Remove dried or damaged lower leaves to maintain appearance and prevent fungal issues
## Common Problems
- **Leaf rot or mushy leaves:** Caused by overwatering or water collecting in the rosette. Reduce watering frequency immediately
- **Brown leaf tips:** Usually due to underwatering during extreme heat or low humidity. Increase watering slightly during summer
- **Pale or yellowish leaves:** Insufficient sunlight. Move to a brighter location gradually
- **Elongated or stretched growth:** Not enough light. The plant is reaching for light (etiolation)
- **Mealybugs:** White cottony pests in leaf crevices. Remove with cotton swab dipped in neem oil or rubbing alcohol
- **Root rot:** Caused by poor drainage or waterlogged soil. Repot in fresh, well-draining soil and reduce watering
- **Scale insects:** Brown bumps on leaves. Scrape off manually and spray with neem oil solution
- **Leaf spots or fungal issues:** Excessive humidity or water on leaves during monsoon. Improve air circulation and avoid overhead watering</t>
        </is>
      </c>
      <c r="V230" s="98">
        <f>HYPERLINK("https://rosaryplanthouse.com/plant/"&amp;A230&amp;"-"&amp;SUBSTITUTE(LOWER(E230), " ", "-"))</f>
        <v/>
      </c>
      <c r="W230" t="inlineStr">
        <is>
          <t>🟢 Aloe 'Minnie Belle' (ID: 229)
🌿 Meet the stunning Aloe 'Minnie Belle'! This charming compact hybrid features unique white-spotted green leaves with serrated edges, making it a must-have for your indoor plant collection! 
✨ Perfectly suited for Indian homes, this low-maintenance succulent thrives in warm climates and brings an exotic touch to any space. Its rosette form and attractive foliage will surely steal the spotlight!
**Key Details:**
- 🏡 **Ideal for Indoors:** Thrives in low to moderate humidity
- 🌞 **Sunlight:** Prefers bright direct or bright indirect light
- 💧 **Watering:** Low frequency; let the soil dry out between waterings 
Ready to add this beauty to your home? 🌱 Tap 'Link in bio' to shop now!
#AloeMinnieBelle #SucculentLove #IndoorPlants #PlantParents #HomeDecor #GreenThumb #PlantAddict #RosaryPlantHouse #PlantOfTheDay #HouseplantClub #SucculentCare #PlantLovers #GreenLiving #IndoorGarden #PlantLife 🌿✨</t>
        </is>
      </c>
    </row>
    <row r="231" ht="99.5" customHeight="1">
      <c r="A231" s="73" t="n">
        <v>230</v>
      </c>
      <c r="B231" s="74" t="inlineStr">
        <is>
          <t>Haworthia flat green</t>
        </is>
      </c>
      <c r="C231" s="74">
        <f>IF(Local!H231,"1","0")</f>
        <v/>
      </c>
      <c r="D231" s="75" t="n">
        <v>49</v>
      </c>
      <c r="E231" s="66" t="inlineStr">
        <is>
          <t>Haworthia retusa</t>
        </is>
      </c>
      <c r="F231" s="76">
        <f>"public/sale_plants/"&amp;A231&amp;".jpg"</f>
        <v/>
      </c>
      <c r="G231" s="77" t="inlineStr">
        <is>
          <t>(2"-3")</t>
        </is>
      </c>
      <c r="H231" s="78" t="inlineStr">
        <is>
          <t>Low</t>
        </is>
      </c>
      <c r="I231" s="66" t="inlineStr">
        <is>
          <t>Low</t>
        </is>
      </c>
      <c r="J231" s="66" t="inlineStr">
        <is>
          <t>Medium</t>
        </is>
      </c>
      <c r="K231" s="79" t="n">
        <v>120</v>
      </c>
      <c r="L231" s="80" t="inlineStr">
        <is>
          <t>Haworthia</t>
        </is>
      </c>
      <c r="M231" s="80" t="n">
        <v>0</v>
      </c>
      <c r="N231" s="80" t="n">
        <v>0</v>
      </c>
      <c r="O231" s="81" t="n">
        <v>0</v>
      </c>
      <c r="P231" s="80" t="n">
        <v>1</v>
      </c>
      <c r="Q231" s="81">
        <f>IF(Local!I231=TRUE,1,0)</f>
        <v/>
      </c>
      <c r="R231" s="81">
        <f>Local!D231</f>
        <v/>
      </c>
      <c r="S231" s="81">
        <f>Local!F231</f>
        <v/>
      </c>
      <c r="T231" s="81">
        <f>Local!G231</f>
        <v/>
      </c>
      <c r="U231" s="83" t="inlineStr">
        <is>
          <t>## About
Haworthia retusa, commonly known as Star Cactus or Window Plant, is a charming small succulent known for its beautiful rosette shape and translucent leaf tips. This plant is a favorite among succulent collectors for its unique appearance and easy care requirements. It belongs to the Haworthia genus and makes an excellent indoor plant for Indian homes.
## Origin
Haworthia retusa is native to the Eastern Cape Province of South Africa. In its natural habitat, it grows in rocky areas and grasslands, often partially buried in soil with only the translucent leaf tips exposed to sunlight. This adaptation helps the plant survive in harsh conditions while protecting itself from intense sun.
## Temperature &amp; Humidity
- **Temperature Range:** 15Â°C to 30Â°C
- **Humidity:** Low to moderate humidity levels (30% to 50%) are ideal. This plant tolerates the typical humidity found in most Indian homes very well. It can handle both the dry summers and slightly humid monsoon seasons across most parts of India.
## Growth
Haworthia retusa is a slow-growing succulent that remains compact and small throughout its life. It typically grows to about 5-8 cm in height and 8-10 cm in width when mature. The plant forms tight rosettes with thick, fleshy leaves that have transparent "windows" at the tips. It may produce offsets (baby plants) around the base, creating small clusters over time. The growth rate is quite slow, making it perfect for small pots and limited spaces.
## Watering
- **Frequency:** Once every 10-15 days depending on season and weather conditions. Water less during monsoon and winter, and slightly more during hot summer months.
- **Tips:** Always check if the soil is completely dry before watering. Water thoroughly until water drains from the bottom holes, then allow the soil to dry completely. Reduce watering during winter months (November to February). Never let the plant sit in water as this can cause root rot. During monsoon season in India, you may need to water only once a month or even less.
## Sunlight
- **Hours per day:** 3 to 4 hours
- **Type:** Bright indirect light or filtered morning sunlight. Avoid harsh afternoon sun, especially during Indian summers (April-June), as it can burn the leaves and turn them brown or red. East-facing windows work perfectly for this plant. If kept outdoors, provide 50% shade cloth protection.
## Care Tips
- Perfect for air-conditioned rooms and indoor environments across India
- Protect from direct afternoon sun during summer months, especially in North India where temperatures exceed 40Â°C
- During monsoon season, keep the plant in a covered area to prevent overwatering from rain
- The transparent leaf tips should remain green; if they turn brown, the plant is getting too much direct sun
- Clean the leaves gently with a soft brush every few weeks to remove dust
- Good air circulation is important to prevent fungal issues during humid months
## Growth Tips
- Use a well-draining succulent or cactus potting mix; you can make your own by mixing regular potting soil with cocopeat and perlite or sand (1:1:1 ratio)
- Add small pieces of brick or pumice to improve drainage
- Fertilize only once every 2-3 months during the growing season (spring and early monsoon) with a diluted succulent fertilizer (half the recommended strength)
- Repot only when the plant outgrows its pot, typically every 2-3 years
- Choose shallow pots with good drainage holes
- Propagate from offsets that form at the base of the mother plant
## Common Problems
- **Soft, mushy leaves:** Sign of overwatering or root rot; reduce watering frequency immediately
- **Brown or red leaves:** Too much direct sunlight; move to a shadier location
- **Stretched, elongated growth:** Not enough light; move to a brighter spot with indirect light
- **Shriveled leaves:** Underwatering; increase watering slightly but don't overdo it
- **Mealybugs:** White cottony pests that hide between leaves; remove with cotton swabs dipped in rubbing alcohol
- **Fungal issues during monsoon:** Caused by excess humidity and poor air circulation; ensure proper ventilation and reduce watering</t>
        </is>
      </c>
      <c r="V231" s="98">
        <f>HYPERLINK("https://rosaryplanthouse.com/plant/"&amp;A231&amp;"-"&amp;SUBSTITUTE(LOWER(E231), " ", "-"))</f>
        <v/>
      </c>
      <c r="W231" t="inlineStr">
        <is>
          <t>🟢 Haworthia retusa (ID: 230)
🌟 Meet the enchanting Haworthia retusa, also known as the Star Cactus! This charming succulent is a must-have for every indoor plant lover. With its unique rosette shape and translucent leaf tips, it adds a touch of elegance to any space! 🌿✨
💚 **About**: Native to the Eastern Cape of South Africa, this beauty thrives in rocky terrains and is perfectly adapted to survive in various home environments. It’s a slow-growing gem that will remain compact, making it perfect for small pots! 
🌞 **Care Tips**:
- **Sunlight**: Prefers 3-4 hours of bright indirect light. 
- **Watering**: Water every 10-15 days, allowing the soil to dry out completely. 
- **Humidity**: Thrives in low to moderate humidity, ideal for Indian homes!
🌱 Add this stunning succulent to your collection and enjoy its low-maintenance charm. Ready to bring home the Haworthia retusa? 
👉 **Link in bio** for more info! 
#Haworthia #SucculentLove #IndoorPlants #PlantCare #GreenThumb #RosaryPlantHouse #PlantCollection #HomeDecor #PlantAddict #Houseplants #SucculentCollection #NatureLovers #PlantParenting #GardenGoals #PlantLife #IndoorGardening</t>
        </is>
      </c>
    </row>
    <row r="232" ht="99.5" customHeight="1">
      <c r="A232" s="73" t="n">
        <v>231</v>
      </c>
      <c r="B232" s="74" t="inlineStr">
        <is>
          <t>Silver Succulent</t>
        </is>
      </c>
      <c r="C232" s="74">
        <f>IF(Local!H232,"1","0")</f>
        <v/>
      </c>
      <c r="D232" s="75" t="n">
        <v>89</v>
      </c>
      <c r="E232" s="66" t="inlineStr">
        <is>
          <t>Kalanchoe tomentosa</t>
        </is>
      </c>
      <c r="F232" s="76">
        <f>"public/sale_plants/"&amp;A232&amp;".jpg"</f>
        <v/>
      </c>
      <c r="G232" s="77" t="inlineStr">
        <is>
          <t>(2"-3")</t>
        </is>
      </c>
      <c r="H232" s="78" t="inlineStr">
        <is>
          <t>Low</t>
        </is>
      </c>
      <c r="I232" s="66" t="inlineStr">
        <is>
          <t>Low</t>
        </is>
      </c>
      <c r="J232" s="66" t="inlineStr">
        <is>
          <t>Medium</t>
        </is>
      </c>
      <c r="K232" s="79" t="n">
        <v>89</v>
      </c>
      <c r="L232" s="80" t="inlineStr">
        <is>
          <t>Succulent</t>
        </is>
      </c>
      <c r="M232" s="80" t="n">
        <v>0</v>
      </c>
      <c r="N232" s="80" t="n">
        <v>0</v>
      </c>
      <c r="O232" s="81" t="n">
        <v>0</v>
      </c>
      <c r="P232" s="81" t="n">
        <v>0</v>
      </c>
      <c r="Q232" s="81" t="n">
        <v>1</v>
      </c>
      <c r="R232" s="81">
        <f>Local!D232</f>
        <v/>
      </c>
      <c r="S232" s="81">
        <f>Local!F232</f>
        <v/>
      </c>
      <c r="T232" s="81">
        <f>Local!G232</f>
        <v/>
      </c>
      <c r="U232" s="83" t="inlineStr">
        <is>
          <t>## About
Silver Pagoda, also known as Panda Plant, is a beautiful fuzzy succulent with silvery-grey leaves that feel like velvet to touch. This attractive plant belongs to the Kalanchoe family and is loved by plant collectors for its unique soft texture and gorgeous color.
## Origin
This plant comes from the island of Madagascar in Africa. In its natural home, it grows in dry, rocky areas with little rainfall. It has adapted to survive in tough conditions, which makes it an easy plant to care for in homes.
## Temperature &amp; Humidity
- **Temperature Range:** 15Â°C to 35Â°C
- **Humidity:** This plant likes dry conditions and does well in normal Indian home humidity (30% to 50%). It does not need extra humidity and actually prefers drier air. During monsoon season, keep it in a well-ventilated area to prevent excess moisture.
## Growth
Silver Pagoda is a slow-growing plant that grows upright. It can reach a height of 30 to 45 cm when fully grown. The plant develops thick, fleshy leaves covered with tiny white hairs that give it a silvery appearance. The leaf edges have brown to rust-colored markings that look like chocolate spots. The plant forms a rosette shape and may branch out as it matures, creating a bushy appearance over time.
## Watering
- **Frequency:** Once every 10-14 days depending on season and weather conditions. In summer, you may need to water once a week depending on other parameters. In winter and monsoon, reduce watering to once every 2-3 weeks.
- **Tips:** Always check if the soil is completely dry before watering. Water thoroughly until water drains from the bottom holes, then let the pot drain completely. Never let the plant sit in water. The fuzzy leaves should not get wet as water drops can cause leaf rot. Water directly into the soil, avoiding the leaves. Yellow or mushy leaves mean you are watering too much.
## Sunlight
- **Hours per day:** 4 to 6 hours
- **Type:** Bright indirect light or morning direct sunlight. Avoid harsh afternoon sun which can burn the fuzzy leaves. Filtered light through a curtain works very well. Can tolerate some direct morning sun but protect from intense afternoon rays in Indian summer.
## Care Tips
- Keep the plant in a well-ventilated spot, especially during humid monsoon months
- Protect from heavy rain as the fuzzy leaves hold water and can rot
- During Indian summer (April-June), move to a spot with bright shade during peak afternoon hours
- The plant goes dormant in extreme heat above 38Â°C, so water less during peak summer
- In winter, reduce watering significantly as the plant needs very little water in cool weather
- Clean dust from leaves gently with a soft brush, do not wipe with wet cloth
- The plant is toxic if eaten, so keep away from children and pets
## Growth Tips
- Use cactus or succulent potting mix, or make your own by mixing regular soil with 50% coarse sand and perlite
- The pot must have drainage holes at the bottom
- Add a layer of pebbles at the bottom of the pot for extra drainage
- Fertilize only once every 2-3 months during the growing season (February to October) with diluted liquid succulent fertilizer
- No fertilizer needed in winter months
- Repot every 2-3 years in spring when the plant outgrows its pot
- Use a terracotta or clay pot which helps excess moisture evaporate quickly
- Propagate easily from leaf cuttings - just let the leaf dry for 2 days then place on dry soil
## Common Problems
- **Brown or black soft leaves:** This means root rot from overwatering. Reduce watering immediately and check if the pot has proper drainage
- **Leaves losing fuzzy texture and turning smooth:** Too much water on leaves or very high humidity. Keep leaves dry
- **Leaves dropping off:** Natural for older lower leaves, but if many leaves drop it means overwatering or poor drainage
- **Pale or yellowish leaves:** Not enough sunlight. Move to a brighter location
- **Leggy stretched growth:** Plant is reaching for light. Needs more bright indirect light
- **Mealybugs (white cotton-like spots):** Common pest on this plant. Remove with cotton swab dipped in rubbing alcohol
- **Red spider mites:** Can appear in very dry, hot conditions. Spray with neem oil solution
- **No growth:** Normal during extreme summer heat or winter cold. Plant will resume growth when weather is moderate</t>
        </is>
      </c>
      <c r="V232" s="98">
        <f>HYPERLINK("https://rosaryplanthouse.com/plant/"&amp;A232&amp;"-"&amp;SUBSTITUTE(LOWER(E232), " ", "-"))</f>
        <v/>
      </c>
      <c r="W232" t="inlineStr">
        <is>
          <t>🟢 Kalanchoe tomentosa (ID: 231)
🌱 Meet the stunning Silver Succulent, also known as the Panda Plant! This fuzzy beauty is not just a treat for the eyes, but also a low-maintenance companion for your home. 🐼✨
With its silvery-grey leaves that feel like velvet to the touch, the Silver Succulent is a must-have for any plant lover. Native to the arid landscapes of Madagascar, this resilient plant thrives in dry conditions, making it perfect for busy individuals! 
🌞 **Key Details:**
- **Watering:** Low (every 10-14 days)
- **Sunlight:** Medium (4-6 hours of bright indirect light)
- **Care Level:** Easy &amp; forgiving 🌿
Ready to add this unique plant to your collection? Click the link in bio to explore more! 🌟 
#KalanchoeTomentosa #SilverSucculent #PandaPlant #IndoorPlants #PlantCare #SucculentLove #HouseplantClub #PlantParent #GreenThumb #RosaryPlantHouse #PlantAddict #SucculentCollection #HomeDecor #NatureLovers #PlantLife</t>
        </is>
      </c>
    </row>
    <row r="233" ht="99.5" customHeight="1">
      <c r="A233" s="73" t="n">
        <v>232</v>
      </c>
      <c r="B233" s="74" t="inlineStr">
        <is>
          <t>Kalanchoe grey</t>
        </is>
      </c>
      <c r="C233" s="74">
        <f>IF(Local!H233,"1","0")</f>
        <v/>
      </c>
      <c r="D233" s="75" t="n">
        <v>79</v>
      </c>
      <c r="E233" s="66" t="inlineStr">
        <is>
          <t>Senecio obovatus</t>
        </is>
      </c>
      <c r="F233" s="76">
        <f>"public/sale_plants/"&amp;A233&amp;".jpg"</f>
        <v/>
      </c>
      <c r="G233" s="77" t="inlineStr">
        <is>
          <t>(2"-3")</t>
        </is>
      </c>
      <c r="H233" s="78" t="inlineStr">
        <is>
          <t>Low</t>
        </is>
      </c>
      <c r="I233" s="66" t="inlineStr">
        <is>
          <t>Low</t>
        </is>
      </c>
      <c r="J233" s="66" t="inlineStr">
        <is>
          <t>Medium</t>
        </is>
      </c>
      <c r="K233" s="79" t="n">
        <v>99</v>
      </c>
      <c r="L233" s="80" t="inlineStr">
        <is>
          <t>Succulent</t>
        </is>
      </c>
      <c r="M233" s="80" t="n">
        <v>0</v>
      </c>
      <c r="N233" s="80" t="n">
        <v>0</v>
      </c>
      <c r="O233" s="81" t="n">
        <v>0</v>
      </c>
      <c r="P233" s="80" t="n">
        <v>0</v>
      </c>
      <c r="Q233" s="81">
        <f>IF(Local!I233=TRUE,1,0)</f>
        <v/>
      </c>
      <c r="R233" s="81">
        <f>Local!D233</f>
        <v/>
      </c>
      <c r="S233" s="81">
        <f>Local!F233</f>
        <v/>
      </c>
      <c r="T233" s="81">
        <f>Local!G233</f>
        <v/>
      </c>
      <c r="U233" s="83" t="inlineStr">
        <is>
          <t>## About
Variegated Senecio is a beautiful succulent plant with stunning green leaves that have creamy white or yellowish edges. This eye-catching plant grows in a rosette pattern and is loved by plant collectors for its decorative appearance and easy care requirements.
## Origin
This plant belongs to the Senecio family which is native to South Africa. It naturally grows in rocky areas and hillsides where the soil drains well and the climate is warm and dry for most of the year.
## Temperature &amp; Humidity
- **Temperature Range:** 15Â°C to 35Â°C
- **Humidity:** This plant prefers low to moderate humidity levels, around 30% to 50%. It can handle the dry conditions found in most Indian homes and does not need extra humidity. During monsoon season in India, make sure the plant has good air circulation to prevent fungal issues.
## Growth
This succulent grows in a compact rosette shape, with leaves arranged in a circular pattern from the center. It typically reaches 15 to 20 cm in height and spreads about 15 cm wide. The plant grows at a moderate pace and stays relatively small, making it perfect for small pots and tabletop displays. New leaves emerge from the center, and older outer leaves may dry up naturally over time.
## Watering
- **Frequency:** Water once every 10-14 days depending on season and weather conditions. During hot Indian summers (April to June), you may need to water once a week depending on other parameters. In monsoon and winter, reduce watering to once every 2-3 weeks depending on other parameters.
- **Tips:** Always check if the soil is completely dry before watering again. Water thoroughly until water drains from the bottom holes, but never let the plant sit in water. Overwatering is the biggest enemy of this plant. Water early morning or evening, never in harsh afternoon sun. Reduce watering significantly during the rainy season to prevent root rot.
## Sunlight
- **Hours per day:** 4 to 6 hours
- **Type:** Bright indirect light or filtered morning sunlight. This plant does best with morning sun (6 AM to 10 AM) which is gentle, and bright indirect light for the rest of the day. Avoid harsh afternoon sun as it can burn the beautiful variegated leaves and cause them to lose their cream-colored edges.
## Care Tips
- Keep the plant in a well-ventilated area, especially during humid monsoon months
- Protect from heavy rain as too much water can damage the roots
- Clean the leaves gently with a soft brush to remove dust
- During Indian summers, provide some shade during peak afternoon hours (12 PM to 4 PM)
- The plant goes into slower growth during extreme heat, so reduce fertilizer during May-June
- Watch out for pests during the cooler months (October to February)
- Rotate the pot every few weeks so all sides get equal light
## Growth Tips
- Use a well-draining soil mix made of 50% regular potting soil, 30% cocopeat, and 20% perlite or sand
- A cactus and succulent soil mix also works very well
- Add small pieces of charcoal to the soil to prevent fungal growth
- Feed with a diluted liquid fertilizer (half strength) once a month during growing season (February to April and September to November)
- Avoid fertilizing during summer heat and winter cold
- Repot every 2 to 3 years in spring season (February-March) when the plant outgrows its pot
- Use terracotta or clay pots as they allow soil to dry faster than plastic pots
- Always use pots with drainage holes at the bottom
## Common Problems
- **Leaves turning yellow and soft:** Sign of overwatering. Let the soil dry completely and reduce watering frequency
- **Brown crispy leaf tips:** Too much direct harsh sunlight or underwatering. Move to bright indirect light and check watering schedule
- **Leaves losing variegation and turning fully green:** Not enough light. Move the plant to a brighter location
- **Stretching and leggy growth:** Insufficient light. The plant needs more bright light to maintain compact shape
- **Mealybugs (white cotton-like spots):** Common pest problem. Remove with cotton swab dipped in rubbing alcohol or neem oil solution
- **Root rot (plant becoming mushy at base):** Too much water and poor drainage. This is difficult to fix, but you can try repotting in fresh dry soil after removing rotten roots
- **Leaf drop:** Natural aging of lower leaves, or sudden temperature changes. Maintain consistent care routine
- **Fungal spots during monsoon:** High humidity and poor air flow. Reduce watering and improve ventilation</t>
        </is>
      </c>
      <c r="V233" s="98">
        <f>HYPERLINK("https://rosaryplanthouse.com/plant/"&amp;A233&amp;"-"&amp;SUBSTITUTE(LOWER(E233), " ", "-"))</f>
        <v/>
      </c>
      <c r="W233" t="inlineStr">
        <is>
          <t>🟢 Senecio obovatus (ID: 232)  
🌿 Meet the stunning Kalanchoe Grey, an eye-catching succulent that will elevate your plant game! 
This beautiful plant features striking green leaves adorned with creamy white or yellowish edges, growing in a charming rosette pattern. Perfect for both seasoned collectors and plant beginners, this succulent thrives on low care and delivers high aesthetic appeal. 
✨ **Key Details:**  
- **Watering:** Low (every 10-14 days)  
- **Sunlight:** Medium (4-6 hours of bright indirect light)  
- **Humidity:** Low to moderate (ideal for Indian homes)  
Ready to bring this beauty home? 🌱 Click the link in bio!  
#SenecioObovatus #KalanchoeGrey #SucculentLove #PlantAddict #HomeDecor #GreenThumb #RosaryPlantHouse #IndoorGarden #PlantParent #SucculentCare #PlantGoals #PlantInspo</t>
        </is>
      </c>
    </row>
    <row r="234" ht="99.5" customHeight="1">
      <c r="A234" s="73" t="n">
        <v>233</v>
      </c>
      <c r="B234" s="74" t="inlineStr">
        <is>
          <t>big leaf donkey tail</t>
        </is>
      </c>
      <c r="C234" s="74">
        <f>IF(Local!H234,"1","0")</f>
        <v/>
      </c>
      <c r="D234" s="75" t="n">
        <v>79</v>
      </c>
      <c r="E234" s="66" t="inlineStr">
        <is>
          <t>Sedum burrito</t>
        </is>
      </c>
      <c r="F234" s="76">
        <f>"public/sale_plants/"&amp;A234&amp;".jpg"</f>
        <v/>
      </c>
      <c r="G234" s="77" t="inlineStr">
        <is>
          <t>(2"-3")</t>
        </is>
      </c>
      <c r="H234" s="78" t="inlineStr">
        <is>
          <t>Low</t>
        </is>
      </c>
      <c r="I234" s="66" t="inlineStr">
        <is>
          <t>Low</t>
        </is>
      </c>
      <c r="J234" s="66" t="inlineStr">
        <is>
          <t>Medium</t>
        </is>
      </c>
      <c r="K234" s="79" t="n">
        <v>69</v>
      </c>
      <c r="L234" s="80" t="inlineStr">
        <is>
          <t>Succulent</t>
        </is>
      </c>
      <c r="M234" s="80" t="n">
        <v>0</v>
      </c>
      <c r="N234" s="80" t="n">
        <v>1</v>
      </c>
      <c r="O234" s="81" t="n">
        <v>0</v>
      </c>
      <c r="P234" s="80" t="n">
        <v>0</v>
      </c>
      <c r="Q234" s="81" t="n">
        <v>1</v>
      </c>
      <c r="R234" s="81">
        <f>Local!D234</f>
        <v/>
      </c>
      <c r="S234" s="81">
        <f>Local!F234</f>
        <v/>
      </c>
      <c r="T234" s="81">
        <f>Local!G234</f>
        <v/>
      </c>
      <c r="U234" s="83" t="inlineStr">
        <is>
          <t>## About
Sedum burrito, commonly known as Burro's Tail, is a beautiful trailing succulent with thick, plump, blue-green leaves that look like little jelly beans hanging from cascading stems. This charming plant is perfect for hanging baskets and is loved by plant collectors for its unique appearance and easy-care nature.
## Origin
Sedum burrito is native to Mexico and Central America. It grows naturally in rocky, arid regions where it has adapted to survive with minimal water. The plant thrives in dry, warm climates similar to many parts of India.
## Temperature &amp; Humidity
- **Temperature Range:** 18Â°C to 30Â°C
- **Humidity:** This succulent prefers low to moderate humidity levels (30% to 50%). It can tolerate the dry indoor air found in most Indian homes and does not require high humidity to thrive.
## Growth
Burro's Tail is a slow to moderate grower that produces long, trailing stems that can reach 60 to 90 cm in length over time. The stems are densely packed with plump, oval-shaped leaves that overlap like tiles. As the plant matures, it becomes fuller and creates a beautiful cascading effect, making it ideal for hanging planters or tall pots where the stems can drape down naturally.
## Watering
- **Frequency:** Water once every two weeks depending on season, weather, and soil moisture. In Indian summers, you may need to water slightly more often, while in monsoons and winters, reduce watering frequency.
- **Tips:** Always check if the soil is completely dry before watering. The leaves will start to look slightly wrinkled when the plant needs water. Water thoroughly until it drains out from the bottom, but never let the plant sit in water. Overwatering is the most common mistake and can cause root rot. During monsoon season, reduce watering significantly as humidity is high and soil stays moist longer.
## Sunlight
- **Hours per day:** 4 to 6 hours
- **Type:** Bright indirect light or filtered sunlight is best. The plant can tolerate some direct morning sun, but harsh afternoon sun in Indian summers can burn the delicate leaves. A spot near an east or west-facing window is ideal indoors. Outdoors, place it in a location with bright shade or under a tree where it gets dappled sunlight.
## Care Tips
- Handle the plant gently as the leaves are very delicate and fall off easily when touched
- Use a well-draining pot with drainage holes to prevent waterlogging
- Keep the plant in a location with good air circulation to prevent fungal issues during humid months
- Protect from heavy monsoon rains by bringing it indoors or under a covered area
- During hot Indian summers (above 35Â°C), move the plant to a cooler, shadier spot
- Clean dust from leaves occasionally with a soft brush to help the plant breathe better
- Avoid placing near air conditioner vents as sudden temperature changes can stress the plant
## Growth Tips
- Use a well-draining succulent or cactus soil mix. You can make your own by mixing regular potting soil with cocopeat, perlite, and sand in equal parts
- Feed with a diluted balanced liquid fertilizer (NPK 10:10:10) once every 2-3 months during the growing season (spring and early summer)
- Repot every 2-3 years or when the plant becomes root-bound. Choose a slightly larger pot with good drainage
- Propagate easily from stem cuttings or fallen leaves. Let cuttings dry for 2-3 days before planting in soil
- Add a layer of small stones or pebbles at the bottom of the pot for extra drainage
## Common Problems
- **Leaf drop:** Leaves falling off easily is normal to some extent, but excessive leaf drop indicates overwatering or too much handling
- **Wrinkled, shriveled leaves:** Sign of underwatering. Give the plant a good soak
- **Mushy, translucent leaves:** Overwatering or root rot. Reduce watering immediately and check roots for rot
- **Stretching and spacing between leaves:** Not enough light. Move to a brighter location
- **Brown or black spots on leaves:** Fungal infection due to high humidity or water sitting on leaves. Improve air circulation and avoid getting leaves wet
- **Mealybugs:** Small white cotton-like pests that hide between leaves. Remove with cotton swabs dipped in rubbing alcohol
- **Pale or yellow leaves:** Too much direct harsh sunlight. Move to filtered light location</t>
        </is>
      </c>
      <c r="V234" s="98">
        <f>HYPERLINK("https://rosaryplanthouse.com/plant/"&amp;A234&amp;"-"&amp;SUBSTITUTE(LOWER(E234), " ", "-"))</f>
        <v/>
      </c>
      <c r="W234" t="inlineStr">
        <is>
          <t>🟢 Sedum Burrito (ID: 233)  
🌟 Get ready to fall in love with the beautiful big leaf donkey tail! This charming trailing succulent, also known as Burro's Tail, is the perfect addition to your indoor garden. With its thick, plump, blue-green leaves that resemble little jelly beans, it adds a touch of whimsy to any space! 🌿💚  
🌱 **About:** Sedum burrito thrives in warm climates and is perfect for those who love low-maintenance plants. It cascades gracefully, making it ideal for hanging baskets and tall pots. This beauty is not just a feast for the eyes but also super easy to care for!  
✨ **Key Details:**  
- **Watering:** Low, once every two weeks  
- **Sunlight:** Medium; 4-6 hours of bright indirect light  
- **Temperature:** Thrives in 18°C to 30°C  
- **Humidity:** Prefers low to moderate levels  
👉 Ready to welcome this lovely succulent into your home? Check the link in bio!  
#SedumBurrito #BurrosTail #SucculentLove #HangingPlants #IndoorGarden #PlantParent #GreenThumb #RosaryPlantHouse #PlantAddict #HomeDecor #PlantLovers #CactusAndSucculents #EasyCarePlants #SucculentCare #NatureInYourHome</t>
        </is>
      </c>
    </row>
    <row r="235" ht="99.5" customHeight="1">
      <c r="A235" s="73" t="n">
        <v>234</v>
      </c>
      <c r="B235" s="74" t="inlineStr">
        <is>
          <t>string of banana green</t>
        </is>
      </c>
      <c r="C235" s="74">
        <f>IF(Local!H235,"1","0")</f>
        <v/>
      </c>
      <c r="D235" s="75" t="n">
        <v>69</v>
      </c>
      <c r="E235" s="66" t="inlineStr">
        <is>
          <t>Senecio radicans</t>
        </is>
      </c>
      <c r="F235" s="76">
        <f>"public/sale_plants/"&amp;A235&amp;".jpg"</f>
        <v/>
      </c>
      <c r="G235" s="77" t="inlineStr">
        <is>
          <t>(3"-4")</t>
        </is>
      </c>
      <c r="H235" s="78" t="inlineStr">
        <is>
          <t>Low</t>
        </is>
      </c>
      <c r="I235" s="66" t="inlineStr">
        <is>
          <t>Low</t>
        </is>
      </c>
      <c r="J235" s="66" t="inlineStr">
        <is>
          <t>Medium</t>
        </is>
      </c>
      <c r="K235" s="79" t="n">
        <v>79</v>
      </c>
      <c r="L235" s="80" t="inlineStr">
        <is>
          <t>Succulent</t>
        </is>
      </c>
      <c r="M235" s="80" t="n">
        <v>0</v>
      </c>
      <c r="N235" s="80" t="n">
        <v>1</v>
      </c>
      <c r="O235" s="81" t="n">
        <v>0</v>
      </c>
      <c r="P235" s="81" t="n">
        <v>0</v>
      </c>
      <c r="Q235" s="81">
        <f>IF(Local!I235=TRUE,1,0)</f>
        <v/>
      </c>
      <c r="R235" s="81">
        <f>Local!D235</f>
        <v/>
      </c>
      <c r="S235" s="81">
        <f>Local!F235</f>
        <v/>
      </c>
      <c r="T235" s="81">
        <f>Local!G235</f>
        <v/>
      </c>
      <c r="U235" s="83" t="inlineStr">
        <is>
          <t>## About
String of Bananas is a beautiful trailing succulent with banana-shaped leaves that grow along cascading stems. This eye-catching plant is perfect for hanging baskets and adds a unique touch to any indoor or outdoor space. It is a fast-growing, low-maintenance succulent that is ideal for both beginners and experienced plant lovers.
## Origin
String of Bananas is native to South Africa, where it grows naturally in dry, rocky areas. It belongs to the Asteraceae family and thrives in warm, arid climates. This plant has adapted to survive in poor soil conditions with minimal water, making it an excellent choice for Indian homes.
## Temperature &amp; Humidity
- **Temperature Range:** 15Â°C to 35Â°C
- **Humidity:** This plant prefers low to moderate humidity levels, around 30% to 50%. It can tolerate the dry indoor air found in most Indian homes and does not require any special humidity arrangements.
## Growth
String of Bananas is a fast-growing trailing succulent that can grow stems up to 60 to 90 cm long when mature. The banana-shaped leaves are fleshy and store water, giving the plant its drought-resistant nature. It grows in a cascading manner, making it perfect for hanging pots or tall planters where the stems can drape down beautifully. During the growing season (spring and summer), it can produce small white or yellow flowers that have a cinnamon-like fragrance.
## Watering
- **Frequency:** Once every 10-14 days depending on season and weather conditions. Water more frequently during hot summer months and less during monsoon and winter.
- **Tips:** Always check if the soil is completely dry before watering. Overwatering is the most common problem with this plant. Water thoroughly until it drains from the bottom, but never let the plant sit in water. The banana-shaped leaves will start to shrivel slightly when the plant needs water. During monsoon season, reduce watering significantly as humidity is high and soil takes longer to dry.
## Sunlight
- **Hours per day:** 4 to 6 hours
- **Type:** Bright indirect light or filtered morning sunlight. Can tolerate a few hours of gentle direct sunlight, especially morning sun, but protect from harsh afternoon sun which can burn the leaves. In Indian climate, place near a bright window with curtains or in a spot that gets morning sun and afternoon shade.
## Care Tips
- **Protect from heavy monsoon rains** as too much water can cause root rot
- **Bring indoors during extreme summer heat** above 40Â°C to prevent leaf burn
- Keep away from cold drafts and temperatures below 10Â°C during winter nights in North India
- **Prune regularly** to encourage bushier growth and prevent leggy stems
- The plant may go semi-dormant during extreme heat or cold, which is normal
- **Rotate the pot** occasionally to ensure even growth on all sides
- Keep away from pets and children as it can cause mild stomach upset if ingested
## Growth Tips
- Use a **well-draining succulent or cactus mix**. You can make your own by mixing regular potting soil with cocopeat and sand in equal parts
- Add **perlite or small stones** to improve drainage further
- Fertilize with a diluted liquid succulent fertilizer once a month during spring and summer only
- Avoid fertilizing during monsoon and winter when growth slows down
- **Repot every 2-3 years** or when the plant becomes root-bound, preferably in spring
- Use terracotta or clay pots which allow better air circulation and faster soil drying
- **Propagation is very easy** - simply cut a stem, let it dry for a day, and plant in moist soil
## Common Problems
- **Shriveled leaves:** Underwatering or too much direct sun causing dehydration
- **Mushy stems and yellowing leaves:** Overwatering or poor drainage leading to root rot
- **Leggy growth with widely spaced leaves:** Insufficient light - move to a brighter location
- **Brown crispy tips:** Too much direct harsh sunlight or fertilizer burn
- **Slow or no growth:** Normal during winter dormancy or extreme summer heat
- **Mealybugs:** White cottony pests on stems - wipe with alcohol-soaked cotton or neem oil spray
- **Root rot:** Caused by waterlogged soil - ensure pot has drainage holes and reduce watering frequency</t>
        </is>
      </c>
      <c r="V235" s="98">
        <f>HYPERLINK("https://rosaryplanthouse.com/plant/"&amp;A235&amp;"-"&amp;SUBSTITUTE(LOWER(E235), " ", "-"))</f>
        <v/>
      </c>
      <c r="W235" t="inlineStr">
        <is>
          <t>🟢 String of Banana Green (ID: 234)
🌿 Ready to elevate your plant game? Meet the stunning **String of Bananas**! This captivating trailing succulent is a must-have for any green thumb or plant enthusiast looking to add a unique touch to their indoor or outdoor spaces. 
✨ With its banana-shaped leaves cascading beautifully, this low-maintenance beauty thrives in bright indirect light and requires minimal watering. Perfect for beginners and seasoned plant lovers alike, it’s native to the dry, rocky terrains of South Africa—making it an ideal choice for Indian homes!
🌱 **Key Details:**
- **Watering:** Low (every 10-14 days)
- **Sunlight:** Medium (4-6 hours of bright indirect light)
- **Care Tips:** Protect from heavy rains, rotate for even growth, and prune regularly for bushier stems.
👉 Ready to make this charming succulent yours? Check out the **Link in bio**! 
#StringOfBananas #SucculentLove #PlantParent #HomeDecor #IndoorPlants #HangingPlants #PlantAddict #GreenThumb #PlantCare #RosaryPlantHouse #SucculentGarden #PlantLovers #BotanicalBeauty #SouthAfricaPlants</t>
        </is>
      </c>
    </row>
    <row r="236" ht="99.5" customHeight="1">
      <c r="A236" s="73" t="n">
        <v>235</v>
      </c>
      <c r="B236" s="74" t="inlineStr">
        <is>
          <t>green line peperomia</t>
        </is>
      </c>
      <c r="C236" s="74">
        <f>IF(Local!H236,"1","0")</f>
        <v/>
      </c>
      <c r="D236" s="75" t="n">
        <v>79</v>
      </c>
      <c r="E236" s="66" t="inlineStr">
        <is>
          <t>Peperomia nivalis</t>
        </is>
      </c>
      <c r="F236" s="76">
        <f>"public/sale_plants/"&amp;A236&amp;".jpg"</f>
        <v/>
      </c>
      <c r="G236" s="77" t="inlineStr">
        <is>
          <t>(2"-3")</t>
        </is>
      </c>
      <c r="H236" s="78" t="inlineStr">
        <is>
          <t>Low</t>
        </is>
      </c>
      <c r="I236" s="66" t="inlineStr">
        <is>
          <t>Low</t>
        </is>
      </c>
      <c r="J236" s="66" t="inlineStr">
        <is>
          <t>Medium</t>
        </is>
      </c>
      <c r="K236" s="79" t="n">
        <v>149</v>
      </c>
      <c r="L236" s="81" t="inlineStr">
        <is>
          <t>Peperomia</t>
        </is>
      </c>
      <c r="M236" s="80" t="n">
        <v>0</v>
      </c>
      <c r="N236" s="80" t="n">
        <v>0</v>
      </c>
      <c r="O236" s="81" t="n">
        <v>0</v>
      </c>
      <c r="P236" s="80" t="n">
        <v>1</v>
      </c>
      <c r="Q236" s="81">
        <f>IF(Local!I236=TRUE,1,0)</f>
        <v/>
      </c>
      <c r="R236" s="81">
        <f>Local!D236</f>
        <v/>
      </c>
      <c r="S236" s="81">
        <f>Local!F236</f>
        <v/>
      </c>
      <c r="T236" s="81">
        <f>Local!G236</f>
        <v/>
      </c>
      <c r="U236" s="83" t="inlineStr">
        <is>
          <t>## About
Peperomia nivalis, commonly called Snow Peperomia, is a small succulent-type plant with thick, fleshy green leaves arranged in tight rosettes. This charming plant is loved by indoor gardeners for its compact size and easy-going nature, making it perfect for small spaces, desks, and windowsills.
## Origin
Peperomia nivalis is native to the high-altitude regions of Peru and Ecuador in South America. It naturally grows in rocky, mountainous areas where it has adapted to survive with minimal water and bright, indirect light.
## Temperature &amp; Humidity
- **Temperature Range:** 18Â°C to 30Â°C
- **Humidity:** This plant tolerates average to low humidity levels (40% to 60%). It does well in typical Indian home conditions and doesn't require extra humidity. During hot Indian summers, ensure it's kept in a cool, shaded spot away from extreme heat above 35Â°C.
## Growth
Snow Peperomia is a slow-growing plant that stays compact and small. It typically grows to about 5-10 cm in height and spreads about 10-15 cm wide. The rosette growth pattern creates a dense cluster of pointed, succulent-like leaves. This plant is perfect for small pots and doesn't need frequent repotting.
## Watering
- **Frequency:** Water once every 10-14 days depending on season and weather conditions. In Indian summers, you may need to water once a week, while in monsoon and winter, reduce to once every two weeks.
- **Tips:** Always check if the soil is completely dry before watering. The thick leaves store water, so this plant is more tolerant of underwatering than overwatering. Water thoroughly but allow excess water to drain completely. Never let the plant sit in waterlogged soil as this can cause root rot very quickly.
## Sunlight
- **Hours per day:** 3 to 5 hours
- **Type:** Bright indirect light or filtered morning sunlight. Avoid harsh afternoon sun, especially in Indian summers, as it can scorch the leaves. East-facing windows work best. Can also tolerate partial shade.
## Care Tips
- Place in a spot with good air circulation to prevent fungal issues during humid monsoon months
- Avoid misting the leaves as excess moisture can lead to rot
- Keep away from direct afternoon sun during peak Indian summer (April-June)
- This plant does well in air-conditioned rooms and tolerates dry indoor air
- Clean the leaves gently with a soft, dry cloth to remove dust
- Use a well-draining pot with drainage holes â€“ terracotta pots work excellently
- Protect from temperatures below 15Â°C in winter in North India
## Growth Tips
- **Soil:** Use a well-draining succulent or cactus mix. You can make your own by mixing regular potting soil with cocopeat, perlite, and sand in equal parts
- **Fertilizer:** Feed very lightly with a diluted balanced liquid fertilizer (NPK 10:10:10) once every 2-3 months during the growing season (spring and early monsoon). Avoid fertilizing in winter
- **Repotting:** Repot only when the plant outgrows its pot, typically every 2-3 years. Use a pot only slightly larger than the current one as this plant prefers being slightly root-bound
- **Propagation:** Can be easily propagated through leaf cuttings or by dividing the rosettes during repotting
## Common Problems
- **Yellowing or mushy leaves:** Most common issue caused by overwatering. Reduce watering frequency and check for root rot
- **Shriveled, dry leaves:** Underwatering, though less common. Increase watering slightly but maintain drainage
- **Brown leaf tips:** Usually from harsh direct sunlight or very low humidity. Move to a shadier spot
- **Leggy growth with spaced-out leaves:** Not enough light. Move to a brighter location with more indirect light
- **Leaf drop:** Can happen due to sudden temperature changes or cold drafts from air conditioners
- **Fungal spots:** Can occur during monsoon due to high humidity and poor air circulation. Improve ventilation and avoid water on leaves
- **Pests:** Generally pest-resistant, but occasionally may get mealybugs. Remove with cotton swabs dipped in rubbing alcohol</t>
        </is>
      </c>
      <c r="V236" s="98">
        <f>HYPERLINK("https://rosaryplanthouse.com/plant/"&amp;A236&amp;"-"&amp;SUBSTITUTE(LOWER(E236), " ", "-"))</f>
        <v/>
      </c>
      <c r="W236" t="inlineStr">
        <is>
          <t>🟢 Peperomia Nivalis (ID: 235)
🌿 Meet the charming Green Line Peperomia! This delightful little succulent is perfect for brightening up your indoor spaces. 
✨ With its thick, fleshy green leaves arranged in tight rosettes, the Peperomia Nivalis is not just a treat for the eyes but also a breeze to care for! Thriving in medium sunlight and requiring low watering, it’s ideal for busy plant parents or anyone looking to add a touch of greenery to their desk or windowsill.
🌱 **Key Details:**
- **Origin:** High-altitude regions of Peru &amp; Ecuador
- **Growth:** Slow-growing, compact, and stays small
- **Watering:** Once every 10-14 days; check soil dryness!
- **Sunlight:** Prefers bright indirect light; avoid harsh afternoon sun
💚 Ready to welcome this beauty into your home? Click the link in bio for more info! 
#PeperomiaNivalis #GreenLinePeperomia #IndoorPlants #SucculentLove #PlantCare #HousePlants #PlantParent #BotanicalBeauty #RosaryPlantHouse #PlantLovers #HomeDecor #GreenThumb</t>
        </is>
      </c>
    </row>
    <row r="237" ht="99.5" customHeight="1">
      <c r="A237" s="73" t="n">
        <v>236</v>
      </c>
      <c r="B237" s="74" t="inlineStr">
        <is>
          <t>haworthia small leaf</t>
        </is>
      </c>
      <c r="C237" s="74">
        <f>IF(Local!H237,"1","0")</f>
        <v/>
      </c>
      <c r="D237" s="75" t="n">
        <v>59</v>
      </c>
      <c r="E237" s="66" t="inlineStr">
        <is>
          <t>Haworthia asema</t>
        </is>
      </c>
      <c r="F237" s="76">
        <f>"public/sale_plants/"&amp;A237&amp;".jpg"</f>
        <v/>
      </c>
      <c r="G237" s="77" t="inlineStr">
        <is>
          <t>(1.5"-3")</t>
        </is>
      </c>
      <c r="H237" s="78" t="inlineStr">
        <is>
          <t>Low</t>
        </is>
      </c>
      <c r="I237" s="66" t="inlineStr">
        <is>
          <t>Low</t>
        </is>
      </c>
      <c r="J237" s="66" t="inlineStr">
        <is>
          <t>Medium</t>
        </is>
      </c>
      <c r="K237" s="79" t="n">
        <v>120</v>
      </c>
      <c r="L237" s="81" t="inlineStr">
        <is>
          <t>Haworthia</t>
        </is>
      </c>
      <c r="M237" s="80" t="n">
        <v>0</v>
      </c>
      <c r="N237" s="80" t="n">
        <v>0</v>
      </c>
      <c r="O237" s="81" t="n">
        <v>0</v>
      </c>
      <c r="P237" s="80" t="n">
        <v>1</v>
      </c>
      <c r="Q237" s="81">
        <f>IF(Local!I237=TRUE,1,0)</f>
        <v/>
      </c>
      <c r="R237" s="81">
        <f>Local!D237</f>
        <v/>
      </c>
      <c r="S237" s="81">
        <f>Local!F237</f>
        <v/>
      </c>
      <c r="T237" s="81">
        <f>Local!G237</f>
        <v/>
      </c>
      <c r="U237" s="83" t="inlineStr">
        <is>
          <t>## About
Haworthia asema is a beautiful small succulent plant with thick, pointed leaves arranged in a rosette pattern. The leaves have a dusty pink-grey color with raised white bumps that give them a fuzzy texture. This low-maintenance plant is perfect for beginners and indoor gardening enthusiasts in India.
## Origin
Haworthia asema is native to South Africa, where it grows in rocky, semi-arid regions. It naturally thrives in sheltered spots under bushes or in the shade of rocks, which is why it does not need intense direct sunlight.
## Temperature &amp; Humidity
- **Temperature Range:** 15Â°C to 30Â°C
- **Humidity:** Prefers low to moderate humidity levels between 30% to 50%. It can tolerate the dry conditions found in most Indian homes but may struggle in very humid coastal regions without proper air circulation.
## Growth
Haworthia asema is a slow-growing succulent that stays compact and small. It typically grows to about 5-8 cm in height and 8-10 cm in width. The plant forms tight rosettes and produces offsets (baby plants) around the base, which can be separated to create new plants. Growth is slowest during hot summers and cold winters, with more active growth during spring and autumn.
## Watering
- **Frequency:** Once every 10-14 days depending on season, weather, and pot size. Water less in winter and monsoon, slightly more during hot, dry months.
- **Tips:** Always check if the soil is completely dry before watering. Water thoroughly until it drains out from the bottom, then let it dry out completely. Avoid getting water on the leaves or in the center of the rosette as this can cause rot. In Indian monsoon season, reduce watering significantly as humidity is high.
## Sunlight
- **Hours per day:** 3 to 4 hours
- **Type:** Bright indirect light or filtered morning sunlight. Avoid harsh afternoon sun which can burn the leaves and turn them brown or red. East-facing windows work best in Indian homes.
## Care Tips
- Keep the plant in a well-ventilated area, especially during humid monsoon months to prevent fungal issues
- Protect from direct afternoon sun in Indian summers (April-June) as leaves can get sunburnt
- During winter (December-January), reduce watering to once every 3 weeks
- Clean dust from leaves gently with a soft brush to help the plant breathe
- Avoid placing near air conditioners or heaters as sudden temperature changes can stress the plant
- The pink-grey color becomes more intense with bright light but not direct sun
## Growth Tips
- Use a well-draining succulent or cactus potting mix; you can add 50% regular potting soil + 30% cocopeat + 20% perlite or sand
- Add a layer of small stones or gravel at the bottom of the pot for extra drainage
- Fertilize very lightly once every 2-3 months during growing season (spring and autumn) with diluted liquid succulent fertilizer
- Repot only when the plant has produced many offsets and the pot is crowded, typically every 2-3 years
- Use terracotta or clay pots as they allow soil to dry faster compared to plastic pots
- Keep the plant slightly root-bound as it prefers tight spaces
## Common Problems
- **Brown or black soft leaves:** Sign of overwatering or root rot. Reduce watering immediately and check roots
- **Leaves turning brown or orange:** Too much direct sunlight causing sunburn. Move to a shadier spot
- **Stretched or elongated leaves:** Not enough light. Move to a brighter location with indirect light
- **Shriveled or wrinkled leaves:** Underwatering. Water thoroughly and adjust watering schedule
- **White cottony spots:** Mealybugs. Remove with cotton swab dipped in rubbing alcohol
- **Leaves becoming soft at base:** Root rot from poor drainage or overwatering during monsoon. Repot in fresh dry soil and cut watering
- **Slow or no growth:** Normal for this species, but could also mean it needs repotting or light feeding</t>
        </is>
      </c>
      <c r="V237" s="98">
        <f>HYPERLINK("https://rosaryplanthouse.com/plant/"&amp;A237&amp;"-"&amp;SUBSTITUTE(LOWER(E237), " ", "-"))</f>
        <v/>
      </c>
      <c r="W237" t="inlineStr">
        <is>
          <t>🟢 Haworthia Asema (ID: 236)
🌵 Meet your new favorite indoor companion! The Haworthia Asema is a stunning small succulent that’s perfect for those who love low-maintenance greenery. With its thick, pointed leaves in a dreamy pink-grey hue, this plant is not just a beauty but also an easy-care choice for both beginners and seasoned plant parents! 
✨ **About:** Native to South Africa, this compact succulent thrives in bright, indirect light and adds a touch of elegance to any space. It features a rosette pattern and a unique fuzzy texture that is irresistible! 
🌞 **Key Details:**
- **Watering:** Low; every 10-14 days
- **Sunlight:** Bright indirect light; 3-4 hours daily
- **Humidity:** Prefers low to moderate levels (30%-50%)
- **Growth:** Slow, compact; perfect for small spaces
🛒 Ready to add this gorgeous plant to your collection? Don't miss out! Link in bio!
#HaworthiaAsema #SucculentLove #IndoorPlants #PlantParent #GreenThumb #LowMaintenancePlants #PlantLovers #RosaryPlantHouse #HomeDecor #SucculentCollection #PlantCare #NatureLovers #Houseplants #PlantAddict #SucculentCare</t>
        </is>
      </c>
    </row>
    <row r="238" ht="99.5" customHeight="1">
      <c r="A238" s="94" t="n">
        <v>237</v>
      </c>
      <c r="B238" s="84" t="inlineStr">
        <is>
          <t>hard curve echeveria</t>
        </is>
      </c>
      <c r="C238" s="74">
        <f>IF(Local!H238,"1","0")</f>
        <v/>
      </c>
      <c r="D238" s="75" t="n">
        <v>79</v>
      </c>
      <c r="E238" s="66" t="inlineStr">
        <is>
          <t>Echeveria 'Cubic Frost'</t>
        </is>
      </c>
      <c r="F238" s="76">
        <f>"public/sale_plants/"&amp;A238&amp;".jpg"</f>
        <v/>
      </c>
      <c r="G238" s="77" t="inlineStr">
        <is>
          <t>(2"-3")</t>
        </is>
      </c>
      <c r="H238" s="78" t="inlineStr">
        <is>
          <t>Low</t>
        </is>
      </c>
      <c r="I238" s="66" t="inlineStr">
        <is>
          <t>Low</t>
        </is>
      </c>
      <c r="J238" s="66" t="inlineStr">
        <is>
          <t>High</t>
        </is>
      </c>
      <c r="K238" s="79" t="n">
        <v>120</v>
      </c>
      <c r="L238" s="81" t="inlineStr">
        <is>
          <t>Echeveria</t>
        </is>
      </c>
      <c r="M238" s="80" t="n">
        <v>0</v>
      </c>
      <c r="N238" s="80" t="n">
        <v>0</v>
      </c>
      <c r="O238" s="81" t="n">
        <v>0</v>
      </c>
      <c r="P238" s="81" t="n">
        <v>0</v>
      </c>
      <c r="Q238" s="81">
        <f>IF(Local!I238=TRUE,1,0)</f>
        <v/>
      </c>
      <c r="R238" s="81">
        <f>Local!D238</f>
        <v/>
      </c>
      <c r="S238" s="81">
        <f>Local!F238</f>
        <v/>
      </c>
      <c r="T238" s="81">
        <f>Local!G238</f>
        <v/>
      </c>
      <c r="U238" s="83" t="inlineStr">
        <is>
          <t>## About
Echeveria 'Cubic Frost' is a stunning succulent with unique geometric rosette formation and beautiful powdery blue-grey to lavender-tinted leaves. This hybrid variety is prized for its compact, symmetrical growth pattern that creates a cube-like appearance when viewed from above, giving it its distinctive name.
## Origin
This cultivated hybrid originates from selective breeding programs. Echeverias naturally come from semi-desert regions of Central America, particularly Mexico, but 'Cubic Frost' is a modern horticultural creation bred for its exceptional ornamental qualities.
## Temperature &amp; Humidity
- **Temperature Range:** 15Â°C to 35Â°C (can tolerate brief periods down to 5Â°C but not frost)
- **Humidity:** Low to moderate (30% to 50%). This plant thrives in dry conditions and does not require high humidity. It adapts well to most Indian climates, especially drier regions.
## Growth
Echeveria 'Cubic Frost' is a slow to moderate growing succulent that typically reaches 8-12 cm in diameter and 6-10 cm in height. The plant forms a tight, compact rosette with thick, fleshy leaves arranged in a beautiful spiral pattern. It remains solitary but may occasionally produce offsets (pups) from the base as it matures. The powdery coating on the leaves (farina) gives it a frosted appearance and protects it from intense sun.
## Watering
- **Frequency:** Once every 10-15 days depending on season and weather conditions. During monsoon, water even less frequently or not at all if receiving natural rainfall.
- **Tips:** Water deeply but infrequently using the "soak and dry" method. Allow the soil to dry out completely between waterings. Water directly into the soil, avoiding the leaves to preserve the powdery coating. Reduce watering significantly during winter months (once every 3-4 weeks). Overwatering is the biggest threat to this plant.
## Sunlight
- **Hours per day:** 4 to 6 hours
- **Type:** Bright direct sunlight, preferably morning sun. Can tolerate partial shade but colors will be less vibrant. In extremely hot Indian summers (above 40Â°C), provide some afternoon shade to prevent leaf burn. The more sun it gets, the more pronounced the lavender-pink tones become.
## Care Tips
- Protect from direct monsoon rain as excess water can cause rot and remove the protective farina coating
- Use well-draining pots with drainage holes to prevent waterlogging
- Avoid touching the leaves frequently as this removes the attractive powdery coating
- During hot Indian summers, provide bright morning sun and filtered afternoon light
- Keep in a well-ventilated area to prevent fungal issues during humid months
- This plant is perfect for sunny windowsills, balconies, and terrace gardens across India
## Growth Tips
- Use a well-draining succulent or cactus soil mix (70% regular potting mix + 30% coarse sand or perlite)
- Add a layer of small pebbles or gravel as top dressing for better drainage and aesthetics
- Fertilize sparingly - once every 2-3 months during active growing season (spring and autumn) with diluted succulent fertilizer
- Repot every 2-3 years in spring using a slightly larger pot
- Propagation is easy through leaf cuttings or offsets; allow cuttings to callus for 2-3 days before planting
## Common Problems
- **Root rot:** Caused by overwatering or poor drainage; leaves become soft and translucent
- **Etiolation (stretching):** Insufficient light causes the plant to stretch and lose its compact form
- **Mealybugs:** White cottony pests that hide between leaves; treat with neem oil or isopropyl alcohol
- **Sunburn:** Brown or black patches on leaves due to sudden exposure to intense afternoon sun
- **Leaf drop:** Lower leaves naturally dry and drop, but excessive dropping indicates stress from overwatering or underwatering
- **Powdery coating loss:** Caused by water splashing on leaves or excessive handling; new growth will have farina but old leaves won't recover</t>
        </is>
      </c>
      <c r="V238" s="98">
        <f>HYPERLINK("https://rosaryplanthouse.com/plant/"&amp;A238&amp;"-"&amp;SUBSTITUTE(LOWER(E238), " ", "-"))</f>
        <v/>
      </c>
      <c r="W238" t="inlineStr">
        <is>
          <t>🟢 Echeveria 'Cubic Frost' (ID: 237)
🌟 Get ready to elevate your plant game with the stunning Echeveria 'Cubic Frost'! This unique succulent features a captivating geometric rosette that will leave your friends in awe. 🪴✨
About: Echeveria 'Cubic Frost' boasts beautiful powdery blue-grey to lavender-tinted leaves, forming a compact, symmetrical growth pattern. Perfect for those seeking a low-maintenance yet striking addition to their plant collection!
Key Details:
- 🌞 Sunlight: Prefers bright direct sunlight (4-6 hours daily)
- 💧 Watering: Low frequency - water every 10-15 days
- 🌬️ Care: Thrives in low humidity and well-draining soil
Don't miss out on adding this beauty to your home! 🌱✨ Check the Link in bio to grab yours today! 
#Echeveria #CubicFrost #SucculentLove #PlantAddict #IndoorPlants #GreenThumb #SucculentCare #RosaryPlantHouse #PlantParent #HomeDecor #PlantCollection #CactusAndSucculents #SucculentGarden #PlantsOfInstagram</t>
        </is>
      </c>
    </row>
    <row r="239" ht="99.5" customHeight="1">
      <c r="A239" s="94" t="n">
        <v>238</v>
      </c>
      <c r="B239" s="84" t="inlineStr">
        <is>
          <t>Echeveria Ben</t>
        </is>
      </c>
      <c r="C239" s="74">
        <f>IF(Local!H239,"1","0")</f>
        <v/>
      </c>
      <c r="D239" s="75" t="n">
        <v>79</v>
      </c>
      <c r="E239" s="66" t="inlineStr">
        <is>
          <t>Echeveria 'Ben Badis'</t>
        </is>
      </c>
      <c r="F239" s="76">
        <f>"public/sale_plants/"&amp;A239&amp;".jpg"</f>
        <v/>
      </c>
      <c r="G239" s="77" t="inlineStr">
        <is>
          <t>(2"-3")</t>
        </is>
      </c>
      <c r="H239" s="78" t="inlineStr">
        <is>
          <t>Low</t>
        </is>
      </c>
      <c r="I239" s="66" t="inlineStr">
        <is>
          <t>Low</t>
        </is>
      </c>
      <c r="J239" s="66" t="inlineStr">
        <is>
          <t>High</t>
        </is>
      </c>
      <c r="K239" s="79" t="n">
        <v>120</v>
      </c>
      <c r="L239" s="81" t="inlineStr">
        <is>
          <t>Echeveria</t>
        </is>
      </c>
      <c r="M239" s="80" t="n">
        <v>0</v>
      </c>
      <c r="N239" s="80" t="n">
        <v>0</v>
      </c>
      <c r="O239" s="81" t="n">
        <v>0</v>
      </c>
      <c r="P239" s="80" t="n">
        <v>0</v>
      </c>
      <c r="Q239" s="81">
        <f>IF(Local!I239=TRUE,1,0)</f>
        <v/>
      </c>
      <c r="R239" s="81">
        <f>Local!D239</f>
        <v/>
      </c>
      <c r="S239" s="81">
        <f>Local!F239</f>
        <v/>
      </c>
      <c r="T239" s="81">
        <f>Local!G239</f>
        <v/>
      </c>
      <c r="U239" s="83" t="inlineStr">
        <is>
          <t>## About
Echeveria 'Ben Badis' is a beautiful succulent plant with a perfect rosette shape and soft green leaves that sometimes show a silvery-blue coating. This plant is popular among succulent lovers for its neat, symmetrical appearance and easy-going nature. It belongs to the Echeveria family, which is known for producing some of the most attractive and low-maintenance plants for homes and gardens.
## Origin
This Echeveria cultivar is a hybrid variety developed through selective breeding. The Echeveria genus originally comes from Mexico and Central America, where these plants grow naturally in rocky, dry areas with plenty of sunshine. The 'Ben Badis' variety has been specially cultivated to maintain its attractive rosette form and lovely pale green color.
## Temperature &amp; Humidity
- **Temperature Range:** 15Â°C to 35Â°C (the plant can tolerate up to 40Â°C but grows best in moderate temperatures)
- **Humidity:** Low to moderate humidity (30% to 50%). This succulent does well in dry conditions and does not require high humidity. In fact, too much humidity can cause problems. During Indian monsoon season, it's important to protect the plant from excessive moisture.
## Growth
Echeveria 'Ben Badis' grows as a compact rosette that typically reaches 8 to 12 centimeters in diameter. The plant stays relatively small and maintains its tight, symmetrical form. It is a slow to moderate grower, adding new leaves from the center while older outer leaves gradually age. The plant may produce offsets (baby plants) around its base, which can be separated and grown into new plants. The growth is more active during spring and autumn, while it tends to rest during extreme summer heat and winter cold.
## Watering
- **Frequency:** Once every 10 to 14 days depending on season, weather, and pot size. Water less in monsoon and winter, slightly more in summer heat.
- **Tips:** Always water deeply but allow the soil to dry out completely between waterings. Water directly into the soil, avoiding the leaves and center of the rosette to prevent rot. Reduce watering during the rainy season. In winter, you may only need to water once every 3 weeks. The "soak and dry" method works best â€“ water thoroughly and then wait until soil is completely dry before watering again.
## Sunlight
- **Hours per day:** 4 to 6 hours of bright light
- **Type:** Bright indirect light is ideal, with 2-3 hours of gentle morning direct sunlight. Avoid harsh afternoon sun in Indian summers (between 12 PM to 4 PM) as it can burn the leaves. If kept indoors, place near a bright south or east-facing window. If kept outdoors, provide shade cloth or partial shade during peak summer months.
## Care Tips
- **Protect from rain:** During monsoon season, move the plant to a covered area or indoors to prevent waterlogging and fungal issues
- **Good air circulation:** Ensure the plant has proper airflow, especially in humid conditions, to prevent rot and fungal growth
- **Clean leaves gently:** Dust can accumulate on the powdery leaves. Use a soft brush to clean gently, or use a gentle spray of water and let it dry in good light
- **Avoid touching leaves:** The silvery coating on the leaves can be damaged by frequent handling
- **Winter care:** In north India where winters are cold, bring the plant indoors if temperature drops below 10Â°C
## Growth Tips
- **Soil type:** Use a well-draining succulent or cactus mix. You can make your own by mixing regular potting soil with coarse sand and perlite in equal parts (1:1:1 ratio)
- **Pot selection:** Always use pots with drainage holes. Terracotta pots work exceptionally well as they allow excess moisture to evaporate
- **Fertilizer:** Feed sparingly with a diluted liquid succulent fertilizer once during spring and once in early autumn. Over-fertilizing can cause leggy growth and loss of compact form
- **Repotting:** Repot every 2 to 3 years or when the plant outgrows its container. Best time is early spring before the active growing season
## Common Problems
- **Stretching (etiolation):** Long gaps between leaves and elongated stem means the plant needs more light. Move to a brighter location
- **Leaf drop:** Lower leaves naturally dry and drop, but excessive leaf drop indicates overwatering or poor drainage
- **Soft, mushy leaves:** Sign of overwatering or root rot. Reduce watering immediately and check if roots are healthy
- **Brown or black spots:** Usually caused by fungal infection due to high humidity, water on leaves, or poor air circulation
- **Mealybugs:** White cotton-like pests in leaf joints. Remove with cotton swab dipped in rubbing alcohol
- **Shriveled leaves:** Sign of underwatering. Give the plant a good drink
- **Sunburn:** Brown or white patches on leaves from too much direct harsh sunlight. Move to filtered light location</t>
        </is>
      </c>
      <c r="V239" s="98">
        <f>HYPERLINK("https://rosaryplanthouse.com/plant/"&amp;A239&amp;"-"&amp;SUBSTITUTE(LOWER(E239), " ", "-"))</f>
        <v/>
      </c>
      <c r="W239" t="inlineStr">
        <is>
          <t>🟢 Echeveria 'Ben Badis' (ID: 238)
🌿 Meet the stunning Echeveria 'Ben Badis'! This succulent beauty is a must-have for every plant lover looking to add a touch of elegance to their collection. 
With its perfect rosette shape and soft green leaves often adorned with a silvery-blue coating, this Echeveria is not only visually appealing but also incredibly easy to care for! 🌱✨ 
**Key Details:**
- 🌞 **Sunlight:** Thrives in bright indirect light with a touch of gentle morning sun.
- 💧 **Watering:** A low-maintenance drinker, just once every 10-14 days!
- 🌬️ **Care:** Loves good air circulation and is drought-resistant, making it an ideal choice for busy plant parents!
Ready to bring home this gorgeous succulent? 🏡🌺 Check out the details and more at our website! Link in bio. 
#Echeveria #SucculentLove #PlantParent #IndoorPlants #PlantCare #HomeDecor #GreenThumb #RosaryPlantHouse #SucculentGarden #PlantLovers #Houseplants #SucculentAddict #PlantGoals #NatureLovers #GardeningLife</t>
        </is>
      </c>
    </row>
    <row r="240" ht="99.5" customHeight="1">
      <c r="A240" s="94" t="n">
        <v>239</v>
      </c>
      <c r="B240" s="86" t="inlineStr">
        <is>
          <t>Echeveria green cabbage</t>
        </is>
      </c>
      <c r="C240" s="74">
        <f>IF(Local!H240,"1","0")</f>
        <v/>
      </c>
      <c r="D240" s="75" t="n">
        <v>79</v>
      </c>
      <c r="E240" s="66" t="inlineStr">
        <is>
          <t>Echeveria 'Green Smile'</t>
        </is>
      </c>
      <c r="F240" s="76">
        <f>"public/sale_plants/"&amp;A240&amp;".jpg"</f>
        <v/>
      </c>
      <c r="G240" s="77" t="inlineStr">
        <is>
          <t>(2"-3")</t>
        </is>
      </c>
      <c r="H240" s="74" t="inlineStr">
        <is>
          <t>Moderate</t>
        </is>
      </c>
      <c r="I240" s="66" t="inlineStr">
        <is>
          <t>Low</t>
        </is>
      </c>
      <c r="J240" s="66" t="inlineStr">
        <is>
          <t>High</t>
        </is>
      </c>
      <c r="K240" s="79" t="n">
        <v>120</v>
      </c>
      <c r="L240" s="81" t="inlineStr">
        <is>
          <t>Echeveria</t>
        </is>
      </c>
      <c r="M240" s="80" t="n">
        <v>0</v>
      </c>
      <c r="N240" s="80" t="n">
        <v>0</v>
      </c>
      <c r="O240" s="81" t="n">
        <v>0</v>
      </c>
      <c r="P240" s="80" t="n">
        <v>0</v>
      </c>
      <c r="Q240" s="81">
        <f>IF(Local!I240=TRUE,1,0)</f>
        <v/>
      </c>
      <c r="R240" s="81">
        <f>Local!D240</f>
        <v/>
      </c>
      <c r="S240" s="81">
        <f>Local!F240</f>
        <v/>
      </c>
      <c r="T240" s="81">
        <f>Local!G240</f>
        <v/>
      </c>
      <c r="U240" s="83" t="inlineStr">
        <is>
          <t>## About
Echeveria 'Green Smile' is a beautiful rosette-forming succulent with thick, fleshy leaves that have attractive reddish-pink margins. This hybrid variety is known for its compact growth and charming appearance, making it a popular choice among succulent collectors in India.
## Origin
This Echeveria hybrid originates from Mexico and Central America, where the parent species naturally grow in rocky, mountainous regions with well-draining soil. The 'Green Smile' variety has been cultivated specifically for its ornamental value and attractive leaf coloring.
## Temperature &amp; Humidity
- **Temperature Range:** 15Â°C to 30Â°C (can tolerate up to 35Â°C with proper care)
- **Humidity:** Prefers low to moderate humidity levels (30% to 50%). The plant does well in typical Indian home environments but struggles in very humid conditions, especially during monsoon season.
## Growth
This succulent grows slowly and forms tight rosettes that typically reach 8 to 12 centimeters in diameter. The plant stays compact and low-growing, usually not exceeding 10 centimeters in height. It can produce offsets (baby plants) around the base, which can be separated for propagation. Growth is faster during spring and autumn months, while it slows down during extreme summer heat and winter.
## Watering
- **Frequency:** Once every 10-14 days depending on season and weather conditions. Water less frequently during monsoon and winter, more often during hot, dry summer months.
- **Tips:** Always water thoroughly until water drains from the bottom, then allow the soil to dry completely before watering again. Water at the base of the plant, avoiding the rosette center to prevent rot. Reduce watering significantly during the rainy season. The leaves will start to wrinkle slightly when the plant needs water.
## Sunlight
- **Hours per day:** 4 to 6 hours
- **Type:** Bright direct sunlight, preferably morning sun. In very hot Indian summers (above 40Â°C), provide afternoon shade to prevent leaf burn. The reddish margins become more pronounced with adequate sunlight exposure.
## Care Tips
- Protect from direct afternoon sun during peak summer months (April-June) in most parts of India
- Ensure excellent air circulation to prevent fungal issues during humid monsoon season
- Keep the plant away from heavy rain during monsoons as excessive moisture can cause root rot
- Bring the plant under a covered area during continuous rainfall
- In winter, protect from temperatures below 10Â°C in northern India
- Clean dust from leaves occasionally with a soft brush to help photosynthesis
- Avoid misting the leaves as this can cause spotting and fungal problems
## Growth Tips
- Use a well-draining succulent or cactus potting mix. You can make your own by mixing regular potting soil with coarse sand and perlite in a 1:1:1 ratio
- Add small pieces of charcoal to the soil to prevent fungal growth in humid conditions
- Use terracotta or clay pots as they dry out faster than plastic, which is important in Indian climate
- Feed with a diluted balanced fertilizer (10-10-10) once a month during the growing season (September to March)
- Skip fertilizing during monsoon and peak summer
- Repot every 2-3 years in fresh soil, preferably in early autumn
- Remove dead lower leaves regularly to maintain appearance and prevent pest hiding spots
## Common Problems
- **Root rot:** Caused by overwatering or poor drainage, especially during monsoon. Leaves become soft and translucent at the base
- **Leaf drop:** Sudden leaf dropping indicates overwatering or extreme temperature changes
- **Stretched growth (etiolation):** Happens when the plant doesn't get enough light. The rosette becomes loose and leaves space out
- **Leaf burn:** Brown crispy spots on leaves from too much direct afternoon sun in summer
- **Mealybugs:** White cottony pests that hide between leaves and at the base. Common in indoor conditions
- **Fungal spots:** Black or brown spots on leaves from excessive humidity or water on foliage
- **Shriveled leaves:** Usually indicates underwatering, but check that roots are healthy
- **Pale color:** Not enough sunlight. The beautiful red margins will fade without adequate light</t>
        </is>
      </c>
      <c r="V240" s="98">
        <f>HYPERLINK("https://rosaryplanthouse.com/plant/"&amp;A240&amp;"-"&amp;SUBSTITUTE(LOWER(E240), " ", "-"))</f>
        <v/>
      </c>
      <c r="W240" t="inlineStr">
        <is>
          <t>🟢 Echeveria 'Green Smile' (ID: 239)
🌿 Say hello to the stunning Echeveria 'Green Smile'! This charming rosette-forming succulent is the perfect addition to your plant collection, boasting thick, fleshy leaves adorned with striking reddish-pink margins. 🌈
✨ **About**: Originating from the rocky landscapes of Mexico and Central America, this hybrid succulent is not just beautiful but also easy to care for! With its compact growth, it thrives in moderate humidity and bright, direct sunlight, making it an ideal choice for indoor and outdoor spaces alike.
🌞 **Key Details**:
- **Watering**: Low maintenance – water every 10-14 days!
- **Sunlight**: Needs 4-6 hours of bright direct sunlight daily.
- **Growth**: Slow-growing, forming tight rosettes that stay compact.
🌱 Ready to add this beauty to your home? Tap the 'Link in bio' to discover more!
#EcheveriaGreenSmile #SucculentLove #PlantCollection #IndoorPlants #SucculentCare #Houseplants #PlantParent #GreenThumb #RosaryPlantHouse #PlantLovers #GardeningLife #HomeDecor #SucculentAddict #CactusAndSucculents #PlantsOfInstagram</t>
        </is>
      </c>
    </row>
    <row r="241" ht="99.5" customHeight="1">
      <c r="A241" s="94" t="n">
        <v>240</v>
      </c>
      <c r="B241" s="84" t="inlineStr">
        <is>
          <t>Pink Rose</t>
        </is>
      </c>
      <c r="C241" s="74">
        <f>IF(Local!H241,"1","0")</f>
        <v/>
      </c>
      <c r="D241" s="75" t="n">
        <v>79</v>
      </c>
      <c r="E241" s="66" t="inlineStr">
        <is>
          <t>Graptoveria 'Pink Rose'</t>
        </is>
      </c>
      <c r="F241" s="76">
        <f>"public/sale_plants/"&amp;A241&amp;".jpg"</f>
        <v/>
      </c>
      <c r="G241" s="77" t="inlineStr">
        <is>
          <t>(2"-3")</t>
        </is>
      </c>
      <c r="H241" s="74" t="inlineStr">
        <is>
          <t>Moderate</t>
        </is>
      </c>
      <c r="I241" s="66" t="inlineStr">
        <is>
          <t>Low</t>
        </is>
      </c>
      <c r="J241" s="66" t="inlineStr">
        <is>
          <t>High</t>
        </is>
      </c>
      <c r="K241" s="79" t="n">
        <v>89</v>
      </c>
      <c r="L241" s="80" t="inlineStr">
        <is>
          <t>Succulent</t>
        </is>
      </c>
      <c r="M241" s="80" t="n">
        <v>0</v>
      </c>
      <c r="N241" s="80" t="n">
        <v>0</v>
      </c>
      <c r="O241" s="81" t="n">
        <v>0</v>
      </c>
      <c r="P241" s="81" t="n">
        <v>0</v>
      </c>
      <c r="Q241" s="81">
        <f>IF(Local!I241=TRUE,1,0)</f>
        <v/>
      </c>
      <c r="R241" s="81">
        <f>Local!D241</f>
        <v/>
      </c>
      <c r="S241" s="81">
        <f>Local!F241</f>
        <v/>
      </c>
      <c r="T241" s="81">
        <f>Local!G241</f>
        <v/>
      </c>
      <c r="U241" s="83" t="inlineStr">
        <is>
          <t>## About
The Graptoveria 'Pink Rose' is a stunning hybrid succulent that looks like a perfect rose flower made of soft, fleshy leaves. This beautiful plant displays gorgeous pink and purple tones with a powdery coating that makes it look almost magical. It is a cross between Graptopetalum and Echeveria species, combining the best features of both parent plants.
## Origin
This plant is a hybrid succulent created by crossing two different succulent genera. While the exact origin of this specific hybrid is from cultivation, its parent plants come from Mexico and Central America where they grow in rocky, dry areas with plenty of sunshine.
## Temperature &amp; Humidity
- **Temperature Range:** 15Â°C to 35Â°C
- **Humidity:** This plant prefers low to moderate humidity levels between 30% to 50%. It does well in typical Indian household humidity but should be protected from excessive moisture during monsoon season.
## Growth
The Pink Rose Succulent grows as a compact rosette that typically reaches 5 to 10 cm in height and spreads about 8 to 12 cm wide. It is a slow-growing plant that takes time to reach its full size. The plant grows in a tight, symmetrical rosette pattern that resembles a rose flower. Over time, it may produce offsets or "pups" around the base of the mother plant, creating a beautiful cluster. The leaves are thick and fleshy, storing water for dry periods.
## Watering
- **Frequency:** Water once every 10 to 14 days depending on other parameters like season, temperature, and soil dryness. During monsoon season, reduce watering significantly.
- **Tips:** Always check if the soil is completely dry before watering. Water deeply but infrequently, allowing excess water to drain completely. Never let the plant sit in water as this can cause root rot. Reduce watering in winter months when the plant goes semi-dormant. Water at the base of the plant, avoiding the leaves to prevent washing away the beautiful powdery coating.
## Sunlight
- **Hours per day:** 4 to 6 hours
- **Type:** Bright direct sunlight for best color. The plant needs good light exposure to maintain its pink and purple colors. Morning sunlight is ideal in hot Indian summers. Can tolerate bright indirect light but colors may fade to green.
## Care Tips
- Protect from heavy monsoon rains as excessive moisture can damage the plant
- In peak summer (April-June), provide afternoon shade to prevent leaf burn
- The powdery coating on leaves is natural - avoid touching or wiping it off
- Ensure excellent air circulation around the plant to prevent fungal issues
- During winter, reduce watering but maintain good sunlight exposure
- Best grown in terracotta or clay pots that allow soil to dry quickly
- Can be kept on sunny windowsills, balconies, or terraces
## Growth Tips
- Use a well-draining succulent or cactus potting mix (mix regular soil with 50% coarse sand, perlite, or pumice)
- Fertilize sparingly - once every 2 to 3 months during growing season (spring and autumn) with diluted liquid succulent fertilizer
- Repot every 2 to 3 years or when the plant outgrows its container
- Use shallow pots with drainage holes as succulents have shallow root systems
- Propagate easily from leaf cuttings or offsets during spring or early summer
- Allow cut surfaces to dry and callus for 2 to 3 days before planting
## Common Problems
- **Leaf discoloration to green:** Not enough sunlight - move to a brighter location
- **Soft, mushy leaves:** Overwatering or root rot - reduce watering frequency and check drainage
- **Stretched or elongated growth:** Insufficient light causing the plant to search for more sun
- **Brown or black spots:** Fungal infection from excessive moisture or poor air circulation
- **Shriveled leaves:** Underwatering - increase watering slightly but maintain proper schedule
- **Mealybugs:** White cotton-like pests in leaf crevices - remove with cotton swab dipped in alcohol
- **Loss of powdery coating:** Physical damage from touching or water splash - be gentle when handling</t>
        </is>
      </c>
      <c r="V241" s="98">
        <f>HYPERLINK("https://rosaryplanthouse.com/plant/"&amp;A241&amp;"-"&amp;SUBSTITUTE(LOWER(E241), " ", "-"))</f>
        <v/>
      </c>
      <c r="W241" t="inlineStr">
        <is>
          <t>🟢 Graptoveria 'Pink Rose' (ID: 240)  
🌸✨ Meet the stunning Graptoveria 'Pink Rose' – the succulent that brings a touch of magic to your home! 
This enchanting hybrid succulent boasts delicate pink and purple hues, resembling a beautiful rose crafted from soft, fleshy leaves. With its charming rosette shape and powdery coating, the 'Pink Rose' is not just a plant; it’s a piece of art that thrives in bright sunlight, making it a perfect addition to any sunny spot! 
🌿 **Key Details:**  
- **Watering:** Low, every 10-14 days  
- **Sunlight:** 4-6 hours of bright direct light  
- **Temperature:** Thrives between 15°C to 35°C  
- **Humidity:** Prefers low to moderate levels  
- **Care Tips:** Avoid heavy rain and ensure excellent air circulation  
Ready to add this gorgeous succulent to your collection? 🌱✨ Click the link in our bio to explore more!  
#PinkRose #Graptoveria #Succulents #PlantLovers #HomeDecor #IndoorPlants #Gardening #PlantParenthood #RosaryPlantHouse #SucculentLove #GreenThumb #PlantGoals #Houseplants #EcoFriendly #SustainableLiving #PlantAddict</t>
        </is>
      </c>
    </row>
    <row r="242" ht="99.5" customHeight="1">
      <c r="A242" s="94" t="n">
        <v>241</v>
      </c>
      <c r="B242" s="84" t="inlineStr">
        <is>
          <t>Copper Rose Echeveria</t>
        </is>
      </c>
      <c r="C242" s="74">
        <f>IF(Local!H242,"1","0")</f>
        <v/>
      </c>
      <c r="D242" s="75" t="n">
        <v>79</v>
      </c>
      <c r="E242" s="66" t="inlineStr">
        <is>
          <t>Echeveria secunda</t>
        </is>
      </c>
      <c r="F242" s="76">
        <f>"public/sale_plants/"&amp;A242&amp;".jpg"</f>
        <v/>
      </c>
      <c r="G242" s="77" t="inlineStr">
        <is>
          <t>(2"-3")</t>
        </is>
      </c>
      <c r="H242" s="78" t="inlineStr">
        <is>
          <t>Low</t>
        </is>
      </c>
      <c r="I242" s="66" t="inlineStr">
        <is>
          <t>Low</t>
        </is>
      </c>
      <c r="J242" s="66" t="inlineStr">
        <is>
          <t>High</t>
        </is>
      </c>
      <c r="K242" s="79" t="n">
        <v>120</v>
      </c>
      <c r="L242" s="81" t="inlineStr">
        <is>
          <t>Echeveria</t>
        </is>
      </c>
      <c r="M242" s="80" t="n">
        <v>0</v>
      </c>
      <c r="N242" s="80" t="n">
        <v>0</v>
      </c>
      <c r="O242" s="81" t="n">
        <v>0</v>
      </c>
      <c r="P242" s="80" t="n">
        <v>0</v>
      </c>
      <c r="Q242" s="81">
        <f>IF(Local!I242=TRUE,1,0)</f>
        <v/>
      </c>
      <c r="R242" s="81">
        <f>Local!D242</f>
        <v/>
      </c>
      <c r="S242" s="81">
        <f>Local!F242</f>
        <v/>
      </c>
      <c r="T242" s="81">
        <f>Local!G242</f>
        <v/>
      </c>
      <c r="U242" s="83" t="inlineStr">
        <is>
          <t>## About
Echeveria secunda, commonly known as Blue Echeveria, is a beautiful succulent with powdery blue-green leaves arranged in perfect rosette patterns. This stunning plant is loved by gardeners and indoor plant enthusiasts for its elegant appearance and easy care requirements. It is native to Mexico and belongs to the Crassulaceae family.
## Origin
Echeveria secunda originates from the rocky, semi-arid regions of Mexico. In its natural habitat, it grows on rocky slopes and cliffs where water drains quickly and sunlight is abundant. The plant has adapted to survive in harsh, dry conditions with minimal water and plenty of bright light.
## Temperature &amp; Humidity
- **Temperature Range:** 15Â°C to 35Â°C
- **Humidity:** Low to moderate humidity (30% to 50%). This plant does well in typical Indian humidity levels but prefers drier conditions. It can tolerate the hot summers common in most parts of India, but should be protected from extreme cold during winter nights, especially in North India where temperatures can drop below 10Â°C.
## Growth
Echeveria secunda grows slowly to form compact rosettes that can reach 10 to 15 cm in diameter. The plant typically stays low to the ground, growing only 5 to 8 cm tall. Over time, it produces small offsets (baby plants) around the base of the mother plant, creating attractive clusters. The growth rate is moderate, and with proper care, the plant can live for many years. The beautiful blue-grey color with pink edges becomes more intense when exposed to bright sunlight and cooler temperatures.
## Watering
- **Frequency:** Once every 10-14 days depending on other parameters like season, humidity, and pot size. During monsoon, reduce watering significantly. In hot summer months, you may need to water once a week depending on other parameters.
- **Tips:** Always water deeply but infrequently. Allow the soil to dry out completely between waterings. Water at the base of the plant, avoiding the leaves to prevent rot and preserve the powdery coating. Use the "soak and dry" method - water thoroughly until water drains out, then wait until soil is completely dry. Overwatering is the biggest enemy of this plant. In winter, reduce watering to once every 3 weeks.
## Sunlight
- **Hours per day:** 4 to 6 hours
- **Type:** Bright direct sunlight is best, especially morning sun. Can tolerate bright indirect light indoors, but colors will be less vibrant. In extremely hot regions (above 40Â°C), provide some afternoon shade to prevent leaf burn. The plant develops its best colors and compact form when given plenty of sunlight.
## Care Tips
- Place the plant where it receives plenty of morning sunlight for best coloration
- Avoid touching the leaves frequently as it removes the protective powdery coating
- During monsoon season, move the plant to a covered area to prevent root rot from excess water
- If growing indoors, place near a bright south or west-facing window
- Remove dead leaves from the bottom to prevent pest problems
- In North India, bring the plant indoors during winter nights when temperature drops below 10Â°C
- Ensure good air circulation around the plant to prevent fungal issues
- The powdery coating on leaves is natural and protects the plant from sun damage
## Growth Tips
- **Soil:** Use well-draining cactus or succulent mix. You can make your own by mixing regular potting soil with coarse sand and perlite in equal parts
- **Fertilizer:** Feed very lightly during growing season (spring and early summer) with diluted liquid succulent fertilizer once a month. Avoid fertilizing in monsoon and winter
- **Pot:** Choose terracotta or clay pots with drainage holes as they allow excess moisture to evaporate
- **Repotting:** Repot every 2-3 years in spring using fresh soil. Choose a pot only slightly larger than the current one
- **Propagation:** Easy to propagate from leaf cuttings or offsets. Simply twist off a healthy leaf, let it dry for 2-3 days, and place on dry soil. Water lightly after roots appear
## Common Problems
- **Stretching (etiolation):** Caused by insufficient light. The plant becomes tall and leggy with spaces between leaves. Solution: Move to brighter location
- **Root rot:** Caused by overwatering or poor drainage. Leaves become soft, translucent, and mushy. Prevention: Water less frequently and ensure good drainage
- **Mealybugs:** White cottony pests that hide between leaves. Remove with cotton swab dipped in rubbing alcohol
- **Leaf drop:** Lower leaves naturally dry and fall off, which is normal. But if many leaves drop suddenly, it indicates watering problems
- **Brown leaf tips:** Usually caused by too much direct hot afternoon sun or low humidity. Provide some shade during peak summer hours
- **Powdery mildew:** White spots on leaves caused by high humidity and poor air circulation. Improve ventilation and reduce watering
- **Sunburn:** Brown or white patches on leaves from sudden exposure to intense sun. Gradually acclimate the plant to bright light</t>
        </is>
      </c>
      <c r="V242" s="98">
        <f>HYPERLINK("https://rosaryplanthouse.com/plant/"&amp;A242&amp;"-"&amp;SUBSTITUTE(LOWER(E242), " ", "-"))</f>
        <v/>
      </c>
      <c r="W242" t="inlineStr">
        <is>
          <t>🟢 Copper Rose Echeveria (ID: 241)
🌹✨ Say hello to the stunning Copper Rose Echeveria, a succulent that will steal your heart! This beauty features exquisite powdery blue-green leaves with charming pink edges, making it a perfect addition to any plant lover's collection. 
🌱 **About:** Known scientifically as Echeveria secunda, this low-maintenance succulent thrives in bright sunlight and requires minimal watering, making it the ideal choice for both new and experienced plant parents.
🌞 **Key Details:**
- **Watering:** Low; allow soil to dry between waterings
- **Sunlight:** Prefers 4-6 hours of bright direct sunlight daily
- **Temperature &amp; Humidity:** Thrives in warm, low to moderate humidity environments
✨ Want to bring this beauty home? 🌿 Link in bio!
#Echeveria #CopperRose #SucculentLove #PlantParenthood #GreenThumb #Houseplants #IndoorGarden #RosaryPlantHouse #SucculentCare #PlantAddict #HomeDecor #PlantStyling #SucculentCollection #PlantLovers #GardeningJoy</t>
        </is>
      </c>
    </row>
    <row r="243" ht="99.5" customHeight="1">
      <c r="A243" s="94" t="n">
        <v>242</v>
      </c>
      <c r="B243" s="84" t="inlineStr">
        <is>
          <t>White Monkey Tail</t>
        </is>
      </c>
      <c r="C243" s="74">
        <f>IF(Local!H243,"1","0")</f>
        <v/>
      </c>
      <c r="D243" s="75" t="n">
        <v>79</v>
      </c>
      <c r="E243" s="66" t="inlineStr">
        <is>
          <t>Pachyveria glauca</t>
        </is>
      </c>
      <c r="F243" s="76">
        <f>"public/sale_plants/"&amp;A243&amp;".jpg"</f>
        <v/>
      </c>
      <c r="G243" s="77" t="inlineStr">
        <is>
          <t>(2"-3")</t>
        </is>
      </c>
      <c r="H243" s="78" t="inlineStr">
        <is>
          <t>Low</t>
        </is>
      </c>
      <c r="I243" s="66" t="inlineStr">
        <is>
          <t>Low</t>
        </is>
      </c>
      <c r="J243" s="66" t="inlineStr">
        <is>
          <t>High</t>
        </is>
      </c>
      <c r="K243" s="79" t="n">
        <v>120</v>
      </c>
      <c r="L243" s="80" t="inlineStr">
        <is>
          <t>Succulent</t>
        </is>
      </c>
      <c r="M243" s="80" t="n">
        <v>0</v>
      </c>
      <c r="N243" s="80" t="n">
        <v>0</v>
      </c>
      <c r="O243" s="81" t="n">
        <v>0</v>
      </c>
      <c r="P243" s="80" t="n">
        <v>0</v>
      </c>
      <c r="Q243" s="81">
        <f>IF(Local!I243=TRUE,1,0)</f>
        <v/>
      </c>
      <c r="R243" s="81">
        <f>Local!D243</f>
        <v/>
      </c>
      <c r="S243" s="81">
        <f>Local!F243</f>
        <v/>
      </c>
      <c r="T243" s="81">
        <f>Local!G243</f>
        <v/>
      </c>
      <c r="U243" s="83" t="inlineStr">
        <is>
          <t>## About
Pachyveria glauca, commonly called Blue Haze Succulent, is a stunning hybrid succulent with beautiful powdery blue-green rosette-shaped leaves. This plant is a cross between Pachyphytum and Echeveria, combining the best features of both parent plants. It is highly prized for its compact rosette form and attractive silvery-blue coloring.
## Origin
This hybrid succulent originates from cultivation and is not found in the wild. Its parent plants (Pachyphytum and Echeveria species) are native to Mexico and Central America, where they grow in rocky, semi-desert conditions with excellent drainage and plenty of sunlight.
## Temperature &amp; Humidity
- **Temperature Range:** 15Â°C to 35Â°C (can tolerate up to 40Â°C in Indian summers with proper care)
- **Humidity:** Prefers low to moderate humidity levels around 30% to 50%. This plant does well in dry conditions and can struggle in high humidity environments, making it suitable for most parts of India except during heavy monsoon seasons.
## Growth
Pachyveria glauca grows as a compact rosette, typically reaching 10-15 cm in diameter and about 8-10 cm in height. The plant grows slowly to moderately and forms tight, symmetrical rosettes. Over time, it may produce offsets (baby plants) around the base, creating small clusters. The leaves are thick, fleshy, and coated with a natural powdery coating (farina) that protects them from harsh sunlight.
## Watering
- **Frequency:** Once every 10-14 days depending on season and weather conditions. During Indian summer months (April-June), water once a week depending on other parameters. In monsoon and winter, reduce to once every 2-3 weeks depending on other parameters.
- **Tips:** Always water deeply but allow the soil to dry out completely between waterings. Water at the base of the plant, avoiding the leaves to prevent washing off the protective powder coating. During monsoon season, protect from excessive rain and reduce watering significantly. Check soil moisture by inserting your finger 2-3 cm deep â€“ only water if completely dry.
## Sunlight
- **Hours per day:** 4 to 6 hours
- **Type:** Bright indirect to direct morning sunlight. In Indian conditions, provide morning sun (6 AM to 10 AM) and bright indirect light for the rest of the day. Avoid harsh afternoon sun (12 PM to 4 PM) during peak summer as it can scorch the leaves.
## Care Tips
- Protect from intense afternoon sun during Indian summers, especially in northern and central regions
- Bring indoors or provide shelter during heavy monsoon rains to prevent root rot
- The powdery coating on leaves is natural â€“ avoid touching or wiping it off
- Ensure excellent air circulation, especially during humid months
- Can be grown successfully on sunny balconies, terraces, or windowsills
- In coastal areas with high humidity, ensure extra drainage and reduce watering frequency
- During winter months in northern India, protect from frost (below 10Â°C)
## Growth Tips
- Use well-draining succulent or cactus mix; you can make your own by mixing regular potting soil with coarse sand and perlite in equal parts
- Add a top layer of small stones or gravel for better drainage and aesthetic appeal
- Fertilize sparingly â€“ use diluted succulent fertilizer once every 2-3 months during growing season (February-May and September-October)
- Repot every 2-3 years in spring, using a pot only slightly larger than the current one
- Terracotta pots work best as they allow soil to dry faster and provide better air circulation
- Propagate easily from leaf cuttings or offsets during warmer months
## Common Problems
- **Leaf rot and mushy leaves:** Caused by overwatering or water sitting on leaves. Always water at the base and ensure proper drainage
- **Stretching (etiolation):** Plant becomes leggy when not getting enough light. Move to a brighter location
- **Loss of blue color:** Insufficient light causes loss of the attractive powdery blue coating. Increase sunlight exposure gradually
- **Mealybugs:** White cottony pests that hide between leaves. Remove with cotton swab dipped in rubbing alcohol
- **Root rot:** Most common during monsoon. Ensure pot has drainage holes and reduce watering significantly
- **Shriveled leaves:** Sign of severe underwatering. Give the plant a thorough drink
- **Brown or black spots:** Usually from fungal infection during high humidity. Improve air circulation and reduce watering</t>
        </is>
      </c>
      <c r="V243" s="98">
        <f>HYPERLINK("https://rosaryplanthouse.com/plant/"&amp;A243&amp;"-"&amp;SUBSTITUTE(LOWER(E243), " ", "-"))</f>
        <v/>
      </c>
      <c r="W243" t="inlineStr">
        <is>
          <t>🟢 White Monkey Tail (ID: 242)  
🌟 Meet the stunning Pachyveria glauca, also known as the White Monkey Tail! This eye-catching succulent features beautiful powdery blue-green rosettes that will add a touch of elegance to any space.  
✨ Originating from the beautiful landscapes of Mexico and Central America, this hybrid succulent is the perfect blend of Pachyphytum and Echeveria, showcasing the best traits from both!  
🌞 **Key Details:**  
- **Watering:** Low - Water deeply every 10-14 days, allowing the soil to dry out completely.  
- **Sunlight:** High - Thrives in 4 to 6 hours of bright indirect to direct morning sunlight.  
- **Care Tips:** Protect from intense afternoon sun and ensure excellent air circulation. Ideal for sunny balconies and windowsills!  
👉 Ready to bring home this beauty? Link in bio!  
#PachyveriaGlauca #WhiteMonkeyTail #SucculentLove #IndoorGardening #PlantParent #GreenThumb #HomeDecor #SucculentCollection #RosaryPlantHouse #PlantAddict #PottedPlants #GardeningJoy #PlantCare #SucculentCare</t>
        </is>
      </c>
    </row>
    <row r="244" ht="99.5" customHeight="1">
      <c r="A244" s="94" t="n">
        <v>243</v>
      </c>
      <c r="B244" s="84" t="inlineStr">
        <is>
          <t>Echeveria Tip Red</t>
        </is>
      </c>
      <c r="C244" s="74">
        <f>IF(Local!H244,"1","0")</f>
        <v/>
      </c>
      <c r="D244" s="75" t="n">
        <v>79</v>
      </c>
      <c r="E244" s="66" t="inlineStr">
        <is>
          <t>Graptoveria 'Bashful'</t>
        </is>
      </c>
      <c r="F244" s="76">
        <f>"public/sale_plants/"&amp;A244&amp;".jpg"</f>
        <v/>
      </c>
      <c r="G244" s="77" t="inlineStr">
        <is>
          <t>(2"-3")</t>
        </is>
      </c>
      <c r="H244" s="78" t="inlineStr">
        <is>
          <t>Low</t>
        </is>
      </c>
      <c r="I244" s="66" t="inlineStr">
        <is>
          <t>Low</t>
        </is>
      </c>
      <c r="J244" s="66" t="inlineStr">
        <is>
          <t>Medium</t>
        </is>
      </c>
      <c r="K244" s="79" t="n">
        <v>120</v>
      </c>
      <c r="L244" s="80" t="inlineStr">
        <is>
          <t>Succulent</t>
        </is>
      </c>
      <c r="M244" s="80" t="n">
        <v>0</v>
      </c>
      <c r="N244" s="80" t="n">
        <v>0</v>
      </c>
      <c r="O244" s="81" t="n">
        <v>0</v>
      </c>
      <c r="P244" s="81" t="n">
        <v>0</v>
      </c>
      <c r="Q244" s="81">
        <f>IF(Local!I244=TRUE,1,0)</f>
        <v/>
      </c>
      <c r="R244" s="81">
        <f>Local!D244</f>
        <v/>
      </c>
      <c r="S244" s="81">
        <f>Local!F244</f>
        <v/>
      </c>
      <c r="T244" s="81">
        <f>Local!G244</f>
        <v/>
      </c>
      <c r="U244" s="83" t="inlineStr">
        <is>
          <t>## About
Graptoveria 'Bashful' is a beautiful hybrid succulent with thick, plump leaves arranged in a perfect rosette pattern. The green-gray leaves have charming pink to red tips that become more vibrant in bright light, making this plant look like a blooming flower even when it's not flowering.
## Origin
This plant is a hybrid between Graptopetalum and Echeveria species, created through cultivation. While the parent plants originally come from Mexico and Central America, Graptoveria 'Bashful' was developed by plant breeders for its attractive appearance and easy-care nature.
## Temperature &amp; Humidity
- **Temperature Range:** 15Â°C to 35Â°C (can tolerate up to 40Â°C in Indian summers with proper care)
- **Humidity:** Low to moderate humidity (30% to 50%). This succulent does well in dry conditions and can handle the dry seasons common in many parts of India. During monsoon, protect from excessive humidity to prevent rot.
## Growth
Graptoveria 'Bashful' is a compact, slow-growing succulent that typically reaches 8 to 12 cm in diameter. The rosette stays fairly tight and symmetrical. It can produce offsets (baby plants) around the base, creating small clusters over time. The plant grows upright on a short stem and maintains its compact rosette shape throughout its life. Growth is slowest during hot summers and picks up during cooler months.
## Watering
- **Frequency:** Once every 10-15 days depending on season and weather conditions. Water less in monsoon and winter, slightly more in hot summer months.
- **Tips:** Always water thoroughly until water drains from the bottom, then allow soil to dry completely before watering again. Water early morning in summer to prevent heat stress. Check soil moisture by inserting your finger 2-3 cm deep - if dry, it's time to water. Reduce watering during monsoon to prevent rot. In winter, water once every 3 weeks is sufficient.
## Sunlight
- **Hours per day:** 4 to 6 hours
- **Type:** Bright indirect light or morning direct sunlight. Afternoon direct sun can be too harsh, especially in Indian summers. East-facing windows or balconies work best. Some direct morning sun enhances the pink coloring on leaf tips.
## Care Tips
- Provide morning sun and afternoon shade during peak Indian summer months (April-June)
- During monsoon, move the plant to a covered area with good air circulation
- The pink tips become more intense with bright light and slight temperature stress
- Protect from frost in North Indian winters (below 10Â°C)
- Use well-draining soil mix to prevent root rot in humid conditions
- Keep away from heavy rain during monsoon season
- Clean dust from leaves gently with a soft brush monthly
- Avoid getting water on the rosette center as it can cause rot
## Growth Tips
- Use a well-draining soil mix: 50% potting soil, 30% coarse sand or perlite, 20% pumice or broken brick pieces
- Add a thin layer of small stones or gravel on top for better drainage and aesthetic appeal
- Fertilize sparingly - once every 2-3 months during growing season (October to March) with diluted succulent fertilizer
- Repot every 2-3 years in spring using a slightly larger pot with drainage holes
- Use terracotta or ceramic pots as they allow soil to dry faster than plastic
- Propagate from leaf cuttings or offsets during cooler months for best results
## Common Problems
- **Stretched or elongated growth:** Not enough sunlight; move to brighter location
- **Yellowing, mushy leaves:** Overwatering or poor drainage; reduce watering frequency
- **Brown, crispy leaf tips:** Underwatering or too much direct harsh sun
- **Mealybugs (white cotton-like insects):** Common in humid conditions; treat with neem oil spray
- **Black spots on leaves:** Fungal infection from excess moisture; improve air circulation and reduce watering
- **Lower leaves drying:** Normal shedding; gently remove dried leaves to prevent pest hiding spots
- **Loss of pink coloring:** Insufficient light; gradually increase sun exposure
- **Root rot:** Most common during monsoon; ensure excellent drainage and reduce watering</t>
        </is>
      </c>
      <c r="V244" s="98">
        <f>HYPERLINK("https://rosaryplanthouse.com/plant/"&amp;A244&amp;"-"&amp;SUBSTITUTE(LOWER(E244), " ", "-"))</f>
        <v/>
      </c>
      <c r="W244" t="inlineStr">
        <is>
          <t>🟢 Graptoveria 'Bashful' (ID: 243)
🌱 Meet the stunning Graptoveria 'Bashful' – a succulent that’s as charming as its name! This delightful hybrid features thick, plump leaves in a perfect rosette, adorned with enchanting pink to red tips that brighten up in the sunlight. 
✨ **About This Beauty:** 
Originating from a blend of Graptopetalum and Echeveria species, this easy-care succulent thrives in low to moderate humidity and is perfect for both beginners and seasoned plant lovers. Its vibrant colors and compact growth make it a standout in any collection!
🌞 **Key Details:**
- 🌡️ Temperature: Thrives between 15°C to 35°C
- 💧 Watering: Once every 10-15 days, less in monsoon
- ☀️ Sunlight: Prefers 4-6 hours of bright indirect light
👉 Want to bring this beauty home? Link in bio!
#Graptoveria #SucculentLove #PlantParent #HomeDecor #IndoorPlants #PlantLovers #Echeveria #SucculentGarden #RosaryPlantHouse #GreenThumb #PlantGoals #SucculentCare</t>
        </is>
      </c>
    </row>
    <row r="245" ht="99.5" customHeight="1">
      <c r="A245" s="94" t="n">
        <v>244</v>
      </c>
      <c r="B245" s="84" t="inlineStr">
        <is>
          <t>Variegated moa</t>
        </is>
      </c>
      <c r="C245" s="74">
        <f>IF(Local!H245,"1","0")</f>
        <v/>
      </c>
      <c r="D245" s="75" t="n">
        <v>69</v>
      </c>
      <c r="E245" s="66" t="inlineStr">
        <is>
          <t>Peperomia obtusifolia 'Variegata'</t>
        </is>
      </c>
      <c r="F245" s="76">
        <f>"public/sale_plants/"&amp;A245&amp;".jpg"</f>
        <v/>
      </c>
      <c r="G245" s="77" t="inlineStr">
        <is>
          <t>(2"-3")</t>
        </is>
      </c>
      <c r="H245" s="74" t="inlineStr">
        <is>
          <t>High</t>
        </is>
      </c>
      <c r="I245" s="66" t="inlineStr">
        <is>
          <t>Low</t>
        </is>
      </c>
      <c r="J245" s="66" t="inlineStr">
        <is>
          <t>Medium</t>
        </is>
      </c>
      <c r="K245" s="79" t="n">
        <v>120</v>
      </c>
      <c r="L245" s="81" t="inlineStr">
        <is>
          <t>Others</t>
        </is>
      </c>
      <c r="M245" s="80" t="n">
        <v>0</v>
      </c>
      <c r="N245" s="80" t="n">
        <v>0</v>
      </c>
      <c r="O245" s="81" t="n">
        <v>0</v>
      </c>
      <c r="P245" s="80" t="n">
        <v>0</v>
      </c>
      <c r="Q245" s="81">
        <f>IF(Local!I245=TRUE,1,0)</f>
        <v/>
      </c>
      <c r="R245" s="81">
        <f>Local!D245</f>
        <v/>
      </c>
      <c r="S245" s="81">
        <f>Local!F245</f>
        <v/>
      </c>
      <c r="T245" s="81">
        <f>Local!G245</f>
        <v/>
      </c>
      <c r="U245" s="83" t="inlineStr">
        <is>
          <t>## About
The Variegated Baby Rubber Plant is a stunning ornamental plant known for its thick, fleshy leaves with beautiful cream and green variegation. This compact houseplant is perfect for beginners and adds a splash of color to any indoor space with its eye-catching foliage.
## Origin
This plant is native to Central and South America, particularly found in tropical regions of Mexico, the Caribbean, and northern parts of South America. It grows naturally in forest understories where it receives filtered light and enjoys warm, humid conditions.
## Temperature &amp; Humidity
- **Temperature Range:** 18Â°C to 30Â°C
- **Humidity:** Prefers moderate to high humidity levels between 40% to 60%, though it can adapt to average household humidity. In Indian climate, it does well in most regions except extremely dry areas.
## Growth
This is a slow to moderate-growing plant that typically reaches 15 to 25 centimeters in height and width when grown indoors. It has an upright, bushy growth habit with thick, glossy leaves that grow in clusters. The variegated leaves make it more compact than the all-green variety. It stays relatively small and neat, making it perfect for tabletops, shelves, and small spaces.
## Watering
- **Frequency:** Once a week depending on season and weather conditions. In summer months, you may need to water twice a week, while in cooler months once every 10 days may be sufficient.
- **Tips:** Water only when the top 2-3 centimeters of soil feels dry. These plants store water in their thick leaves, so they are quite drought-tolerant. Overwatering is the biggest mistake people make. Always ensure the pot has drainage holes. Reduce watering during monsoon season and winter months. Yellow leaves often indicate overwatering.
## Sunlight
- **Hours per day:** 3 to 5 hours
- **Type:** Bright indirect light or filtered light. Can tolerate some morning direct sun but avoid harsh afternoon sun which can scorch the variegated leaves. Does well near east or north-facing windows.
## Care Tips
- Keep away from direct afternoon sun as it can burn the beautiful variegated leaves
- Wipe leaves gently with a damp cloth once every two weeks to remove dust and keep them shiny
- Avoid cold drafts from air conditioners or sudden temperature changes
- During hot Indian summers, mist the leaves occasionally to increase humidity
- The plant is pet-safe and non-toxic, making it ideal for homes with cats and dogs
- Remove any dead or yellowing leaves to maintain appearance
- Rotate the pot every few weeks for even growth on all sides
## Growth Tips
- Use well-draining soil mix with peat moss, perlite, and regular potting soil in equal parts
- Add some cocopeat for better moisture retention in Indian climate
- Feed with a balanced liquid fertilizer diluted to half strength once a month during growing season (March to October)
- Skip fertilizing during winter months when growth slows down
- Repot every 2 to 3 years or when the plant becomes root-bound
- Choose a pot only slightly larger than the previous one as these plants like being slightly root-bound
- Best time to repot is during spring or early summer
## Common Problems
- **Yellow leaves:** Usually caused by overwatering or poor drainage. Check soil moisture before watering
- **Leaf drop:** Can happen due to sudden temperature changes or overwatering
- **Brown leaf edges:** Indicates low humidity or underwatering. Increase humidity around the plant
- **Faded variegation:** Not enough light. Move to a brighter location with more indirect light
- **Soft, mushy stems:** Sign of root rot from excessive watering. Reduce watering immediately
- **Mealybugs:** Small white cottony pests that hide in leaf joints. Wipe with alcohol-soaked cotton
- **Spider mites:** Cause tiny webs and spotted leaves. Spray with neem oil solution
- **Slow growth:** Normal for this plant, but can also indicate need for fertilizer or more light</t>
        </is>
      </c>
      <c r="V245" s="98">
        <f>HYPERLINK("https://rosaryplanthouse.com/plant/"&amp;A245&amp;"-"&amp;SUBSTITUTE(LOWER(E245), " ", "-"))</f>
        <v/>
      </c>
      <c r="W245" t="inlineStr">
        <is>
          <t>🟢 Peperomia obtusifolia 'Variegata' (ID: 244)
🌿 Looking for a pop of color to liven up your indoor space? Meet the stunning Variegated Moa! Its thick, fleshy leaves flaunt beautiful cream and green variegation, making it an eye-catching addition to any room. Perfect for plant beginners, this compact beauty is easy to care for and thrives in bright, indirect light. ✨
🌱 **About the Plant:**  
The Variegated Baby Rubber Plant is native to the lush tropical regions of Central and South America. It loves warm, humid conditions and can adapt well to average household humidity. With its bushy growth habit and glossy leaves, it's a charming choice for tabletops and small spaces.
💧 **Care Tips:**  
- Water when the top 2-3 cm of soil is dry.  
- Loves bright, indirect light—keep it away from harsh afternoon sun.  
- Wipe leaves every two weeks to keep them shiny and healthy.  
- Non-toxic to pets, making it a safe choice for animal lovers! 🐾
👉 Ready to bring this beauty home? Check out more details! Link in bio. 
#Peperomia #VariegatedMoa #IndoorPlants #PlantLovers #Houseplants #GreenThumb #PlantCare #HomeDecor #RosaryPlantHouse #NatureLovers #PlantAddict #PlantParent #BotanicalBeauty 🌺🌿</t>
        </is>
      </c>
    </row>
    <row r="246" ht="99.5" customHeight="1">
      <c r="A246" s="94" t="n">
        <v>245</v>
      </c>
      <c r="B246" s="84" t="inlineStr">
        <is>
          <t>Prickly Pear</t>
        </is>
      </c>
      <c r="C246" s="74">
        <f>IF(Local!H246,"1","0")</f>
        <v/>
      </c>
      <c r="D246" s="75" t="n">
        <v>79</v>
      </c>
      <c r="E246" s="66" t="inlineStr">
        <is>
          <t>Echeveria 'Amor' (Fat)</t>
        </is>
      </c>
      <c r="F246" s="76">
        <f>"public/sale_plants/"&amp;A246&amp;".jpg"</f>
        <v/>
      </c>
      <c r="G246" s="77" t="inlineStr">
        <is>
          <t>(2"-3")</t>
        </is>
      </c>
      <c r="H246" s="78" t="inlineStr">
        <is>
          <t>Low</t>
        </is>
      </c>
      <c r="I246" s="66" t="inlineStr">
        <is>
          <t>Low</t>
        </is>
      </c>
      <c r="J246" s="66" t="inlineStr">
        <is>
          <t>High</t>
        </is>
      </c>
      <c r="K246" s="79" t="n">
        <v>120</v>
      </c>
      <c r="L246" s="81" t="inlineStr">
        <is>
          <t>Echeveria</t>
        </is>
      </c>
      <c r="M246" s="80" t="n">
        <v>0</v>
      </c>
      <c r="N246" s="80" t="n">
        <v>0</v>
      </c>
      <c r="O246" s="81" t="n">
        <v>0</v>
      </c>
      <c r="P246" s="80" t="n">
        <v>0</v>
      </c>
      <c r="Q246" s="81">
        <f>IF(Local!I246=TRUE,1,0)</f>
        <v/>
      </c>
      <c r="R246" s="81">
        <f>Local!D246</f>
        <v/>
      </c>
      <c r="S246" s="81">
        <f>Local!F246</f>
        <v/>
      </c>
      <c r="T246" s="81">
        <f>Local!G246</f>
        <v/>
      </c>
      <c r="U246" s="83" t="inlineStr">
        <is>
          <t>## About
Echeveria 'Amor' is a beautiful succulent with thick, fleshy leaves that form a compact rosette shape. The leaves are pale mint green with a soft powdery coating (called farina) that gives them a frosted appearance, and they develop pink or reddish edges when exposed to bright light or stress.
## Origin
This Echeveria hybrid originates from Mexico and Central America region. Echeverias naturally grow in rocky, mountainous areas where they receive plenty of sunlight and have excellent drainage. They are adapted to dry conditions and can tolerate periods of drought.
## Temperature &amp; Humidity
- **Temperature Range:** 15Â°C to 35Â°C (can tolerate brief dips to 10Â°C but not frost)
- **Humidity:** Low to moderate humidity (30% to 50%). This plant thrives in dry conditions and does not require high humidity. Indian climates are generally suitable, but protect from excessive monsoon moisture.
## Growth
Echeveria 'Amor' grows slowly and forms a compact rosette that can reach 10-15 cm in diameter. The plant stays relatively small and maintains its tight, symmetrical shape. It may produce offsets (baby plants) around the base, which can be separated for propagation. Growth is most active during spring and autumn months.
## Watering
- **Frequency:** Once every 10-15 days depending on season and weather conditions. Water less in winter (once every 3 weeks) and more frequently in hot summer months (once a week).
- **Tips:** Always use the soak and dry method - water thoroughly until water drains from the bottom, then wait until soil is completely dry before watering again. Avoid getting water on the leaves as it can wash away the protective powdery coating. Water early morning is best. In monsoon season, reduce watering significantly or stop completely if plant is outdoors.
## Sunlight
- **Hours per day:** 4 to 6 hours
- **Type:** Direct morning sunlight is ideal. Provide bright indirect or filtered light during harsh afternoon sun (12 PM to 4 PM) especially in peak summer. The plant develops best colors (pink edges) with adequate sun exposure.
## Care Tips
- Place in a bright spot near an east or west-facing window if growing indoors
- Protect from heavy monsoon rains - bring indoors or provide shelter as excessive water can cause rot
- In Indian summers above 40Â°C, provide afternoon shade to prevent leaf burn
- Do not remove the white powdery coating on leaves - it protects the plant
- Handle carefully as leaves break easily when touched
- Remove dried bottom leaves to keep plant tidy and prevent pest hiding spots
- During winter, reduce watering and protect from cold drafts below 10Â°C
## Growth Tips
- Use well-draining cactus or succulent soil mix with 50% perlite or coarse sand
- Plant in terracotta or clay pots with drainage holes for better air circulation
- Fertilize once every 2-3 months during growing season (spring and autumn) with diluted succulent fertilizer at half strength
- Repot every 2-3 years in spring when plant outgrows its pot
- Propagate from leaf cuttings or offsets in spring or early autumn
- Avoid using regular garden soil as it retains too much moisture
## Common Problems
- **Root rot:** Caused by overwatering or poor drainage. Leaves become soft, translucent, and fall off easily
- **Stretched growth (etiolation):** Plant becomes tall and leggy due to insufficient sunlight. Move to brighter location
- **Mealybugs:** White cottony insects in leaf crevices. Remove with cotton swab dipped in rubbing alcohol
- **Leaf drop:** Lower leaves naturally dry and fall off, but excessive dropping indicates stress from overwatering or underwatering
- **Brown spots:** Caused by sunburn from too much harsh afternoon sun or water drops acting as magnifying glass
- **Powdery mildew:** White fungal growth in high humidity. Improve air circulation and reduce moisture
- **Loss of color:** Insufficient light causes pale green color. Increase sun exposure gradually for pink edges to develop</t>
        </is>
      </c>
      <c r="V246" s="98">
        <f>HYPERLINK("https://rosaryplanthouse.com/plant/"&amp;A246&amp;"-"&amp;SUBSTITUTE(LOWER(E246), " ", "-"))</f>
        <v/>
      </c>
      <c r="W246" t="inlineStr">
        <is>
          <t>🟢 Echeveria 'Amor' (ID: 245)
🌿 Ready to fall in love with your new favorite succulent? Meet the Echeveria 'Amor'! This beauty features thick, fleshy leaves that form a stunning rosette shape, displaying a soft powdery coating and charming pink edges when kissed by sunlight. 
✨ Originating from the rocky terrains of Mexico and Central America, Echeveria 'Amor' is the perfect low-maintenance plant for your collection! Thriving in bright light, this resilient gem can tolerate dry conditions and is ideal for sunny spots in your home.
🌞 **Key Details:**
- 🌱 Watering: Low - every 10-15 days, adjust based on the season!
- ☀️ Sunlight: Loves 4-6 hours of direct morning sunlight.
- 🌡️ Temperature: Thrives between 15°C to 35°C, so keep it cozy!
💚 Want to add this darling to your plant family? Check the link in bio! 
#EcheveriaAmor #SucculentLove #PlantParents #IndoorPlants #SucculentCare #GreenThumb #PlantAddict #RosaryPlantHouse #PlantLovers #HomeDecor #NatureInspo #PlantOfTheDay #GardeningJoy #SucculentCollection</t>
        </is>
      </c>
    </row>
    <row r="247" ht="99.5" customHeight="1">
      <c r="A247" s="94" t="n">
        <v>246</v>
      </c>
      <c r="B247" s="84" t="inlineStr">
        <is>
          <t>Lovely rose</t>
        </is>
      </c>
      <c r="C247" s="74">
        <f>IF(Local!H247,"1","0")</f>
        <v/>
      </c>
      <c r="D247" s="75" t="n">
        <v>79</v>
      </c>
      <c r="E247" s="66" t="inlineStr">
        <is>
          <t>Graptoveria 'Lovely Rose'</t>
        </is>
      </c>
      <c r="F247" s="76">
        <f>"public/sale_plants/"&amp;A247&amp;".jpg"</f>
        <v/>
      </c>
      <c r="G247" s="77" t="inlineStr">
        <is>
          <t>(2"-3")</t>
        </is>
      </c>
      <c r="H247" s="78" t="inlineStr">
        <is>
          <t>Low</t>
        </is>
      </c>
      <c r="I247" s="66" t="inlineStr">
        <is>
          <t>Low</t>
        </is>
      </c>
      <c r="J247" s="66" t="inlineStr">
        <is>
          <t>High</t>
        </is>
      </c>
      <c r="K247" s="79" t="n">
        <v>120</v>
      </c>
      <c r="L247" s="80" t="inlineStr">
        <is>
          <t>Succulent</t>
        </is>
      </c>
      <c r="M247" s="80" t="n">
        <v>0</v>
      </c>
      <c r="N247" s="80" t="n">
        <v>0</v>
      </c>
      <c r="O247" s="81" t="n">
        <v>0</v>
      </c>
      <c r="P247" s="81" t="n">
        <v>0</v>
      </c>
      <c r="Q247" s="81">
        <f>IF(Local!I247=TRUE,1,0)</f>
        <v/>
      </c>
      <c r="R247" s="81">
        <f>Local!D247</f>
        <v/>
      </c>
      <c r="S247" s="81">
        <f>Local!F247</f>
        <v/>
      </c>
      <c r="T247" s="81">
        <f>Local!G247</f>
        <v/>
      </c>
      <c r="U247" s="83" t="inlineStr">
        <is>
          <t>## About
Graptoveria 'Lovely Rose' is a beautiful hybrid succulent that forms perfect rose-shaped rosettes with thick, fleshy leaves in a soft mint green to blue-green color. This stunning plant is a cross between Graptopetalum and Echeveria, combining the best traits of both parent plants to create a compact, easy-to-care-for ornamental succulent.
## Origin
This is a hybrid cultivar developed through careful breeding programs. Its parent plants, Graptopetalum and Echeveria, are originally from Mexico and Central America. The 'Lovely Rose' variety was bred specifically for its attractive rose-like appearance and compact growth habit.
## Temperature &amp; Humidity
- **Temperature Range:** 15Â°C to 35Â°C
- **Humidity:** Low to moderate humidity (30% to 50%). This plant is drought-tolerant and does not require high humidity. In fact, it prefers drier conditions typical of most Indian climates.
## Growth
Graptoveria 'Lovely Rose' grows slowly and stays compact, typically reaching 8-12 cm in diameter when fully grown. The rosettes remain tight and low-growing, rarely exceeding 10 cm in height. It can produce offsets (baby plants) around the base, which can be left to form small clusters or removed for propagation. The plant maintains its beautiful rose shape throughout its life if given proper light.
## Watering
- **Frequency:** Once every 10-15 days depending on season and weather conditions. Water less in monsoon and winter, slightly more in hot summer months.
- **Tips:** Always let the soil dry out completely between watering sessions. Water deeply but infrequently. Avoid getting water on the leaves as this can cause rot or wash away the natural powdery coating. During monsoon season, protect from excessive rain and reduce watering significantly. Check soil dryness by inserting your finger 2-3 cm deep.
## Sunlight
- **Hours per day:** 4 to 6 hours
- **Type:** Direct morning sunlight is ideal. Bright indirect light for the rest of the day. In very hot Indian summers (above 40Â°C), provide some afternoon shade to prevent leaf burn. The plant will maintain its compact rose shape and may develop pinkish edges with adequate sun exposure.
## Care Tips
- Protect from direct afternoon sun during peak summer months (April-June) when temperatures exceed 38Â°C
- During monsoon season, keep the plant under a covered area to prevent waterlogging
- The powdery coating on leaves (farina) is natural protection - avoid touching or washing it off
- Good air circulation is essential to prevent fungal issues, especially during humid months
- Can be grown successfully both indoors near bright windows and outdoors in partial sun
- Remove dried lower leaves periodically to maintain appearance and prevent pest hiding spots
## Growth Tips
- Use well-draining cactus or succulent potting mix, or make your own with 60% regular soil, 30% coarse sand, and 10% perlite or pumice
- Fertilize sparingly - once every 2-3 months during growing season (spring and autumn) with diluted succulent fertilizer at half strength
- Repot only when rootbound, typically every 2-3 years in spring
- Choose terracotta or clay pots with drainage holes for better moisture control
- Propagate easily from leaf cuttings or offsets during warmer months
## Common Problems
- **Stretching and loss of rose shape:** Caused by insufficient light. Move to brighter location
- **Root rot and mushy leaves:** Result of overwatering or poor drainage. Reduce watering frequency
- **Wrinkled, shriveled leaves:** Sign of underwatering. Water thoroughly when soil is completely dry
- **Brown, crispy leaves:** Sunburn from too much direct harsh sunlight. Provide afternoon shade
- **Mealybugs (white cottony spots):** Common pest attracted to rosette centers. Remove with cotton swab dipped in rubbing alcohol
- **Black spots on leaves:** Fungal infection from excessive humidity or water on leaves. Improve air circulation and avoid overhead watering
- **Pale or yellow leaves:** May indicate nutrient deficiency. Apply diluted succulent fertilizer</t>
        </is>
      </c>
      <c r="V247" s="98">
        <f>HYPERLINK("https://rosaryplanthouse.com/plant/"&amp;A247&amp;"-"&amp;SUBSTITUTE(LOWER(E247), " ", "-"))</f>
        <v/>
      </c>
      <c r="W247" t="inlineStr">
        <is>
          <t>🟢 Graptoveria 'Lovely Rose' (ID: 246)
🌹 Say hello to the stunning Graptoveria 'Lovely Rose'! This enchanting succulent is not just a treat for the eyes but also a breeze to care for! 
✨ With its perfect rosettes and thick, fleshy leaves in soft mint green to blue-green hues, this hybrid beauty is a delightful addition to any plant collection. Bred from Graptopetalum and Echeveria, it's designed to flourish with minimal effort!
🌞 **Key Details:**
- **Light:** Thrives in 4-6 hours of direct morning sunlight
- **Watering:** Low - water every 10-15 days, allowing the soil to dry out completely
- **Humidity:** Prefers low to moderate levels
- **Growth:** Compact and slow-growing, producing adorable offsets
👉 Ready to add this lovely gem to your home? Check the 'Link in bio' for more details!
#Graptoveria #LovelyRose #SucculentLove #PlantParent #IndoorPlants #PlantCare #LowMaintenance #GreenThumb #SucculentCollection #RosaryPlantHouse 🌱💚</t>
        </is>
      </c>
    </row>
    <row r="248" ht="99.5" customHeight="1">
      <c r="A248" s="94" t="n">
        <v>247</v>
      </c>
      <c r="B248" s="84" t="inlineStr">
        <is>
          <t>Echeveria purple pearl</t>
        </is>
      </c>
      <c r="C248" s="74">
        <f>IF(Local!H248,"1","0")</f>
        <v/>
      </c>
      <c r="D248" s="75" t="n">
        <v>79</v>
      </c>
      <c r="E248" s="66" t="inlineStr">
        <is>
          <t>Echeveria 'Purple Pearl'</t>
        </is>
      </c>
      <c r="F248" s="76">
        <f>"public/sale_plants/"&amp;A248&amp;".jpg"</f>
        <v/>
      </c>
      <c r="G248" s="77" t="inlineStr">
        <is>
          <t>(2"-3")</t>
        </is>
      </c>
      <c r="H248" s="78" t="inlineStr">
        <is>
          <t>Low</t>
        </is>
      </c>
      <c r="I248" s="66" t="inlineStr">
        <is>
          <t>Low</t>
        </is>
      </c>
      <c r="J248" s="66" t="inlineStr">
        <is>
          <t>High</t>
        </is>
      </c>
      <c r="K248" s="79" t="n">
        <v>120</v>
      </c>
      <c r="L248" s="81" t="inlineStr">
        <is>
          <t>Echeveria</t>
        </is>
      </c>
      <c r="M248" s="80" t="n">
        <v>0</v>
      </c>
      <c r="N248" s="80" t="n">
        <v>0</v>
      </c>
      <c r="O248" s="81" t="n">
        <v>0</v>
      </c>
      <c r="P248" s="80" t="n">
        <v>0</v>
      </c>
      <c r="Q248" s="81">
        <f>IF(Local!I248=TRUE,1,0)</f>
        <v/>
      </c>
      <c r="R248" s="81">
        <f>Local!D248</f>
        <v/>
      </c>
      <c r="S248" s="81">
        <f>Local!F248</f>
        <v/>
      </c>
      <c r="T248" s="81">
        <f>Local!G248</f>
        <v/>
      </c>
      <c r="U248" s="83" t="inlineStr">
        <is>
          <t>## About
Purple Pearl is a stunning succulent with gorgeous blue-grey leaves edged with beautiful pink to purple margins. This rosette-forming plant is a favorite among succulent collectors for its elegant appearance and easy care requirements.
## Origin
Echeveria 'Purple Pearl' is a cultivated hybrid variety. The Echeveria genus originates from semi-desert areas of Central America, Mexico, and northwestern South America. This particular variety was developed through selective breeding to enhance its beautiful coloring.
## Temperature &amp; Humidity
- **Temperature Range:** 15Â°C to 30Â°C (can tolerate up to 35Â°C in Indian summers with proper care)
- **Humidity:** Prefers low to moderate humidity (30% to 50%). Adapts well to Indian climate but needs protection during monsoon season from excessive moisture.
## Growth
Purple Pearl forms compact rosettes that typically grow to 10-15 cm in diameter. The plant grows slowly to moderately, spreading about 15-20 cm wide when mature. It maintains a low, ground-hugging growth habit and rarely exceeds 10 cm in height. The plant may produce offsets (baby plants) around the base, creating attractive clusters over time. The most intense purple-pink coloring appears when the plant receives plenty of bright light.
## Watering
- **Frequency:** Once every 10-14 days depending on season and weather conditions, less during monsoon and winter months
- **Tips:** Allow the soil to dry out completely between waterings. Water deeply but infrequently. During Indian summers (April-June), you may need to water once a week. Reduce watering to once every 2-3 weeks during monsoon and winter. Always water at the soil level, avoiding the rosette center to prevent rot. Use the "soak and dry" method for best results.
## Sunlight
- **Hours per day:** 4 to 6 hours
- **Type:** Bright direct sunlight preferred, especially morning sun. Can tolerate bright indirect light indoors but colors will be less vibrant. In extremely hot Indian summers (above 40Â°C), provide afternoon shade to prevent leaf burn.
## Care Tips
- Protect from heavy monsoon rains as excess moisture can cause root rot
- Provide excellent drainage to prevent waterlogging during rainy season
- Keep in a location with good air circulation to prevent fungal issues
- The pink-purple coloring intensifies with more sunlight and slight stress (less water)
- Bring indoors or under cover during heavy rains
- Clean dust from leaves gently with a soft brush to maintain appearance
- Avoid touching the powdery coating (farina) on leaves as it won't grow back
## Growth Tips
- Use well-draining cactus or succulent mix; add 50% perlite or coarse sand to regular potting mix
- Terracotta or clay pots work best as they allow soil to dry faster
- Fertilize sparingly - once every 2-3 months during growing season (spring and autumn) with diluted succulent fertilizer
- Repot every 2-3 years or when the plant outgrows its container
- Best time to repot is early spring before the growing season
- Remove dead lower leaves regularly to keep the plant healthy and pest-free
- Propagate easily from leaves or offsets during spring or early summer
## Common Problems
- **Leaf rot or mushiness:** Caused by overwatering or poor drainage, especially during monsoon
- **Stretched, leggy growth:** Insufficient sunlight - move to brighter location
- **Loss of purple color:** Not enough light exposure or too much water
- **Brown, crispy leaf tips:** Sunburn from intense afternoon sun in peak summer or underwatering
- **White cottony spots:** Mealybugs - treat with neem oil or isopropyl alcohol
- **Black spots on leaves:** Fungal infection from excess humidity - improve air circulation
- **Stem rot at base:** Overwatering combined with poor drainage
- **Shriveled leaves:** Needs water, but check that it's not root rot first</t>
        </is>
      </c>
      <c r="V248" s="98">
        <f>HYPERLINK("https://rosaryplanthouse.com/plant/"&amp;A248&amp;"-"&amp;SUBSTITUTE(LOWER(E248), " ", "-"))</f>
        <v/>
      </c>
      <c r="W248" t="inlineStr">
        <is>
          <t>🟢 Echeveria 'Purple Pearl' (ID: 247)  
🌟 Unveil the beauty of the Echeveria 'Purple Pearl' – a succulent gem that transforms any space with its stunning blue-grey leaves adorned with enchanting pink to purple edges! 🌿✨  
This exquisite rosette-forming succulent is a must-have for collectors and plant enthusiasts alike, known for its elegant appearance and low maintenance needs. Perfect for brightening up your home or office, it thrives in well-draining soil and loves basking in bright sunlight.  
**Key Details:**  
- 🌞 **Sunlight:** Prefers 4-6 hours of bright direct sunlight  
- 💧 **Watering:** Every 10-14 days; allow soil to dry out completely  
- 🌬️ **Humidity:** Adapts well to low to moderate humidity  
Ready to add this stunning succulent to your collection? 🌺 Link in bio!  
#Echeveria #PurplePearl #SucculentLove #PlantAddict #HomeDecor #IndoorPlants #SucculentCollection #PlantParents #Gardening #GreenThumb #RosaryPlantHouse 🌱💖</t>
        </is>
      </c>
    </row>
    <row r="249" ht="99.5" customHeight="1">
      <c r="A249" s="94" t="n">
        <v>248</v>
      </c>
      <c r="B249" s="84" t="inlineStr">
        <is>
          <t>Little Jewel</t>
        </is>
      </c>
      <c r="C249" s="74">
        <f>IF(Local!H249,"1","0")</f>
        <v/>
      </c>
      <c r="D249" s="75" t="n">
        <v>79</v>
      </c>
      <c r="E249" s="66" t="inlineStr">
        <is>
          <t>Pachyphytum compactum</t>
        </is>
      </c>
      <c r="F249" s="76">
        <f>"public/sale_plants/"&amp;A249&amp;".jpg"</f>
        <v/>
      </c>
      <c r="G249" s="77" t="inlineStr">
        <is>
          <t>(2"-3")</t>
        </is>
      </c>
      <c r="H249" s="78" t="inlineStr">
        <is>
          <t>Low</t>
        </is>
      </c>
      <c r="I249" s="66" t="inlineStr">
        <is>
          <t>Low</t>
        </is>
      </c>
      <c r="J249" s="66" t="inlineStr">
        <is>
          <t>High</t>
        </is>
      </c>
      <c r="K249" s="79" t="n">
        <v>120</v>
      </c>
      <c r="L249" s="80" t="inlineStr">
        <is>
          <t>Succulent</t>
        </is>
      </c>
      <c r="M249" s="80" t="n">
        <v>0</v>
      </c>
      <c r="N249" s="80" t="n">
        <v>0</v>
      </c>
      <c r="O249" s="81" t="n">
        <v>0</v>
      </c>
      <c r="P249" s="80" t="n">
        <v>0</v>
      </c>
      <c r="Q249" s="81">
        <f>IF(Local!I249=TRUE,1,0)</f>
        <v/>
      </c>
      <c r="R249" s="81">
        <f>Local!D249</f>
        <v/>
      </c>
      <c r="S249" s="81">
        <f>Local!F249</f>
        <v/>
      </c>
      <c r="T249" s="81">
        <f>Local!G249</f>
        <v/>
      </c>
      <c r="U249" s="83" t="inlineStr">
        <is>
          <t>## About
Pachyphytum compactum, commonly known as Little Jewel, is a charming succulent plant with thick, plump leaves that look like tiny colorful stones or gems. This beautiful plant grows in a rosette shape and is loved by plant collectors for its unique appearance and easy care requirements.
## Origin
This succulent is native to Mexico, where it grows naturally in rocky, dry areas with plenty of sunlight. In its natural habitat, it thrives in well-draining soil on hillsides and rocky outcrops where water drains quickly.
## Temperature &amp; Humidity
- **Temperature Range:** 15Â°C to 35Â°C
- **Humidity:** Low to moderate humidity (30% to 50%). This plant prefers dry conditions and does well in the typical Indian climate, especially in drier regions. It can tolerate the heat of Indian summers quite well but needs protection from extreme cold during winter months.
## Growth
Pachyphytum compactum is a slow-growing succulent that typically reaches 10 to 15 cm in height and spreads about 10 cm wide. The plant grows in a compact rosette form with multiple layers of thick, fleshy leaves. Each leaf is covered with a powdery coating called farina that gives it a frosted, silvery-blue appearance. The plant may produce offsets (baby plants) around the base as it matures, creating attractive clusters over time.
## Watering
- **Frequency:** Once every two weeks depending on season and weather conditions. During Indian monsoon season, reduce watering further as humidity increases. In hot summer months, you may water once a week depending on other parameters.
- **Tips:** Always check if the soil is completely dry before watering. Water deeply but allow excess water to drain completely. Never let the plant sit in waterlogged soil. Reduce watering to once a month or less during winter. The thick leaves store water, so the plant can handle drought better than overwatering.
## Sunlight
- **Hours per day:** 4 to 6 hours
- **Type:** Bright, direct sunlight is ideal. Morning sunlight is best for Indian conditions. Can tolerate some afternoon sun but protect from intense afternoon heat during peak summer (April-June). If kept indoors, place near a south or east-facing window where it gets maximum bright light.
## Care Tips
- Avoid touching the leaves frequently as this removes the natural powdery coating (farina) that protects the plant
- Protect from heavy monsoon rains by moving potted plants under cover or indoors
- Ensure excellent air circulation to prevent fungal issues during humid months
- During Indian summers, provide some afternoon shade if leaves start showing signs of sunburn
- Use terracotta or clay pots as they allow better drainage and air circulation
- Keep away from areas with high humidity like bathrooms
## Growth Tips
- Use a well-draining succulent or cactus potting mix, or make your own by mixing regular soil with coarse sand and perlite (1:1:1 ratio)
- Add a layer of small stones or gravel at the bottom of the pot for extra drainage
- Fertilize very lightly once every 2-3 months during growing season (spring and autumn) with diluted succulent fertilizer
- Repot only when the plant outgrows its container, typically every 2-3 years
- Best time to repot is during spring season
- Use shallow, wide pots rather than deep ones as succulents have shallow root systems
## Common Problems
- **Leaf rot or mushy leaves:** Caused by overwatering or poor drainage. Always ensure soil dries completely between watering
- **Stretching or elongated growth:** Not enough sunlight. Move to a brighter location with more direct sun
- **Shriveled leaves:** Underwatering. While drought-tolerant, the plant still needs regular watering during growing season
- **Mealybugs:** White cottony pests that hide between leaves. Remove with cotton swab dipped in rubbing alcohol
- **Root rot:** Caused by waterlogged soil, especially during monsoon. Ensure excellent drainage and reduce watering frequency
- **Sunburn (brown or white patches):** Too much intense afternoon sun during peak summer. Provide filtered light during hottest hours
- **Loss of powdery coating:** Excessive handling or water on leaves. Try to water only the soil, not the leaves</t>
        </is>
      </c>
      <c r="V249" s="98">
        <f>HYPERLINK("https://rosaryplanthouse.com/plant/"&amp;A249&amp;"-"&amp;SUBSTITUTE(LOWER(E249), " ", "-"))</f>
        <v/>
      </c>
      <c r="W249" t="inlineStr">
        <is>
          <t>🟢 Pachyphytum Compactum (ID: 248)  
✨ Meet the Little Jewel! ✨ 
This stunning succulent is not just a feast for the eyes—its thick, plump leaves resemble tiny colorful gems that sparkle in the sunlight. 🌞 Perfect for adding a touch of charm to your plant collection, this low-maintenance beauty thrives in bright, direct light and requires minimal watering. 
🌿 **Key Details:**  
- **Origin:** Mexico  
- **Temperature:** 15°C to 35°C  
- **Watering:** Once every two weeks  
- **Sunlight:** 4 to 6 hours of bright light daily  
Care for this jewel and watch it flourish! 🌱 Ready to elevate your plant game?  
👉 Link in bio!
#LittleJewel #PachyphytumCompactum #SucculentLove #PlantCollection #IndoorGarden #PlantParent #GreenThumb #Houseplants #SucculentCare #PlantAddict #RosaryPlantHouse</t>
        </is>
      </c>
    </row>
    <row r="250" ht="99.5" customHeight="1">
      <c r="A250" s="94" t="n">
        <v>249</v>
      </c>
      <c r="B250" s="84" t="inlineStr">
        <is>
          <t>White Lotus Fat</t>
        </is>
      </c>
      <c r="C250" s="74">
        <f>IF(Local!H250,"1","0")</f>
        <v/>
      </c>
      <c r="D250" s="75" t="n">
        <v>79</v>
      </c>
      <c r="E250" s="66" t="inlineStr">
        <is>
          <t>Echeveria laui</t>
        </is>
      </c>
      <c r="F250" s="76">
        <f>"public/sale_plants/"&amp;A250&amp;".jpg"</f>
        <v/>
      </c>
      <c r="G250" s="77" t="inlineStr">
        <is>
          <t>(2"-3")</t>
        </is>
      </c>
      <c r="H250" s="78" t="inlineStr">
        <is>
          <t>Low</t>
        </is>
      </c>
      <c r="I250" s="66" t="inlineStr">
        <is>
          <t>Low</t>
        </is>
      </c>
      <c r="J250" s="66" t="inlineStr">
        <is>
          <t>Medium</t>
        </is>
      </c>
      <c r="K250" s="79" t="n">
        <v>120</v>
      </c>
      <c r="L250" s="81" t="inlineStr">
        <is>
          <t>Echeveria</t>
        </is>
      </c>
      <c r="M250" s="80" t="n">
        <v>0</v>
      </c>
      <c r="N250" s="80" t="n">
        <v>0</v>
      </c>
      <c r="O250" s="81" t="n">
        <v>0</v>
      </c>
      <c r="P250" s="81" t="n">
        <v>0</v>
      </c>
      <c r="Q250" s="81">
        <f>IF(Local!I250=TRUE,1,0)</f>
        <v/>
      </c>
      <c r="R250" s="81">
        <f>Local!D250</f>
        <v/>
      </c>
      <c r="S250" s="81">
        <f>Local!F250</f>
        <v/>
      </c>
      <c r="T250" s="81">
        <f>Local!G250</f>
        <v/>
      </c>
      <c r="U250" s="83" t="inlineStr">
        <is>
          <t>## About
Echeveria laui is one of the most beautiful and sought-after succulent plants with stunning powdery blue-gray leaves covered in a thick white coating. This rosette-forming succulent is prized by collectors for its unique appearance and compact size, making it perfect for small spaces and indoor gardens.
## Origin
This rare succulent originates from the mountains of Oaxaca, Mexico. It grows naturally in rocky cliff areas at high altitudes where it receives bright light and has excellent drainage. The plant was named after Alfred Lau, a famous cactus and succulent explorer.
## Temperature &amp; Humidity
- **Temperature Range:** 15Â°C to 30Â°C (ideal range for Indian conditions)
- **Humidity:** Low to moderate humidity (30% to 50%). The plant prefers dry conditions and can tolerate the dry seasons common in many parts of India. However, it may struggle in very humid coastal areas during monsoon season.
## Growth
Echeveria laui is a slow-growing succulent that forms tight rosettes typically reaching 10 to 15 cm in diameter. The plant stays compact and low-growing, making it ideal for small pots and container gardens. It may produce offsets (baby plants) around the base over time, but this happens slowly. The thick, fleshy leaves are arranged in a perfect rosette pattern, and the entire plant has a frosted appearance due to the natural white powdery coating called farina.
## Watering
- **Frequency:** Once every 10-14 days depending on season and weather conditions. Water less frequently during monsoon and winter months.
- **Tips:** Always check if the soil is completely dry before watering. Water at the soil level only, never on the leaves, as this will remove the beautiful white coating. The plant stores water in its thick leaves, so it can tolerate some neglect. In hot summer months, you may need to water once a week depending on other parameters. Reduce watering significantly during monsoon season.
## Sunlight
- **Hours per day:** 4 to 6 hours
- **Type:** Bright indirect light or morning sun with afternoon shade. In Indian conditions, avoid harsh afternoon sun especially during summer months (April-June) as it can burn the delicate leaves. Morning sunlight (6 AM to 10 AM) is ideal.
## Care Tips
- Never touch the leaves with your fingers as this will remove the white powdery coating permanently
- Protect from heavy monsoon rains by keeping it under a covered area or bringing it indoors
- Provide excellent air circulation to prevent fungal problems, especially during humid months
- Keep away from cold drafts during winter nights in North India
- The plant prefers temperatures above 15Â°C, so protect it during cold winter nights
- Use a pot with drainage holes to prevent water logging
- During Indian summers, provide shade cloth or move to a cooler spot if temperatures exceed 35Â°C
## Growth Tips
- Use a well-draining cactus or succulent mix with at least 50% gritty material like perlite, coarse sand, or pumice
- Add a layer of small stones or gravel on top of the soil to protect the lower leaves from moisture
- Fertilize very lightly (once every 2-3 months) during growing season with diluted succulent fertilizer
- Repot only when necessary (every 2-3 years) as the plant prefers being slightly root-bound
- Use terracotta or clay pots which dry out faster than plastic pots
- Propagation is difficult but possible through leaf cuttings or offsets, though success rates vary
## Common Problems
- **Powdery coating removal:** Touching leaves or water splashing removes the farina permanently; handle with extreme care
- **Root rot:** Caused by overwatering or poor drainage, especially during monsoon; ensure soil dries completely between waterings
- **Leaf drop:** Usually due to overwatering or root rot; reduce watering immediately
- **Mealybugs:** White cottony pests that hide between leaves; treat with neem oil or isopropyl alcohol
- **Etiolation (stretching):** Caused by insufficient light; the rosette becomes loose and leggy; move to brighter location
- **Leaf burn:** Brown or black spots from too much direct harsh sunlight; provide afternoon shade
- **Fungal infections:** More common during humid monsoon months; ensure good air flow and avoid water on leaves</t>
        </is>
      </c>
      <c r="V250" s="98">
        <f>HYPERLINK("https://rosaryplanthouse.com/plant/"&amp;A250&amp;"-"&amp;SUBSTITUTE(LOWER(E250), " ", "-"))</f>
        <v/>
      </c>
      <c r="W250" t="inlineStr">
        <is>
          <t>🟢 Echeveria Laui (ID: 249)
🌿 Meet the stunning White Lotus Fat! This captivating succulent is a must-have for plant lovers and collectors alike. With its powdery blue-gray leaves and unique rosette shape, the Echeveria laui adds a touch of elegance to any indoor garden or small space.
✨ This beauty hails from the rocky mountains of Oaxaca, Mexico, thriving in bright light and well-drained soil. The mesmerizing frosted appearance comes from a natural white powdery coating called farina, making it a true gem among succulents.
🌱 **Key Details:**
- **Watering:** Low, once every 10-14 days
- **Sunlight:** Prefers bright indirect light or morning sun
- **Care Tips:** Handle with care to preserve the delicate powdery coating; avoid overwatering to prevent root rot
👉 Ready to elevate your plant collection? Discover the Echeveria laui and more at Rosary Plant House! Link in bio.
#EcheveriaLaui #SucculentLove #IndoorPlants #PlantParent #GreenThumb #PlantCollection #RosaryPlantHouse #SucculentCare #HomeDecor #PlantAesthetic #Houseplants #PlantAddict #OaxacaSucculents #FrostedSucculent #NatureLovers #Gardening #PlantLife</t>
        </is>
      </c>
    </row>
    <row r="251" ht="99.5" customHeight="1">
      <c r="A251" s="94" t="n">
        <v>250</v>
      </c>
      <c r="B251" s="84" t="inlineStr">
        <is>
          <t>White Lotus Powder</t>
        </is>
      </c>
      <c r="C251" s="74">
        <f>IF(Local!H251,"1","0")</f>
        <v/>
      </c>
      <c r="D251" s="75" t="n">
        <v>79</v>
      </c>
      <c r="E251" s="66" t="inlineStr">
        <is>
          <t>Pachyveria 'Power Puff'</t>
        </is>
      </c>
      <c r="F251" s="76">
        <f>"public/sale_plants/"&amp;A251&amp;".jpg"</f>
        <v/>
      </c>
      <c r="G251" s="77" t="inlineStr">
        <is>
          <t>(2"-3")</t>
        </is>
      </c>
      <c r="H251" s="78" t="inlineStr">
        <is>
          <t>Low</t>
        </is>
      </c>
      <c r="I251" s="66" t="inlineStr">
        <is>
          <t>Low</t>
        </is>
      </c>
      <c r="J251" s="66" t="inlineStr">
        <is>
          <t>Medium</t>
        </is>
      </c>
      <c r="K251" s="79" t="n">
        <v>120</v>
      </c>
      <c r="L251" s="80" t="inlineStr">
        <is>
          <t>Succulent</t>
        </is>
      </c>
      <c r="M251" s="80" t="n">
        <v>0</v>
      </c>
      <c r="N251" s="80" t="n">
        <v>0</v>
      </c>
      <c r="O251" s="81" t="n">
        <v>0</v>
      </c>
      <c r="P251" s="80" t="n">
        <v>0</v>
      </c>
      <c r="Q251" s="81">
        <f>IF(Local!I251=TRUE,1,0)</f>
        <v/>
      </c>
      <c r="R251" s="81">
        <f>Local!D251</f>
        <v/>
      </c>
      <c r="S251" s="81">
        <f>Local!F251</f>
        <v/>
      </c>
      <c r="T251" s="81">
        <f>Local!G251</f>
        <v/>
      </c>
      <c r="U251" s="83" t="inlineStr">
        <is>
          <t>## About
Pachyveria 'Power Puff' is a beautiful hybrid succulent with gorgeous powdery blue-gray leaves arranged in a perfect rosette pattern. This is a cross between Pachyphytum and Echeveria species, combining the best traits of both parent plants. It's an easy-to-care-for succulent that makes a wonderful addition to any plant collection.
## Origin
This plant is a man-made hybrid created by crossing Pachyphytum and Echeveria species. The parent plants are native to Mexico and Central America, where they grow in rocky, well-draining areas with plenty of sunlight. As a cultivated hybrid, Pachyveria 'Power Puff' has been bred specifically for its compact rosette shape and stunning pale blue coloration.
## Temperature &amp; Humidity
- **Temperature Range:** 15Â°C to 35Â°C
- **Humidity:** Low to moderate (30% to 50%). This succulent prefers dry conditions and does well in the typical Indian climate. It can tolerate the heat of Indian summers but needs protection from extreme temperatures above 40Â°C.
## Growth
Pachyveria 'Power Puff' grows in a compact rosette form, typically reaching 8-12 cm in diameter when mature. The plant grows slowly to moderately and maintains a neat, symmetrical shape. It stays low and compact, making it perfect for small pots, dish gardens, and windowsill displays. The thick, fleshy leaves are covered with a natural powdery coating (farina) that gives them their beautiful dusty blue appearance.
## Watering
- **Frequency:** Once every 10-15 days depending on season and weather conditions. Water more frequently during hot summer months and reduce watering during monsoon and winter.
- **Tips:** Always check if the soil is completely dry before watering. Water thoroughly until water drains from the bottom holes, then allow the soil to dry completely. Avoid getting water on the leaves as it can wash away the powdery coating. During monsoon season, water very sparingly or not at all if the plant is getting natural rain exposure. In winter, reduce watering to once every 3 weeks.
## Sunlight
- **Hours per day:** 4 to 6 hours
- **Type:** Bright indirect light or morning direct sunlight is ideal. Can tolerate some direct sun, but protect from harsh afternoon sun in peak summer (12 PM to 4 PM) as it can cause leaf burn. Filtered light through a window works perfectly for indoor plants.
## Care Tips
- Keep the plant in a well-ventilated area, especially during humid monsoon months to prevent fungal issues
- Avoid touching the leaves frequently as this removes the natural powdery coating that protects the plant
- Rotate the pot every few weeks to ensure even growth on all sides
- During Indian summers, provide shade during peak afternoon hours (12 PM to 4 PM)
- In monsoon season, bring outdoor plants under cover to prevent overwatering from rain
- The plant is sensitive to frost, so if you're in a cold region, bring it indoors during winter nights
- Clean dead leaves from the bottom regularly to prevent pest problems
## Growth Tips
- Use a well-draining succulent or cactus potting mix, or make your own by mixing regular soil with cocopeat and perlite or sand in equal parts
- Ensure pots have drainage holes to prevent water accumulation
- Fertilize sparingly â€“ once every 2-3 months during growing season (spring and autumn) with diluted liquid succulent fertilizer
- Repot every 2-3 years or when the plant outgrows its container
- Choose terracotta or clay pots as they allow better air circulation and help soil dry faster
- Propagate easily from leaf cuttings or offsets that appear at the base
- Allow leaf cuttings to callus over for 2-3 days before placing on soil
## Common Problems
- **Leaf rot or mushy leaves:** Caused by overwatering or water sitting on leaves. Reduce watering frequency
- **Stretched or elongated growth:** Not enough sunlight. Move to a brighter location with more light
- **Loss of powdery coating:** Too much touching or water splashing on leaves. Handle carefully and water at soil level
- **Yellowing leaves:** Usually a sign of overwatering. Let soil dry completely between waterings
- **Brown spots or sunburn:** Too much direct harsh sunlight. Provide filtered light or shade during peak hours
- **Mealybugs (white cottony insects):** Common pest problem. Remove with cotton swab dipped in rubbing alcohol
- **Root rot:** Caused by poor drainage or overwatering. Use well-draining soil and pots with holes
- **Shriveled leaves:** Underwatering. Give the plant a thorough drink and adjust watering schedule</t>
        </is>
      </c>
      <c r="V251" s="98">
        <f>HYPERLINK("https://rosaryplanthouse.com/plant/"&amp;A251&amp;"-"&amp;SUBSTITUTE(LOWER(E251), " ", "-"))</f>
        <v/>
      </c>
      <c r="W251" t="inlineStr">
        <is>
          <t>🟢 Pachyveria 'Power Puff' (ID: 250)  
🌿 Discover the beauty of the Pachyveria 'Power Puff'! This stunning hybrid succulent is a must-have for plant lovers! 🌼
With its gorgeous powdery blue-gray leaves arranged in a perfect rosette, this easy-to-care-for succulent brings a touch of elegance to any collection. A beautiful cross between Pachyphytum and Echeveria, it's designed to thrive and impress!
✨ **Key Details:**  
- **Watering:** Low, every 10-15 days  
- **Sunlight:** Medium, prefers bright indirect light  
- **Growth:** Compact rosette form, perfect for small spaces  
Ready to add this beauty to your home? 🌱✨  
👉 Link in bio  
#Pachyveria #PowerPuff #SucculentLovers #PlantGoals #IndoorPlants #PlantCollection #GreenThumb #SucculentCare #Houseplants #EcommercePlants #RosaryPlantHouse</t>
        </is>
      </c>
    </row>
    <row r="252" ht="99.5" customHeight="1">
      <c r="A252" s="94" t="n">
        <v>251</v>
      </c>
      <c r="B252" s="84" t="inlineStr">
        <is>
          <t>wandering jew Purple</t>
        </is>
      </c>
      <c r="C252" s="74">
        <f>IF(Local!H252,"1","0")</f>
        <v/>
      </c>
      <c r="D252" s="75" t="n">
        <v>69</v>
      </c>
      <c r="E252" s="66" t="inlineStr">
        <is>
          <t>Tradescantia zebrina</t>
        </is>
      </c>
      <c r="F252" s="76">
        <f>"public/sale_plants/"&amp;A252&amp;".jpg"</f>
        <v/>
      </c>
      <c r="G252" s="77" t="inlineStr">
        <is>
          <t>(3"-4")</t>
        </is>
      </c>
      <c r="H252" s="74" t="inlineStr">
        <is>
          <t>Moderate</t>
        </is>
      </c>
      <c r="I252" s="66" t="inlineStr">
        <is>
          <t>Medium</t>
        </is>
      </c>
      <c r="J252" s="66" t="inlineStr">
        <is>
          <t>Medium</t>
        </is>
      </c>
      <c r="K252" s="79" t="n">
        <v>99</v>
      </c>
      <c r="L252" s="81" t="inlineStr">
        <is>
          <t>Others</t>
        </is>
      </c>
      <c r="M252" s="80" t="n">
        <v>0</v>
      </c>
      <c r="N252" s="80" t="n">
        <v>1</v>
      </c>
      <c r="O252" s="81" t="n">
        <v>0</v>
      </c>
      <c r="P252" s="80" t="n">
        <v>0</v>
      </c>
      <c r="Q252" s="81">
        <f>IF(Local!I252=TRUE,1,0)</f>
        <v/>
      </c>
      <c r="R252" s="81">
        <f>Local!D252</f>
        <v/>
      </c>
      <c r="S252" s="81">
        <f>Local!F252</f>
        <v/>
      </c>
      <c r="T252" s="81">
        <f>Local!G252</f>
        <v/>
      </c>
      <c r="U252" s="83" t="inlineStr">
        <is>
          <t>## About
The Wandering Jew Violet is a beautiful trailing plant with stunning variegated leaves featuring silver, green, and purple stripes. This easy-to-grow houseplant is perfect for hanging baskets and adds a splash of color to any indoor space with its eye-catching foliage.
## Origin
Native to Mexico, Central America, and Colombia. It grows naturally in tropical forests as a ground cover plant under the shade of larger trees. The plant has adapted well to indoor conditions around the world and is now one of the most popular trailing houseplants.
## Temperature &amp; Humidity
- **Temperature Range:** 15Â°C to 30Â°C (thrives best between 20Â°C to 27Â°C)
- **Humidity:** Prefers moderate to high humidity levels between 40% to 60%. It can adapt to normal household humidity but grows more vigorously with higher moisture in the air. In dry Indian summers, occasional misting helps keep the leaves vibrant.
## Growth
This is a fast-growing trailing plant that can spread 30 to 60 cm in length within a growing season. The stems cascade beautifully, making it ideal for hanging planters or elevated shelves. The plant grows quickly when given proper light and water, with stems that can reach up to 1 meter or more if left unpruned. The leaves are oval-shaped, about 4-6 cm long, with striking purple undersides.
## Watering
- **Frequency:** Water once or twice a week depending on season, weather, and indoor conditions. Check soil moisture before watering.
- **Tips:** Keep the soil slightly moist but never waterlogged. During Indian summers, you may need to water more frequently, while in monsoon and winter, reduce watering. Let the top 2-3 cm of soil dry out between waterings. Use water at room temperature. Overwatering can cause root rot, while underwatering will make leaves dry and crispy.
## Sunlight
- **Hours per day:** 3 to 5 hours of bright indirect light
- **Type:** Bright indirect or filtered light works best. Some morning sun is beneficial but avoid harsh afternoon sun which can scorch the leaves and fade the beautiful colors. Too little light will cause the plant to lose its vibrant purple and silver variegation, making it mostly green.
## Care Tips
- Perfect for Indian homes as it adapts well to indoor temperatures
- During hot Indian summers (April-June), keep away from direct afternoon sun and increase humidity through misting
- In monsoon season, reduce watering frequency as humidity is naturally high
- Pinch back the growing tips regularly to encourage bushier growth and prevent legginess
- Wipe leaves occasionally with a damp cloth to remove dust and keep colors bright
- The plant can tolerate air conditioning but keep away from direct AC vents
- Propagation is very easy - just place stem cuttings in water and they will root within 1-2 weeks
## Growth Tips
- Use well-draining potting mix with equal parts of garden soil, cocopeat, and perlite or sand
- Feed with a balanced liquid fertilizer diluted to half strength once every 3-4 weeks during active growing season (spring and summer)
- During winter months (December-February), reduce or stop fertilizing
- Repot every 1-2 years or when the plant becomes root-bound, preferably in spring
- Prune regularly to maintain shape and promote fuller growth
- Use hanging baskets or pots with drainage holes to prevent waterlogging
- The plant responds well to organic compost mixed into the soil during repotting
## Common Problems
- **Leggy growth with sparse leaves:** Not enough light - move to a brighter location with indirect sunlight
- **Loss of purple and silver variegation, mostly green leaves:** Insufficient light - increase light exposure gradually
- **Brown, crispy leaf tips:** Low humidity or inconsistent watering - increase misting and maintain regular watering schedule
- **Yellow leaves:** Overwatering or poor drainage - allow soil to dry between waterings and check drainage holes
- **Root rot with mushy stems:** Too much water and poor drainage - reduce watering frequency and ensure pot has proper drainage
- **Aphids or spider mites:** Common in dry conditions - spray with neem oil solution or insecticidal soap
- **Leaves losing color and becoming pale:** Either too much direct sun or nutrient deficiency - adjust light exposure and fertilize regularly</t>
        </is>
      </c>
      <c r="V252" s="98">
        <f>HYPERLINK("https://rosaryplanthouse.com/plant/"&amp;A252&amp;"-"&amp;SUBSTITUTE(LOWER(E252), " ", "-"))</f>
        <v/>
      </c>
      <c r="W252" t="inlineStr">
        <is>
          <t>🟢 Wandering Jew Purple (ID: 251)
🌿 Meet the stunning **Tradescantia zebrina**, also known as the Wandering Jew Violet! This beautiful trailing plant features striking variegated leaves with mesmerizing silver, green, and purple stripes. Perfect for hanging baskets, it adds a vibrant splash of color to any indoor space! 
✨ **Key Details:**
- 🌞 **Light:** Thrives in bright, indirect light (3-5 hours daily)
- 💧 **Watering:** Keep soil slightly moist; water once or twice a week
- 🌱 **Growth:** Fast-growing with cascading stems, perfect for elevated displays
- 🌿 **Humidity:** Prefers moderate to high humidity for optimal growth
Don't miss out on this gorgeous addition to your plant collection! 🌱✨ **Link in bio** for more details!
#WanderingJew #TradescantiaZebrina #IndoorPlants #PlantLove #Houseplants #GreenThumb #PlantParent #HomeDecor #PlantCare #PlantGoals #RosaryPlantHouse #NatureLovers #HangingPlants #PlantAddict #PlantCommunity 🪴</t>
        </is>
      </c>
    </row>
    <row r="253" ht="99.5" customHeight="1">
      <c r="A253" s="94" t="n">
        <v>252</v>
      </c>
      <c r="B253" s="84" t="inlineStr">
        <is>
          <t>Propeller Plant</t>
        </is>
      </c>
      <c r="C253" s="74">
        <f>IF(Local!H253,"1","0")</f>
        <v/>
      </c>
      <c r="D253" s="75" t="n">
        <v>79</v>
      </c>
      <c r="E253" s="66" t="inlineStr">
        <is>
          <t>Senecio crassiflorus</t>
        </is>
      </c>
      <c r="F253" s="76">
        <f>"public/sale_plants/"&amp;A253&amp;".jpg"</f>
        <v/>
      </c>
      <c r="G253" s="77" t="inlineStr">
        <is>
          <t>(2"-3")</t>
        </is>
      </c>
      <c r="H253" s="78" t="inlineStr">
        <is>
          <t>Low</t>
        </is>
      </c>
      <c r="I253" s="66" t="inlineStr">
        <is>
          <t>Low</t>
        </is>
      </c>
      <c r="J253" s="66" t="inlineStr">
        <is>
          <t>High</t>
        </is>
      </c>
      <c r="K253" s="79" t="n">
        <v>120</v>
      </c>
      <c r="L253" s="80" t="inlineStr">
        <is>
          <t>Succulent</t>
        </is>
      </c>
      <c r="M253" s="80" t="n">
        <v>0</v>
      </c>
      <c r="N253" s="80" t="n">
        <v>0</v>
      </c>
      <c r="O253" s="81" t="n">
        <v>0</v>
      </c>
      <c r="P253" s="81" t="n">
        <v>0</v>
      </c>
      <c r="Q253" s="81">
        <f>IF(Local!I253=TRUE,1,0)</f>
        <v/>
      </c>
      <c r="R253" s="81">
        <f>Local!D253</f>
        <v/>
      </c>
      <c r="S253" s="81">
        <f>Local!F253</f>
        <v/>
      </c>
      <c r="T253" s="81">
        <f>Local!G253</f>
        <v/>
      </c>
      <c r="U253" s="83" t="inlineStr">
        <is>
          <t>## About
Senecio crassiflorus is a beautiful compact succulent with thick, fleshy, blue-green leaves that grow in an upright rosette pattern. Native to South Africa, this drought-tolerant plant is perfect for Indian homes and gardens due to its low maintenance needs and ability to thrive in hot, dry conditions.
## Origin
This plant originates from the Eastern Cape Province of South Africa, where it grows in rocky, arid regions. It is adapted to survive in poor soil conditions with minimal water, making it an excellent choice for hot and dry climates similar to many parts of India.
## Temperature &amp; Humidity
- **Temperature Range:** 15Â°C to 35Â°C
- **Humidity:** Prefers low to moderate humidity levels (30% to 50%). This plant tolerates dry air very well and does not require high humidity, making it ideal for most Indian climates, especially in drier regions.
## Growth
Senecio crassiflorus is a slow-growing succulent that forms a compact rosette, typically reaching 10 to 15 cm in height and 15 to 20 cm in width. The thick, cylindrical leaves grow vertically upward from the center, creating an attractive sculptural appearance. The plant remains relatively small and tidy, making it perfect for small pots, dish gardens, or as part of a succulent collection.
## Watering
- **Frequency:** Water once every 10 to 15 days depending on season and weather conditions. During monsoon or winter, water even less frequently.
- **Tips:** Always allow the soil to dry out completely between waterings. Water thoroughly until water drains from the bottom, then do not water again until soil is completely dry. Reduce watering significantly during winter months. Overwatering is the main cause of problems with this plant, so when in doubt, wait longer before watering. Use the "soak and dry" method for best results.
## Sunlight
- **Hours per day:** 4 to 6 hours
- **Type:** Prefers bright direct sunlight but can tolerate partial shade. In very hot Indian summers (above 40Â°C), provide some afternoon shade to prevent leaf burn. Morning sunlight is ideal. Can be grown indoors near a bright south or west-facing window.
## Care Tips
- Provide excellent drainage to prevent root rot, especially during monsoon season
- Protect from heavy rainfall by moving under shelter or providing rain cover
- In very hot summers (above 40Â°C), provide light afternoon shade
- Keep away from areas with standing water or poor air circulation
- The plant is very forgiving and can tolerate neglect better than excessive care
- Leaves may appear slightly wrinkled when thirsty, which is normal - this is the best time to water
- Avoid misting or getting water on leaves; water only the soil
## Growth Tips
- Use a well-draining cactus or succulent potting mix, or make your own by mixing regular potting soil with coarse sand and perlite in equal parts
- Add some small stones or grit to improve drainage further
- Fertilize very lightly only during the growing season (spring and early summer) with a diluted liquid succulent fertilizer once a month
- Repot every 2 to 3 years in spring, or when the plant outgrows its pot
- Use terracotta or clay pots which allow better air circulation and drainage compared to plastic pots
- Ensure pots have drainage holes at the bottom
## Common Problems
- **Root rot:** Caused by overwatering or poor drainage. Leaves become mushy and yellow. Solution: reduce watering and improve soil drainage
- **Shriveled leaves:** Usually caused by underwatering. Solution: water thoroughly and adjust watering schedule
- **Leggy growth:** Caused by insufficient light. Plant stretches toward light source. Solution: move to brighter location
- **Leaf burn or brown spots:** Caused by sudden exposure to intense afternoon sun in peak summer. Solution: provide filtered light during hottest part of day
- **Mealybugs:** White cottony pests that appear at leaf bases. Solution: remove with cotton swab dipped in rubbing alcohol
- **Fungal issues:** Rare, but can occur during humid monsoon season if air circulation is poor. Solution: improve ventilation and reduce watering</t>
        </is>
      </c>
      <c r="V253" s="98">
        <f>HYPERLINK("https://rosaryplanthouse.com/plant/"&amp;A253&amp;"-"&amp;SUBSTITUTE(LOWER(E253), " ", "-"))</f>
        <v/>
      </c>
      <c r="W253" t="inlineStr">
        <is>
          <t>🟢 Propeller Plant (ID: 252)
🌿 Ready to elevate your indoor garden? Meet the mesmerizing **Senecio crassiflorus**, better known as the Propeller Plant! This stunning succulent boasts thick, fleshy, blue-green leaves that form a unique rosette, perfect for adding a touch of sculptural beauty to any space. 
✨ Native to the rocky, arid landscapes of South Africa, this drought-tolerant gem thrives in hot, dry conditions, making it an ideal choice for Indian homes! With minimal maintenance needs and a charming compact growth, it’s perfect for small pots or succulent collections.
🔑 **Key Details:**
- 🌞 **Sunlight:** Prefers 4-6 hours of bright direct sunlight. 
- 💧 **Watering:** Low frequency; water every 10-15 days. 
- 🌵 **Care:** Excellent drainage is a must; very forgiving if neglected!
👉 Don’t miss out on adding this beauty to your collection! **Link in bio** to shop now! 
#PropellerPlant #SenecioCrassiflorus #SucculentLove #IndoorGarden #PlantParent #DroughtTolerant #PlantCare #SucculentCollection #RosaryPlantHouse #GreenThumb #HouseplantJoy #PlantLovers #HomeDecor #NatureInspires</t>
        </is>
      </c>
    </row>
    <row r="254" ht="99.5" customHeight="1">
      <c r="A254" s="94" t="n">
        <v>253</v>
      </c>
      <c r="B254" s="84" t="inlineStr">
        <is>
          <t>Baby sun rose variegated</t>
        </is>
      </c>
      <c r="C254" s="74">
        <f>IF(Local!H254,"1","0")</f>
        <v/>
      </c>
      <c r="D254" s="75" t="n">
        <v>59</v>
      </c>
      <c r="E254" s="66" t="inlineStr">
        <is>
          <t>Aptenia cordifolia 'Variegata'</t>
        </is>
      </c>
      <c r="F254" s="76">
        <f>"public/sale_plants/"&amp;A254&amp;".jpg"</f>
        <v/>
      </c>
      <c r="G254" s="77" t="inlineStr">
        <is>
          <t>(3"-4")</t>
        </is>
      </c>
      <c r="H254" s="78" t="inlineStr">
        <is>
          <t>High</t>
        </is>
      </c>
      <c r="I254" s="66" t="inlineStr">
        <is>
          <t>Low</t>
        </is>
      </c>
      <c r="J254" s="66" t="inlineStr">
        <is>
          <t>Medium</t>
        </is>
      </c>
      <c r="K254" s="79" t="n">
        <v>99</v>
      </c>
      <c r="L254" s="81" t="inlineStr">
        <is>
          <t>Others</t>
        </is>
      </c>
      <c r="M254" s="80" t="n">
        <v>0</v>
      </c>
      <c r="N254" s="80" t="n">
        <v>1</v>
      </c>
      <c r="O254" s="81" t="n">
        <v>0</v>
      </c>
      <c r="P254" s="80" t="n">
        <v>0</v>
      </c>
      <c r="Q254" s="81">
        <f>IF(Local!I254=TRUE,1,0)</f>
        <v/>
      </c>
      <c r="R254" s="81">
        <f>Local!D254</f>
        <v/>
      </c>
      <c r="S254" s="81">
        <f>Local!F254</f>
        <v/>
      </c>
      <c r="T254" s="81">
        <f>Local!G254</f>
        <v/>
      </c>
      <c r="U254" s="83" t="inlineStr">
        <is>
          <t>## About
The Variegated Baby Sun Rose is a beautiful trailing succulent with soft, fleshy leaves that have attractive creamy-white edges surrounding a green center. This easy-to-grow plant is perfect for hanging baskets, ground cover, or as a cascading addition to your succulent collection. It produces pretty pink or purple flowers during the growing season.
## Origin
This plant is native to South Africa, where it grows naturally in rocky, dry areas. The variegated form has been cultivated for ornamental use and is now popular worldwide for its decorative foliage and low-maintenance nature.
## Temperature &amp; Humidity
- **Temperature Range:** 15Â°C to 35Â°C
- **Humidity:** This plant tolerates low to moderate humidity levels (30% to 50%). It adapts well to most Indian climate conditions, from coastal regions to drier inland areas. It is not frost-tolerant, so protect it during cold winters in northern India.
## Growth
The Variegated Baby Sun Rose is a fast-growing, spreading succulent that can trail up to 30-60 cm in length. It grows low to the ground and spreads horizontally, making it excellent as a ground cover or for hanging containers. The plant produces multiple stems that branch out and cascade beautifully. Its growth is more vigorous during warmer months (spring and summer) and slows down during winter.
## Watering
- **Frequency:** Water once every 10-14 days depending on season and weather conditions. During monsoon or cooler months, reduce watering frequency.
- **Tips:** Allow the soil to dry out completely between waterings. The thick, fleshy leaves store water, so the plant is very drought-tolerant. Overwatering is the most common mistakeâ€”always check if the soil is dry before watering. Water less in winter and during humid, rainy seasons. Water at the base of the plant, avoiding wetting the leaves to prevent rot.
## Sunlight
- **Hours per day:** 4 to 6 hours
- **Type:** Bright indirect light to partial direct sunlight. The plant can tolerate some direct morning or evening sun, but protect it from intense afternoon sun in summer, which can scorch the variegated leaves. Indoors, place near a bright window.
## Care Tips
- Perfect for beginners as it requires minimal attention
- The variegated leaves are more delicate than the regular green variety, so provide some shade during peak summer
- Ideal for balconies, terraces, and windowsills across India
- Can be grown both indoors and outdoors
- During monsoon season, ensure good drainage and reduce watering to prevent root rot
- Prune occasionally to maintain shape and encourage bushier growth
- The plant may lose some variegation if kept in too much shadeâ€”provide adequate light to maintain the cream-colored edges
## Growth Tips
- **Soil:** Use a well-draining succulent or cactus mix. You can make your own by mixing regular potting soil with sand and perlite in equal parts
- **Fertilizer:** Feed once a month during the growing season (March to September) with a diluted liquid succulent fertilizer or balanced NPK fertilizer (10:10:10)
- **Repotting:** Repot once every 2 years or when the plant outgrows its container. Spring is the best time for repotting
- **Propagation:** Very easy to propagate from stem cuttings. Simply cut a healthy stem, let it dry for a day, and plant in moist soil
- Use pots with drainage holes to prevent waterlogging
## Common Problems
- **Leaf drop or soft, mushy leaves:** Sign of overwatering or root rot. Reduce watering immediately and check drainage
- **Yellowing leaves:** Usually caused by too much water or poor drainage
- **Loss of variegation:** Not enough light. Move the plant to a brighter location
- **Leggy growth with stretched stems:** Insufficient light. Provide more sunlight to keep the plant compact
- **Brown, crispy leaf edges:** Too much direct harsh sunlight or underwatering
- **Pests:** Occasionally affected by mealybugs or aphids. Treat with neem oil spray or insecticidal soap
- **No flowers:** May need more sunlight or fertilizer to encourage blooming
- **Stem rot:** Caused by excessive moisture and poor air circulation, especially during monsoon</t>
        </is>
      </c>
      <c r="V254" s="98">
        <f>HYPERLINK("https://rosaryplanthouse.com/plant/"&amp;A254&amp;"-"&amp;SUBSTITUTE(LOWER(E254), " ", "-"))</f>
        <v/>
      </c>
      <c r="W254" t="inlineStr">
        <is>
          <t>🟢 Aptenia cordifolia 'Variegata' (ID: 253)
🌞 Meet the stunning **Baby Sun Rose Variegated**! This gorgeous trailing succulent will add a touch of elegance to your space with its unique creamy-white edges and vibrant green center. Perfect for hanging baskets or as a cascading feature in your succulent collection!
✨ **About the Plant**: Native to South Africa, this beauty thrives in dry, rocky conditions and is celebrated for its low-maintenance charm. Watch out for its delightful pink or purple flowers during the growing season!
🌱 **Key Care Details**:
- **Watering**: Low frequency, every 10-14 days. Let it dry out completely between waterings.
- **Sunlight**: Enjoys bright indirect light to partial direct sunlight for about 4-6 hours daily.
- **Ideal for**: Beginners and perfect for balconies, terraces, and windowsills!
👉 Ready to add this beauty to your home? **Link in bio!**
#BabySunRose #ApteniaCordifolia #SucculentLove #HangingPlants #PlantParents #IndoorGarden #PlantCare #SucculentCare #GreenThumb #RosaryPlantHouse #SucculentCollection #PlantLovers #HomeDecor #GardenGoals 🌿✨</t>
        </is>
      </c>
    </row>
    <row r="255" ht="99.5" customHeight="1">
      <c r="A255" s="94" t="n">
        <v>254</v>
      </c>
      <c r="B255" s="84" t="inlineStr">
        <is>
          <t>Red Spring Leaves</t>
        </is>
      </c>
      <c r="C255" s="74">
        <f>IF(Local!H255,"1","0")</f>
        <v/>
      </c>
      <c r="D255" s="75" t="n">
        <v>59</v>
      </c>
      <c r="E255" s="66" t="inlineStr">
        <is>
          <t>Leucothoe fontanesiana 'Red'</t>
        </is>
      </c>
      <c r="F255" s="76">
        <f>"public/sale_plants/"&amp;A255&amp;".jpg"</f>
        <v/>
      </c>
      <c r="G255" s="77" t="inlineStr">
        <is>
          <t>(2"-3")</t>
        </is>
      </c>
      <c r="H255" s="78" t="inlineStr">
        <is>
          <t>High</t>
        </is>
      </c>
      <c r="I255" s="66" t="inlineStr">
        <is>
          <t>Medium</t>
        </is>
      </c>
      <c r="J255" s="66" t="inlineStr">
        <is>
          <t>Medium</t>
        </is>
      </c>
      <c r="K255" s="79" t="n">
        <v>69</v>
      </c>
      <c r="L255" s="81" t="inlineStr">
        <is>
          <t>Others</t>
        </is>
      </c>
      <c r="M255" s="80" t="n">
        <v>0</v>
      </c>
      <c r="N255" s="80" t="n">
        <v>0</v>
      </c>
      <c r="O255" s="81" t="n">
        <v>0</v>
      </c>
      <c r="P255" s="80" t="n">
        <v>0</v>
      </c>
      <c r="Q255" s="81">
        <f>IF(Local!I255=TRUE,1,0)</f>
        <v/>
      </c>
      <c r="R255" s="81">
        <f>Local!D255</f>
        <v/>
      </c>
      <c r="S255" s="81">
        <f>Local!F255</f>
        <v/>
      </c>
      <c r="T255" s="81">
        <f>Local!G255</f>
        <v/>
      </c>
      <c r="U255" s="83" t="inlineStr">
        <is>
          <t>## About
Red Leucothoe is a beautiful ornamental shrub known for its stunning red to burgundy foliage that creates a dramatic display in gardens and containers. This compact evergreen plant features arching branches with elongated leaves that change color with the seasons, making it a favorite among plant lovers who enjoy colorful foliage.
## Origin
Red Leucothoe is a cultivated variety that originates from the southeastern United States. It naturally grows in woodland areas and mountain slopes where it thrives in shaded, moist environments. The plant has been bred for its ornamental qualities, particularly its vibrant red coloring.
## Temperature &amp; Humidity
- **Temperature Range:** 15Â°C to 30Â°C (prefers cooler temperatures)
- **Humidity:** Moderate to high humidity levels, around 50% to 70%. The plant enjoys humid conditions similar to its native forest habitat and will do well in Indian climates during monsoon and winter seasons.
## Growth
Red Leucothoe is a slow to moderate-growing shrub that typically reaches a height of 60 to 90 cm and can spread up to 90 to 120 cm wide. It has an arching, mounding growth habit with gracefully drooping branches. The leaves are lance-shaped and can grow 8 to 15 cm long. New growth emerges in brilliant shades of red, pink, and burgundy, while older leaves may turn darker or greenish-bronze depending on light conditions and seasons.
## Watering
- **Frequency:** Once or twice a week depending on season, weather conditions, and soil moisture. During hot Indian summers, water more frequently; reduce during monsoons and winter.
- **Tips:** Keep the soil consistently moist but not waterlogged. The plant prefers evenly moist conditions and does not tolerate drought well. Check the top 2-3 cm of soil - water when it feels slightly dry. Use room temperature water and avoid chlorinated water if possible. Good drainage is essential to prevent root rot.
## Sunlight
- **Hours per day:** 3 to 5 hours
- **Type:** Bright indirect light or filtered morning sunlight with afternoon shade. The plant can tolerate partial shade to dappled sunlight. Too much direct harsh sunlight can scorch the leaves, while too little light may cause the red color to fade.
## Care Tips
- Place in a location with bright indirect light for best color development
- Protect from harsh afternoon sun, especially during Indian summers (April-June)
- Maintain good air circulation around the plant to prevent fungal issues
- Mist the leaves occasionally during dry periods to increase humidity
- Keep away from direct air conditioning vents or heaters
- The plant can be kept indoors near east or north-facing windows
- In hot climates, provide extra shade during peak summer months
- Mulch around the base to retain moisture and keep roots cool
## Growth Tips
- **Soil:** Use well-draining, acidic soil with pH 5.5 to 6.5. A mix of peat moss, cocopeat, perlite, and compost works well
- **Fertilizer:** Feed with a balanced liquid fertilizer diluted to half strength once a month during the growing season (spring and monsoon). Use an acid-loving plant fertilizer for best results
- **Repotting:** Repot every 2 to 3 years in spring when the plant becomes root-bound. Choose a pot only slightly larger than the current one
- **Pruning:** Prune lightly after flowering to maintain shape and remove dead or damaged branches. This encourages bushier growth
- **Propagation:** Can be propagated through semi-hardwood cuttings taken in late summer
## Common Problems
- **Leaf browning or scorching:** Caused by too much direct sunlight or low humidity
- **Yellow leaves:** May indicate overwatering, poor drainage, or alkaline soil
- **Fading leaf color:** Insufficient light or incorrect soil pH
- **Root rot:** Result of waterlogged soil or poor drainage
- **Fungal spots:** High humidity with poor air circulation; common during monsoons
- **Pest issues:** Can be affected by scale insects, aphids, or spider mites in dry conditions
- **Wilting despite moist soil:** May indicate root rot or overfertilization
- **Slow growth:** Usually due to incorrect soil pH or insufficient nutrients</t>
        </is>
      </c>
      <c r="V255" s="98">
        <f>HYPERLINK("https://rosaryplanthouse.com/plant/"&amp;A255&amp;"-"&amp;SUBSTITUTE(LOWER(E255), " ", "-"))</f>
        <v/>
      </c>
      <c r="W255" t="inlineStr">
        <is>
          <t>🟢 Leucothoe fontanesiana 'Red' (ID: 254)
🌿 Ready to add a splash of color to your garden? Meet the stunning Red Spring Leaves! This ornamental beauty is a favorite among plant lovers, showcasing vibrant red to burgundy foliage that transforms with the seasons. 
✨ About: The Red Leucothoe is a compact evergreen shrub, perfect for adding drama to your plant collection. With arching branches and elongated leaves, it's sure to be a showstopper in gardens or containers!
🔑 Key Details: 
- **Watering:** Medium, with a preference for consistently moist soil.
- **Sunlight:** Thrives in bright indirect light; protect from harsh afternoon sun.
- **Growth:** Slow to moderate growth with colorful new foliage emerging in shades of red, pink, and burgundy.
🌱 Bring home this eye-catching plant and elevate your space! 🌸 
👉 Link in bio for more!
#Leucothoe #RedSpringLeaves #PlantLovers #PlantParent #Gardening #IndoorPlants #OutdoorPlants #HomeDecor #PlantGoals #GreenThumb #PlantCare #RosaryPlantHouse</t>
        </is>
      </c>
    </row>
    <row r="256" ht="99.5" customHeight="1">
      <c r="A256" s="94" t="n">
        <v>255</v>
      </c>
      <c r="B256" s="84" t="inlineStr">
        <is>
          <t>Stone Brown Big</t>
        </is>
      </c>
      <c r="C256" s="74">
        <f>IF(Local!H256,"1","0")</f>
        <v/>
      </c>
      <c r="D256" s="75" t="n">
        <v>79</v>
      </c>
      <c r="E256" s="66" t="inlineStr">
        <is>
          <t>Haworthia cymbiformis</t>
        </is>
      </c>
      <c r="F256" s="76">
        <f>"public/sale_plants/"&amp;A256&amp;".jpg"</f>
        <v/>
      </c>
      <c r="G256" s="77" t="inlineStr">
        <is>
          <t>(3"-4")</t>
        </is>
      </c>
      <c r="H256" s="95" t="inlineStr">
        <is>
          <t>Low</t>
        </is>
      </c>
      <c r="I256" s="66" t="inlineStr">
        <is>
          <t>Low</t>
        </is>
      </c>
      <c r="J256" s="66" t="inlineStr">
        <is>
          <t>Medium</t>
        </is>
      </c>
      <c r="K256" s="79" t="n">
        <v>199</v>
      </c>
      <c r="L256" s="81" t="inlineStr">
        <is>
          <t>Haworthia</t>
        </is>
      </c>
      <c r="M256" s="81" t="n">
        <v>0</v>
      </c>
      <c r="N256" s="80" t="n">
        <v>0</v>
      </c>
      <c r="O256" s="81" t="n">
        <v>0</v>
      </c>
      <c r="P256" s="81" t="n">
        <v>0</v>
      </c>
      <c r="Q256" s="81">
        <f>IF(Local!I256=TRUE,1,0)</f>
        <v/>
      </c>
      <c r="R256" s="81">
        <f>Local!D256</f>
        <v/>
      </c>
      <c r="S256" s="81">
        <f>Local!F256</f>
        <v/>
      </c>
      <c r="T256" s="81">
        <f>Local!G256</f>
        <v/>
      </c>
      <c r="U256" s="83" t="inlineStr">
        <is>
          <t>## About
Haworthia cymbiformis, commonly known as Cathedral Window Haworthia, is a beautiful small succulent with translucent, boat-shaped leaves that form attractive rosettes. This plant is native to South Africa and is very popular among plant collectors for its unique appearance and easy care requirements.
## Origin
This plant originates from the Eastern Cape Province of South Africa, where it grows naturally in rocky areas with partial shade. It is adapted to survive in dry conditions with minimal water and protection from intense afternoon sun.
## Temperature &amp; Humidity
- **Temperature Range:** 15Â°C to 35Â°C (ideal range is 18Â°C to 28Â°C)
- **Humidity:** This plant tolerates low to moderate humidity levels, typically 30% to 50%. It does well in normal Indian household humidity and does not require any special humid conditions. In fact, it prefers drier air and can suffer in very humid conditions during monsoon if not given proper air circulation.
## Growth
Haworthia cymbiformis is a slow-growing succulent that typically reaches 8 to 12 cm in height and spreads about 10 to 15 cm wide. It grows in compact rosettes that can produce offsets (baby plants) around the base, eventually forming small clusters. The leaves are thick, fleshy, and have transparent "windows" on their tips that allow light to penetrate. Growth is slowest during hot Indian summers and fastest during cooler months from October to March.
## Watering
- **Frequency:** Once every 10-15 days depending on season and weather conditions. Water less in monsoon and winter, slightly more during hot, dry summer months.
- **Tips:** Always let the soil dry out completely between waterings. Water thoroughly but ensure excess water drains out completely. Avoid getting water on the leaves or in the center of the rosette as this can cause rot. Reduce watering significantly during the monsoon season. Use the "soak and dry" method for best results.
## Sunlight
- **Hours per day:** 3 to 4 hours
- **Type:** Bright indirect light or filtered morning sun. Avoid harsh afternoon sun which can burn the leaves and turn them brown or reddish. East-facing windows are ideal. In Indian climate, protect from direct summer afternoon sun (12 PM to 4 PM).
## Care Tips
- Keep the plant in a well-ventilated spot, especially during humid monsoon months to prevent fungal issues
- Avoid placing near air conditioner vents or in areas with sudden temperature changes
- Clean the leaves gently with a soft brush to remove dust and maintain their translucent beauty
- During Indian summers (April-June), move the plant to a slightly shadier spot if leaves start browning
- In winter, reduce watering drastically as the plant goes into a semi-dormant state
- This plant is perfect for small spaces, desks, and windowsills
- Group with other succulents for an attractive mini garden display
## Growth Tips
- Use a well-draining succulent or cactus potting mix; add extra perlite or coarse sand (50% potting mix + 30% perlite + 20% coarse sand)
- Choose pots with drainage holes; terracotta pots work excellently as they allow soil to dry faster
- Fertilize sparingly - once every 2 to 3 months during the growing season (October to March) with diluted liquid succulent fertilizer at half strength
- Repot every 2 to 3 years or when the plant outgrows its pot, preferably during early spring or autumn
- When repotting, gently separate offsets to propagate new plants
- Allow the plant to settle for a week after repotting before watering
## Common Problems
- **Leaf rot or mushy leaves:** Caused by overwatering or water sitting in the rosette center. Always ensure proper drainage and avoid overhead watering
- **Brown or reddish leaves:** Result of too much direct sunlight or sunburn. Move to a shadier location with filtered light
- **Stretched or elongated growth:** Indicates insufficient light. Move the plant to a brighter spot with more indirect light
- **Shriveled or wrinkled leaves:** Sign of underwatering. Water thoroughly and establish a more regular watering schedule
- **White cottony spots:** Mealybugs are common pests. Remove with cotton swabs dipped in rubbing alcohol
- **Soft, blackened base:** Root rot from excessive moisture. This is serious and may require removing the plant, cutting away rot, and repropagating healthy parts
- **Slow or no growth:** Normal during hot summer months or if the plant needs fresh soil and nutrients</t>
        </is>
      </c>
      <c r="V256" s="98">
        <f>HYPERLINK("https://rosaryplanthouse.com/plant/"&amp;A256&amp;"-"&amp;SUBSTITUTE(LOWER(E256), " ", "-"))</f>
        <v/>
      </c>
      <c r="W256" t="inlineStr">
        <is>
          <t>🟢 Haworthia cymbiformis (ID: 255)  
🌟 Meet the Stone Brown Big! 🌟
This unique beauty, also known as Cathedral Window Haworthia, is a succulent lover's dream! 🌱 With its stunning translucent, boat-shaped leaves forming charming rosettes, this plant will bring a touch of the Eastern Cape of South Africa right into your home. 🌍✨ 
🌿 **Key Details:**  
- **Watering:** Low - just once every 10-15 days! 💧  
- **Sunlight:** Medium - thrives in bright indirect light! ☀️  
- **Humidity:** Adapts well to normal household conditions. 🌬️  
Perfect for small spaces and those new to plant parenting, this low-maintenance succulent is a must-have for your collection! 🏡💚 
👉 Discover more and add this gem to your home! Link in bio. 
#Haworthia #SucculentLove #PlantParenthood #IndoorPlants #GreenThumb #PlantAddict #Houseplants #SucculentCare #PlantLovers #RosaryPlantHouse</t>
        </is>
      </c>
    </row>
    <row r="257" ht="99.5" customHeight="1">
      <c r="A257" s="94" t="n">
        <v>256</v>
      </c>
      <c r="B257" s="84" t="inlineStr">
        <is>
          <t>White Aloe(S-L) (Big)</t>
        </is>
      </c>
      <c r="C257" s="74">
        <f>IF(Local!H257,"1","0")</f>
        <v/>
      </c>
      <c r="D257" s="75" t="n">
        <v>79</v>
      </c>
      <c r="E257" s="66" t="inlineStr">
        <is>
          <t>Aloe brevifolia</t>
        </is>
      </c>
      <c r="F257" s="76">
        <f>"public/sale_plants/"&amp;A257&amp;".jpg"</f>
        <v/>
      </c>
      <c r="G257" s="77" t="inlineStr">
        <is>
          <t>(4"-6")</t>
        </is>
      </c>
      <c r="H257" s="95" t="inlineStr">
        <is>
          <t>Low</t>
        </is>
      </c>
      <c r="I257" s="66" t="inlineStr">
        <is>
          <t>Low</t>
        </is>
      </c>
      <c r="J257" s="66" t="inlineStr">
        <is>
          <t>High</t>
        </is>
      </c>
      <c r="K257" s="79" t="n">
        <v>199</v>
      </c>
      <c r="L257" s="81" t="inlineStr">
        <is>
          <t>Aloe</t>
        </is>
      </c>
      <c r="M257" s="81" t="n">
        <v>1</v>
      </c>
      <c r="N257" s="80" t="n">
        <v>0</v>
      </c>
      <c r="O257" s="81" t="n">
        <v>0</v>
      </c>
      <c r="P257" s="80" t="n">
        <v>0</v>
      </c>
      <c r="Q257" s="81">
        <f>IF(Local!I257=TRUE,1,0)</f>
        <v/>
      </c>
      <c r="R257" s="81">
        <f>Local!D257</f>
        <v/>
      </c>
      <c r="S257" s="81">
        <f>Local!F257</f>
        <v/>
      </c>
      <c r="T257" s="81">
        <f>Local!G257</f>
        <v/>
      </c>
      <c r="U257" s="83" t="inlineStr">
        <is>
          <t>## About
Short-leaved Aloe is a beautiful compact succulent that forms tight rosettes of thick, grey-green leaves with distinctive toothed edges. This hardy plant is native to South Africa and is perfect for Indian gardens and homes due to its low maintenance requirements and ability to tolerate heat.
## Origin
This plant originates from the Cape Province region of South Africa, where it grows naturally in rocky, well-drained areas. It is adapted to survive in dry conditions with minimal water, making it an excellent choice for hot and semi-arid regions of India.
## Temperature &amp; Humidity
- **Temperature Range:** 15Â°C to 35Â°C (can tolerate up to 40Â°C in summer)
- **Humidity:** Prefers low to moderate humidity (30% to 50%). It adapts well to the dry climate of North India and humid conditions of coastal areas, as long as drainage is good.
## Growth
Short-leaved Aloe is a slow-growing plant that typically reaches 10-15 cm in height and spreads about 20-30 cm wide. It grows in compact rosette formations and produces offsets (pups) freely, creating attractive clusters over time. The plant remains small and neat, making it ideal for pots, rock gardens, and small spaces.
## Watering
- **Frequency:** Once every 10-15 days depending on season and weather conditions. During monsoon, reduce watering significantly or stop altogether.
- **Tips:** Always let the soil dry out completely between waterings. Water less in winter (once every 3 weeks) and slightly more in hot summer months. Avoid getting water in the center of the rosette to prevent rot. Overwatering is the biggest enemy of this plant.
## Sunlight
- **Hours per day:** 4 to 6 hours
- **Type:** Direct sunlight is best, but it can tolerate bright indirect light. Morning sun is ideal in extremely hot regions. In areas with harsh afternoon sun above 40Â°C, provide some shade during peak hours (12 PM to 3 PM).
## Care Tips
- Perfect for beginners as it requires very little attention
- The leaves may turn slightly pinkish or reddish in strong sunlight, which is normal and attractive
- Keep in terracotta pots for better drainage and air circulation
- Protect from heavy monsoon rains by moving potted plants under a roof or shade
- Can survive mild neglect and missed watering schedules
- Remove dried lower leaves occasionally to keep the plant tidy
- Watch for offsets and separate them to propagate new plants
## Growth Tips
- Use well-draining cactus or succulent mix (60% regular soil + 30% cocopeat + 10% sand or perlite)
- Add a handful of neem cake or vermicompost once every 3-4 months during growing season (spring and summer)
- Fertilize sparingly - once every 2 months with diluted liquid fertilizer during active growth
- Repot every 2-3 years or when the plant becomes root-bound
- Choose pots with drainage holes - this is mandatory
- A top dressing of small pebbles or gravel helps prevent stem rot and looks attractive
## Common Problems
- **Root rot:** Caused by overwatering or poor drainage. Leaves become soft and mushy. Solution: reduce watering and improve soil drainage.
- **Leaf browning or drying:** Usually due to underwatering in extreme heat or too much direct afternoon sun. Provide some shade and water adequately.
- **Stretched growth (etiolation):** Happens when the plant doesn't get enough light. Move to a brighter location.
- **Mealybugs:** White cottony pests may appear between leaves. Remove with cotton swab dipped in neem oil or rubbing alcohol.
- **Fungal issues:** Can occur during monsoon if drainage is poor. Ensure pots drain well and avoid overhead watering.</t>
        </is>
      </c>
      <c r="V257" s="98">
        <f>HYPERLINK("https://rosaryplanthouse.com/plant/"&amp;A257&amp;"-"&amp;SUBSTITUTE(LOWER(E257), " ", "-"))</f>
        <v/>
      </c>
      <c r="W257" t="inlineStr">
        <is>
          <t>🟢 Aloe brevifolia (ID: 256)  
🌿 Looking for a low-maintenance beauty to brighten up your space? Meet the stunning White Aloe! This charming succulent is not just easy to care for, but also a delightful addition to any indoor or outdoor garden.  
✨ With its thick, grey-green leaves and unique rosette formation, this hardy plant thrives in the heat and requires minimal watering! Perfect for beginners, it can tolerate periods of neglect while still looking fabulous!  
🌞 **Key Details:**  
- 🌱 **Watering:** Low (once every 10-15 days)  
- ☀️ **Sunlight:** High (4-6 hours of direct sunlight)  
- 🌍 **Origin:** Native to South Africa, perfectly adapted for Indian climates  
👉 Ready to add this gorgeous plant to your collection? Check out the link in bio!  
#AloeBrevifolia #WhiteAloe #SucculentLove #PlantParent #IndoorPlants #GardenGoals #LowMaintenancePlants #RosaryPlantHouse #GreenThumb #PlantAddict #HomeDecor #SucculentArrangement #PlantCare #HousePlants #GardeningLife #SucculentGarden</t>
        </is>
      </c>
    </row>
    <row r="258" ht="99.5" customHeight="1">
      <c r="A258" s="94" t="n">
        <v>257</v>
      </c>
      <c r="B258" s="84" t="inlineStr">
        <is>
          <t>Diamond cactus</t>
        </is>
      </c>
      <c r="C258" s="74">
        <f>IF(Local!H258,"1","0")</f>
        <v/>
      </c>
      <c r="D258" s="75" t="n">
        <v>120</v>
      </c>
      <c r="E258" s="66" t="inlineStr">
        <is>
          <t>Mammillaria sonorensis</t>
        </is>
      </c>
      <c r="F258" s="76">
        <f>"public/sale_plants/"&amp;A258&amp;".jpg"</f>
        <v/>
      </c>
      <c r="G258" s="77" t="inlineStr">
        <is>
          <t>(2"-3")</t>
        </is>
      </c>
      <c r="H258" s="95" t="inlineStr">
        <is>
          <t>Low</t>
        </is>
      </c>
      <c r="I258" s="66" t="inlineStr">
        <is>
          <t>Low</t>
        </is>
      </c>
      <c r="J258" s="66" t="inlineStr">
        <is>
          <t>High</t>
        </is>
      </c>
      <c r="K258" s="79" t="n">
        <v>120</v>
      </c>
      <c r="L258" s="81" t="inlineStr">
        <is>
          <t>Cactus</t>
        </is>
      </c>
      <c r="M258" s="81" t="n">
        <v>0</v>
      </c>
      <c r="N258" s="80" t="n">
        <v>0</v>
      </c>
      <c r="O258" s="81" t="n">
        <v>0</v>
      </c>
      <c r="P258" s="80" t="n">
        <v>0</v>
      </c>
      <c r="Q258" s="81">
        <f>IF(Local!I258=TRUE,1,0)</f>
        <v/>
      </c>
      <c r="R258" s="81">
        <f>Local!D258</f>
        <v/>
      </c>
      <c r="S258" s="81">
        <f>Local!F258</f>
        <v/>
      </c>
      <c r="T258" s="81">
        <f>Local!G258</f>
        <v/>
      </c>
      <c r="U258" s="83" t="inlineStr">
        <is>
          <t>## About
Mammillaria sonorensis, commonly known as the Sonoran Pincushion Cactus, is a small, round cactus covered with white spines and soft white woolly hair. This beautiful cactus is loved by collectors for its compact size and attractive appearance with hooked central spines.
## Origin
This cactus is native to the Sonoran Desert region of northwestern Mexico and southern Arizona. It grows naturally in rocky, well-drained desert soils at elevations between 300 to 1200 meters. The plant has adapted to survive in hot, dry conditions with minimal rainfall.
## Temperature &amp; Humidity
- **Temperature Range:** 15Â°C to 35Â°C (can tolerate up to 40Â°C in summer)
- **Humidity:** Prefers low humidity levels between 20% to 40%. This desert cactus thrives in dry conditions and does well in most Indian climates, especially in drier regions. During monsoon season, protect from excess moisture.
## Growth
Mammillaria sonorensis is a slow-growing cactus that typically reaches 8 to 12 cm in height and about 6 to 10 cm in diameter. It grows in a solitary, spherical to slightly cylindrical shape. The plant may produce small offsets (pups) at the base as it matures, creating small clusters over time. The body is covered with tubercles arranged in spiral patterns, each bearing a cluster of radial spines and hooked central spines.
## Watering
- **Frequency:** Once every two weeks during growing season (spring and summer) depending on temperature and pot drying time. Reduce to once a month or less in winter.
- **Tips:** Always check if the soil is completely dry before watering. Water thoroughly until water drains from the bottom, then allow to dry completely. During monsoon, reduce watering significantly. Overwatering is the biggest enemy of this cactus. Use the soak and dry method for best results.
## Sunlight
- **Hours per day:** 4 to 6 hours
- **Type:** Direct morning sunlight is ideal. Can tolerate partial afternoon sun but protect from intense summer afternoon rays (above 40Â°C). In Indian summers, provide some shade during peak afternoon hours (12 PM to 3 PM) to prevent sunburn.
## Care Tips
- Place in a location with good air circulation to prevent fungal issues during humid months
- During Indian monsoon season, move the plant to a covered area or reduce watering to prevent root rot
- The white wool and spines may collect dust; gently blow or use a soft brush to clean
- Avoid touching the hooked spines as they can catch on skin and clothing
- In extreme summer heat above 40Â°C, provide partial afternoon shade
- Can be grown outdoors year-round in most Indian cities except during heavy monsoon
- Winter rest period (November to February) is important for flowering
## Growth Tips
- Use well-draining cactus mix: combine regular potting soil with coarse sand and perlite in 1:1:1 ratio
- Add small pieces of pumice or brick chips for extra drainage
- Use terracotta or clay pots as they allow soil to dry faster than plastic
- Fertilize only during growing season (March to September) with diluted cactus fertilizer once every 4 to 6 weeks
- Repot every 2 to 3 years in spring, using a slightly larger pot
- Use a pot with drainage holes - this is absolutely essential
- Add a top layer of small pebbles or gravel for aesthetic look and to keep the base dry
## Common Problems
- **Root rot:** Caused by overwatering or poor drainage. Stems become soft and discolored
- **Sunburn:** Brown or yellow patches appear if exposed to too intense afternoon sun suddenly
- **Etiolation (stretching):** The plant becomes elongated and loses its compact shape due to insufficient light
- **Mealybugs:** White cottony pests that hide between tubercles and in the woolly areas. Remove with cotton swab dipped in rubbing alcohol
- **Scale insects:** Small brown bumps on the plant body, suck sap from the cactus
- **Shriveling:** Usually indicates underwatering or damaged roots. Check root health
- **No flowers:** Lack of winter rest period or insufficient light can prevent flowering
- **Fungal spots:** Caused by high humidity and poor air circulation, especially during monsoon</t>
        </is>
      </c>
      <c r="V258" s="98">
        <f>HYPERLINK("https://rosaryplanthouse.com/plant/"&amp;A258&amp;"-"&amp;SUBSTITUTE(LOWER(E258), " ", "-"))</f>
        <v/>
      </c>
      <c r="W258" t="inlineStr">
        <is>
          <t>🟢 Diamond Cactus (ID: 257)
🌵 Get ready to elevate your plant game with the stunning Mammillaria sonorensis, also known as the Diamond Cactus! This compact beauty is perfect for both seasoned collectors and plant newbies alike. 
🌞 Native to the arid landscapes of the Sonoran Desert, this cactus thrives in high sunlight and low humidity, making it an ideal choice for those sunny spots in your home! Its unique white spines and soft woolly hair add a touch of elegance to any space, while its slow growth keeps it manageable and charming.
✨ **Key Details:**
- **Watering:** Low frequency, only when the soil is completely dry
- **Sunlight:** Loves 4-6 hours of direct morning sun
- **Care Tip:** Perfect for outdoor spaces year-round, just protect from heavy monsoons!
👉 Ready to bring home this desert gem? Link in bio!
#CactusOfTheDay #MammillariaSonorensis #PlantLovers #HomeDecor #DesertPlants #IndoorGarden #GreenThumb #RosaryPlantHouse #PlantParent #SucculentLove #CactusCare #PlantAddict #NatureInspires</t>
        </is>
      </c>
    </row>
    <row r="259" ht="99.5" customHeight="1">
      <c r="A259" s="94" t="n">
        <v>258</v>
      </c>
      <c r="B259" s="84" t="inlineStr">
        <is>
          <t>Aloe Delta Light</t>
        </is>
      </c>
      <c r="C259" s="74">
        <f>IF(Local!H259,"1","0")</f>
        <v/>
      </c>
      <c r="D259" s="75" t="n">
        <v>79</v>
      </c>
      <c r="E259" s="66" t="inlineStr">
        <is>
          <t>Aloe 'Delta Lights'</t>
        </is>
      </c>
      <c r="F259" s="76">
        <f>"public/sale_plants/"&amp;A259&amp;".jpg"</f>
        <v/>
      </c>
      <c r="G259" s="77" t="inlineStr">
        <is>
          <t>(3"-4")</t>
        </is>
      </c>
      <c r="H259" s="95" t="inlineStr">
        <is>
          <t>Low</t>
        </is>
      </c>
      <c r="I259" s="66" t="inlineStr">
        <is>
          <t>Low</t>
        </is>
      </c>
      <c r="J259" s="66" t="inlineStr">
        <is>
          <t>High</t>
        </is>
      </c>
      <c r="K259" s="79" t="n">
        <v>149</v>
      </c>
      <c r="L259" s="81" t="inlineStr">
        <is>
          <t>Aloe</t>
        </is>
      </c>
      <c r="M259" s="81" t="n">
        <v>0</v>
      </c>
      <c r="N259" s="80" t="n">
        <v>0</v>
      </c>
      <c r="O259" s="81" t="n">
        <v>0</v>
      </c>
      <c r="P259" s="81" t="n">
        <v>1</v>
      </c>
      <c r="Q259" s="81">
        <f>IF(Local!I259=TRUE,1,0)</f>
        <v/>
      </c>
      <c r="R259" s="81">
        <f>Local!D259</f>
        <v/>
      </c>
      <c r="S259" s="81">
        <f>Local!F259</f>
        <v/>
      </c>
      <c r="T259" s="81">
        <f>Local!G259</f>
        <v/>
      </c>
      <c r="U259" s="83" t="inlineStr">
        <is>
          <t>## About
Delta Lights Aloe is a stunning ornamental succulent variety known for its beautiful white and green striped pattern on thick, pointed leaves. This compact aloe is perfect for Indian homes and gardens, bringing architectural beauty with minimal care requirements.
## Origin
This is a cultivated hybrid variety of Aloe, bred for its distinctive decorative appearance. The parent Aloe species originate from South Africa and Madagascar, regions with similar hot and dry climates to many parts of India.
## Temperature &amp; Humidity
- **Temperature Range:** 15Â°C to 40Â°C
- **Humidity:** Low to moderate humidity (30% to 50%). This plant thrives in dry conditions and can handle the hot Indian summers very well. It can tolerate brief cold spells but should be protected from frost.
## Growth
Delta Lights Aloe is a slow to moderate growing succulent that typically reaches 15 to 25 cm in height and spread. It grows in a rosette pattern with thick, fleshy leaves arranged in a star-like formation. The plant produces offsets (pups) around the base, which can be separated for propagation. It stays compact, making it ideal for small pots, windowsills, and tabletops.
## Watering
- **Frequency:** Once every two weeks depending on season and weather conditions. In monsoon, reduce watering significantly or stop completely if kept outdoors.
- **Tips:** Always check if the soil is completely dry before watering. Water thoroughly until water drains from the bottom, then empty the saucer. Overwatering is the biggest threat to this plant. In winter, water once a month or even less. The thick leaves store water, so the plant can survive dry periods easily.
## Sunlight
- **Hours per day:** 4 to 6 hours
- **Type:** Bright direct sunlight to bright indirect light. Morning sun is ideal. Can tolerate partial shade but colors and patterns become more vibrant with adequate sunlight. Protect from harsh afternoon sun during peak summer months (April-June) in very hot regions.
## Care Tips
- Use a well-draining pot with drainage holes to prevent water logging
- Terracotta or clay pots work best as they allow soil to dry faster
- Keep the plant in a bright, airy location with good air circulation
- Avoid placing water on the center of the rosette to prevent rot
- This plant is drought-tolerant and perfect for busy plant owners
- Can be kept outdoors year-round in most Indian climates except areas with heavy frost
- Wipe leaves gently with a dry cloth to remove dust and keep patterns visible
## Growth Tips
- **Soil:** Use a cactus or succulent potting mix, or make your own with 60% regular soil, 30% coarse sand, and 10% perlite or brick pieces
- **Fertilizer:** Feed very sparingly, once in 2-3 months during growing season (spring and summer) with diluted liquid succulent fertilizer at half strength
- **Repotting:** Repot every 2-3 years or when the plant outgrows its pot. Best done in spring or early summer. Use a pot only slightly larger than the previous one
- Remove dead or dried leaves from the base to keep the plant tidy
- Propagate by separating pups that grow around the mother plant
## Common Problems
- **Root rot:** Caused by overwatering or poor drainage. Leaves become soft, mushy, and translucent. Prevention is keyâ€”always use well-draining soil and pots with holes
- **Brown leaf tips:** Usually due to underwatering in extreme heat or low humidity. While drought-tolerant, the plant needs some water during hot months
- **Pale or faded colors:** Not enough sunlight. Move to a brighter location for better pattern development
- **Leggy growth:** Insufficient light causes the plant to stretch. Provide more direct sunlight
- **Mealybugs:** White cottony pests that hide between leaves. Remove with cotton swabs dipped in rubbing alcohol
- **Leaf spots:** Fungal issues from high humidity or water sitting on leaves. Ensure good air circulation and avoid wetting foliage</t>
        </is>
      </c>
      <c r="V259" s="98">
        <f>HYPERLINK("https://rosaryplanthouse.com/plant/"&amp;A259&amp;"-"&amp;SUBSTITUTE(LOWER(E259), " ", "-"))</f>
        <v/>
      </c>
      <c r="W259" t="inlineStr">
        <is>
          <t>🟢 Aloe 'Delta Lights' (ID: 258)
✨ Brighten up your indoor space with the stunning Aloe Delta Lights! 🌿 This architectural beauty features captivating white and green striped leaves that are sure to steal the spotlight in any corner of your home.
🌱 **Short Description:** The Delta Lights Aloe is not just a plant; it's a statement piece! Perfect for those who appreciate low-maintenance yet striking decor, this succulent thrives in bright sunlight and requires minimal watering. Ideal for busy plant lovers, it adds a touch of elegance to windowsills and tabletops alike.
🌞 **Key Details:**
- **Sunlight:** Requires 4-6 hours of bright light 🌞
- **Watering:** Low frequency; water every two weeks 💧
- **Temperature:** Thrives in 15°C to 40°C 🔥
- **Humidity:** Prefers low to moderate humidity levels 🌬️
👉 Ready to elevate your indoor garden? Check it out—Link in bio! 
#AloeDeltaLights #SucculentLove #IndoorPlants #PlantParent #HomeDecor #HousePlants #GreenThumb #PlantLovers #RosaryPlantHouse #SucculentCare #LowMaintenancePlants #PlantGoals #BotanicalBeauty 🌿✨</t>
        </is>
      </c>
    </row>
    <row r="260" ht="99.5" customHeight="1">
      <c r="A260" s="94" t="n">
        <v>259</v>
      </c>
      <c r="B260" s="84" t="inlineStr">
        <is>
          <t>Aloe Sunrise</t>
        </is>
      </c>
      <c r="C260" s="74">
        <f>IF(Local!H260,"1","0")</f>
        <v/>
      </c>
      <c r="D260" s="75" t="n">
        <v>79</v>
      </c>
      <c r="E260" s="66" t="inlineStr">
        <is>
          <t>Aloe maculata (syn. Aloe saponaria)</t>
        </is>
      </c>
      <c r="F260" s="76">
        <f>"public/sale_plants/"&amp;A260&amp;".jpg"</f>
        <v/>
      </c>
      <c r="G260" s="77" t="inlineStr">
        <is>
          <t>(3"-4")</t>
        </is>
      </c>
      <c r="H260" s="95" t="inlineStr">
        <is>
          <t>Low</t>
        </is>
      </c>
      <c r="I260" s="66" t="inlineStr">
        <is>
          <t>Low</t>
        </is>
      </c>
      <c r="J260" s="66" t="inlineStr">
        <is>
          <t>High</t>
        </is>
      </c>
      <c r="K260" s="79" t="n">
        <v>199</v>
      </c>
      <c r="L260" s="81" t="inlineStr">
        <is>
          <t>Aloe</t>
        </is>
      </c>
      <c r="M260" s="81" t="n">
        <v>0</v>
      </c>
      <c r="N260" s="80" t="n">
        <v>0</v>
      </c>
      <c r="O260" s="81" t="n">
        <v>0</v>
      </c>
      <c r="P260" s="80" t="n">
        <v>1</v>
      </c>
      <c r="Q260" s="81">
        <f>IF(Local!I260=TRUE,1,0)</f>
        <v/>
      </c>
      <c r="R260" s="81">
        <f>Local!D260</f>
        <v/>
      </c>
      <c r="S260" s="81">
        <f>Local!F260</f>
        <v/>
      </c>
      <c r="T260" s="81">
        <f>Local!G260</f>
        <v/>
      </c>
      <c r="U260" s="83" t="inlineStr">
        <is>
          <t>## About
Aloe Sunrise is a stunning succulent plant known for its beautiful green leaves with white spots and pink-red edges. This hardy aloe variety is popular among gardeners and plant lovers in India because it is easy to grow and requires very little maintenance. It produces attractive orange to coral-colored flowers that bloom on tall spikes.
## Origin
This aloe species is native to South Africa, where it grows naturally in rocky areas and grasslands. It has adapted well to different climates around the world, including the diverse weather conditions found across India. The plant thrives in warm, dry environments similar to its natural habitat.
## Temperature &amp; Humidity
- **Temperature Range:** 10Â°C to 40Â°C (can tolerate higher temperatures during Indian summers)
- **Humidity:** Low to moderate humidity (30% to 50%). This plant does very well in dry conditions and can handle the hot, dry summers common in most parts of India. It can tolerate brief cold spells but should be protected from frost in northern regions during winter.
## Growth
Aloe Sunrise is a medium-sized succulent that typically grows 15 to 30 cm tall and spreads about 20 to 30 cm wide. The plant forms attractive rosettes of fleshy, pointed leaves arranged in a spiral pattern. It grows at a moderate pace and produces offsets (baby plants) around the base, which can form nice clumps over time. The leaves are thick and juicy, with decorative white spots and reddish-pink margins that become more colorful when the plant gets plenty of sunlight.
## Watering
- **Frequency:** Water once every 10 to 15 days depending on season and weather conditions. During the hot summer months, you may need to water twice a month, while in winter, once a month or even less is enough.
- **Tips:** Always allow the soil to dry out completely between waterings. Water deeply but infrequently. Reduce watering during the monsoon season and winter months. Check the soil by inserting your finger 2 inches deepâ€”if it feels dry, it's time to water. During the rainy season, protect the plant from excessive moisture to prevent root rot. Water early in the morning and avoid getting water on the leaves.
## Sunlight
- **Hours per day:** 4 to 6 hours
- **Type:** Direct sunlight is best, but it can also adapt to bright indirect light. Morning sun is ideal. In very hot regions of India (above 40Â°C), provide some afternoon shade to prevent leaf burn. When kept indoors, place near a south or west-facing window.
## Care Tips
- Perfect for beginners as it requires minimal attention
- In coastal areas with high humidity, ensure excellent drainage and reduce watering
- During Indian summers, the plant can handle extreme heat but appreciate some afternoon shade in regions with temperatures above 42Â°C
- In winter, especially in North India, protect from frost by moving potted plants under cover
- The plant's red edges become more vibrant with more sunlight and slight water stress
- Remove dead or dried leaves from the base to keep the plant tidy and prevent pests
- Can be grown both indoors and outdoors successfully
## Growth Tips
- Use well-draining soilâ€”mix regular potting soil with cocopeat and perlite or sand in a 1:1:1 ratio
- Add a layer of small stones or gravel at the bottom of the pot for extra drainage
- Terracotta or clay pots work best as they allow excess moisture to evaporate
- Feed with a balanced liquid fertilizer diluted to half strength once every 2 to 3 months during the growing season (spring and summer)
- Repot every 2 to 3 years or when the plant outgrows its container
- Propagate easily by separating offsets (pups) that grow around the mother plantâ€”allow the cut to dry for a day before planting
- Use cactus or succulent-specific fertilizer for best results
## Common Problems
- **Root rot:** caused by overwatering or poor drainageâ€”leaves turn yellow or brown and become mushy
- **Leaf spots or fungal issues:** from excessive humidity during monsoonsâ€”ensure good air circulation
- **Pale or stretched leaves:** indicates insufficient sunlightâ€”move to a brighter location
- **Brown leaf tips:** can be caused by underwatering or salt buildup from tap waterâ€”use filtered or rainwater when possible
- **Mealybugs and scale insects:** white cottony clusters on leavesâ€”wipe with neem oil solution or rubbing alcohol
- **Sunburn:** brown or white patches on leaves from sudden exposure to intense afternoon sunâ€”gradually acclimate the plant to bright light</t>
        </is>
      </c>
      <c r="V260" s="98">
        <f>HYPERLINK("https://rosaryplanthouse.com/plant/"&amp;A260&amp;"-"&amp;SUBSTITUTE(LOWER(E260), " ", "-"))</f>
        <v/>
      </c>
      <c r="W260" t="inlineStr">
        <is>
          <t>🟢 Aloe Sunrise (ID: 259)  
🌅 Rise and shine with the stunning Aloe Sunrise! This beauty is not just a plant; it's a statement piece that effortlessly brightens up any space. 🌿✨
Aloe Sunrise, also known as Aloe maculata, boasts beautiful green leaves adorned with white spots and charming pink-red edges. Native to South Africa, this hardy succulent thrives in various climates, making it the perfect addition to your indoor garden! 🌍❤️
**Key Details:**  
- 🌞 **Sunlight:** Loves 4-6 hours of direct sunlight  
- 💧 **Watering:** Low frequency; water once every 10-15 days  
- 🌡️ **Temperature:** Thrives in 10°C to 40°C  
- 🌱 **Care Tips:** Perfect for beginners; minimal maintenance required  
Ready to bring home this vibrant succulent? Explore more through the Link in bio! 🌿💖
#AloeSunrise #AloeMaculata #SucculentLove #PlantParent #IndoorPlants #HousePlants #GreenThumb #PlantLovers #NatureLovers #Gardening #PlantCare #RosaryPlantHouse #HomeDecor #PlantAddict #SucculentCollection</t>
        </is>
      </c>
    </row>
    <row r="261" ht="99.5" customHeight="1">
      <c r="A261" s="94" t="n">
        <v>260</v>
      </c>
      <c r="B261" s="84" t="inlineStr">
        <is>
          <t>Cryptanthus Normal</t>
        </is>
      </c>
      <c r="C261" s="74">
        <f>IF(Local!H261,"1","0")</f>
        <v/>
      </c>
      <c r="D261" s="79" t="n">
        <v>79</v>
      </c>
      <c r="E261" s="66" t="inlineStr">
        <is>
          <t>Cryptanthus acaulis</t>
        </is>
      </c>
      <c r="F261" s="76">
        <f>"public/sale_plants/"&amp;A261&amp;".jpg"</f>
        <v/>
      </c>
      <c r="G261" s="77" t="inlineStr">
        <is>
          <t>(2"-3")</t>
        </is>
      </c>
      <c r="H261" s="95" t="inlineStr">
        <is>
          <t>Moderate</t>
        </is>
      </c>
      <c r="I261" s="66" t="inlineStr">
        <is>
          <t>Medium</t>
        </is>
      </c>
      <c r="J261" s="66" t="inlineStr">
        <is>
          <t>Low</t>
        </is>
      </c>
      <c r="K261" s="79" t="n">
        <v>99</v>
      </c>
      <c r="L261" s="81" t="inlineStr">
        <is>
          <t>Others</t>
        </is>
      </c>
      <c r="M261" s="81" t="n">
        <v>0</v>
      </c>
      <c r="N261" s="80" t="n">
        <v>0</v>
      </c>
      <c r="O261" s="81" t="n">
        <v>0</v>
      </c>
      <c r="P261" s="80" t="n">
        <v>0</v>
      </c>
      <c r="Q261" s="81">
        <f>IF(Local!I261=TRUE,1,0)</f>
        <v/>
      </c>
      <c r="R261" s="81">
        <f>Local!D261</f>
        <v/>
      </c>
      <c r="S261" s="81">
        <f>Local!F261</f>
        <v/>
      </c>
      <c r="T261" s="81">
        <f>Local!G261</f>
        <v/>
      </c>
      <c r="U261" s="83" t="inlineStr">
        <is>
          <t>## About
Cryptanthus acaulis, commonly known as Earth Star, is a beautiful terrestrial bromeliad native to Brazil. This striking plant gets its name from its low-growing, star-shaped rosette of leaves that appear to hug the ground. The pale green leaves with pink edges create a stunning ornamental display, making it a popular choice for indoor plant collections in India.
## Origin
This plant originates from the tropical forests of Brazil, where it grows on the forest floor in shaded, humid conditions. Unlike many bromeliads that grow on trees, Earth Star is a terrestrial species that thrives in the leaf litter and organic matter of the rainforest floor.
## Temperature &amp; Humidity
- **Temperature Range:** 18Â°C to 30Â°C
- **Humidity:** Prefers moderate to high humidity levels between 50% to 70%. The plant adapts well to Indian household humidity levels but benefits from occasional misting, especially during dry seasons or in air-conditioned rooms.
## Growth
Earth Star is a compact, slow-growing plant that remains small throughout its life. The rosette typically grows to about 10-15 cm in diameter and stays close to the ground, rarely exceeding 8-10 cm in height. It spreads slowly by producing offsets (pups) around the base of the mother plant, creating an attractive cluster over time. The growth rate is moderate, and the plant maintains its compact form, making it perfect for terrariums and small spaces.
## Watering
- **Frequency:** Once or twice a week depending on season, temperature, and humidity levels
- **Tips:** Water the soil directly rather than the center of the rosette. Allow the top layer of soil to dry slightly between waterings. During monsoon season or high humidity periods, reduce watering frequency. In summer months, you may need to water more frequently. Always use water at room temperature and avoid letting the plant sit in waterlogged soil. Rainwater or filtered water is preferred as Earth Star is sensitive to chemicals in tap water.
## Sunlight
- **Hours per day:** 2 to 4 hours
- **Type:** Bright indirect or filtered light. Avoid direct sunlight which can scorch the delicate leaves and fade the beautiful pink coloration. The plant thrives in low to medium light conditions, making it ideal for indoor spaces with north or east-facing windows.
## Care Tips
- Keep away from direct afternoon sun, especially during harsh Indian summers
- Mist the leaves occasionally during dry months (March to May) to maintain humidity
- Wipe leaves gently with a damp cloth to remove dust and keep them healthy
- Protect from temperatures below 15Â°C during winter nights
- Works excellently in terrariums or closed glass containers where humidity is naturally higher
- Keep away from air conditioner vents which can dry out the plant
- Ideal for bathrooms or kitchens where humidity is naturally higher
## Growth Tips
- Use a well-draining potting mix containing peat moss, orchid bark, and perlite
- The soil should be light, airy, and rich in organic matter
- Fertilize monthly during growing season (March to October) with a diluted liquid fertilizer at quarter strength
- Repot only when absolutely necessary as the plant prefers to be slightly root-bound
- Use shallow pots or saucers since the root system is not deep
- Remove dead or dried leaves from the base to prevent pest problems
- Separate pups when they reach about one-third the size of the mother plant for propagation
## Common Problems
- **Leaf browning at tips:** Usually caused by low humidity, fluoride in tap water, or underwatering
- **Pale or faded colors:** Too much direct sunlight or insufficient nutrients
- **Leaf rot at base:** Overwatering or water sitting in the crown of the plant
- **Slow or no growth:** Lack of fertilizer, poor lighting, or root-bound conditions
- **Mealybugs:** White cottony pests that hide in leaf crevices; treat with neem oil or rubbing alcohol
- **Wilting or drooping leaves:** Severe underwatering or root damage from overwatering
- **Brown crispy leaves:** Low humidity or exposure to dry air from fans or air conditioners</t>
        </is>
      </c>
      <c r="V261" s="98">
        <f>HYPERLINK("https://rosaryplanthouse.com/plant/"&amp;A261&amp;"-"&amp;SUBSTITUTE(LOWER(E261), " ", "-"))</f>
        <v/>
      </c>
      <c r="W261" t="inlineStr">
        <is>
          <t>🟢 Cryptanthus Acaulis (ID: 260)
🌟 Unlock the beauty of the Earth Star! This stunning bromeliad will bring a touch of the tropics right into your home. ✨ 
🌱 Known for its unique star-shaped rosette and delicate pale green leaves with charming pink edges, the Cryptanthus Acaulis thrives in low-light conditions, making it a perfect companion for your indoor plant collection! 
🔑 **Key Details:**
- 🌡️ Temperature: 18°C to 30°C
- 💧 Watering: Medium (Once or twice a week)
- ☀️ Sunlight: Prefers bright indirect light 
👉 Don’t miss out on adding this compact beauty to your space! Link in bio to shop now! 
#Cryptanthus #EarthStar #IndoorPlants #PlantLovers #HomeDecor #PlantParent #Bromeliad #Houseplants #PlantCare #TropicalPlants #GreenThumb #RosaryPlantHouse</t>
        </is>
      </c>
    </row>
    <row r="262" ht="99.5" customHeight="1">
      <c r="A262" s="94" t="n">
        <v>261</v>
      </c>
      <c r="B262" s="84" t="inlineStr">
        <is>
          <t>Long Zebra Haworthia</t>
        </is>
      </c>
      <c r="C262" s="74">
        <f>IF(Local!H262,"1","0")</f>
        <v/>
      </c>
      <c r="D262" s="79" t="n">
        <v>79</v>
      </c>
      <c r="E262" s="66" t="inlineStr">
        <is>
          <t>Haworthiopsis fasciata</t>
        </is>
      </c>
      <c r="F262" s="76">
        <f>"public/sale_plants/"&amp;A262&amp;".jpg"</f>
        <v/>
      </c>
      <c r="G262" s="77" t="inlineStr">
        <is>
          <t>(2"-3")</t>
        </is>
      </c>
      <c r="H262" s="95" t="inlineStr">
        <is>
          <t>Low</t>
        </is>
      </c>
      <c r="I262" s="66" t="inlineStr">
        <is>
          <t>Low</t>
        </is>
      </c>
      <c r="J262" s="66" t="inlineStr">
        <is>
          <t>Medium</t>
        </is>
      </c>
      <c r="K262" s="79" t="n">
        <v>120</v>
      </c>
      <c r="L262" s="81" t="inlineStr">
        <is>
          <t>Haworthia</t>
        </is>
      </c>
      <c r="M262" s="81" t="n">
        <v>0</v>
      </c>
      <c r="N262" s="80" t="n">
        <v>0</v>
      </c>
      <c r="O262" s="81" t="n">
        <v>0</v>
      </c>
      <c r="P262" s="81" t="n">
        <v>1</v>
      </c>
      <c r="Q262" s="81">
        <f>IF(Local!I262=TRUE,1,0)</f>
        <v/>
      </c>
      <c r="R262" s="81">
        <f>Local!D262</f>
        <v/>
      </c>
      <c r="S262" s="81">
        <f>Local!F262</f>
        <v/>
      </c>
      <c r="T262" s="81">
        <f>Local!G262</f>
        <v/>
      </c>
      <c r="U262" s="83" t="inlineStr">
        <is>
          <t>## About
The Zebra Plant is a small, attractive succulent with striking white stripes across its dark green leaves. It grows in a rosette pattern and is perfect for beginners who want an easy-to-care-for indoor plant. Native to South Africa, this plant is very popular in India for desk plants and small container gardens.
## Origin
Originally from the Eastern Cape Province of South Africa, the Zebra Plant grows naturally on rocky slopes and areas with well-draining soil. It is adapted to survive in dry conditions with occasional rainfall.
## Temperature &amp; Humidity
- **Temperature Range:** 15Â°C to 30Â°C
- **Humidity:** This plant tolerates low to moderate humidity levels (30% to 50%). It does well in typical Indian indoor conditions and doesn't need high humidity. During monsoon season, make sure the plant is not in overly damp conditions.
## Growth
The Zebra Plant is a slow-growing succulent that typically reaches 10 to 15 cm in height and about 8 to 10 cm in width. It grows in a compact rosette shape with thick, triangular leaves that have distinctive white horizontal stripes or bands. The plant produces offsets (baby plants) around the base, which can be separated and replanted. Growth is slowest during hot Indian summers and picks up during cooler months.
## Watering
- **Frequency:** Once every 10-14 days depending on season and weather conditions. In monsoon, reduce watering significantly. In summer, you may need to water once a week depending on other parameters.
- **Tips:** Always check if the soil is completely dry before watering. Water thoroughly but allow excess water to drain out completely. Avoid getting water inside the rosette as it can cause rot. Reduce watering during the monsoon season and cool winter months. This plant is very forgiving if you forget to water it occasionally.
## Sunlight
- **Hours per day:** 3 to 4 hours
- **Type:** Bright indirect light or filtered sunlight. Can tolerate a few hours of gentle morning direct sun, but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Wipe the leaves gently with a soft cloth occasionally to remove dust and keep the white stripes visible
- During hot summers (above 35Â°C), move the plant to a cooler, shadier spot
- The plant is perfect for air-conditioned rooms and office desks
- Protect from heavy monsoon rains if kept outdoors
## Growth Tips
- Use a succulent or cactus potting mix, or make your own by mixing regular soil with coarse sand and perlite in equal parts
- Add a layer of small pebbles or gravel on top of the soil for better drainage and aesthetic appeal
- Fertilize sparingly - use a diluted liquid succulent fertilizer once every 2-3 months during the growing season (September to March in India)
- Repot only when the plant becomes overcrowded with offsets, typically every 2-3 years
- Use a shallow, wide pot rather than a deep one as the roots are shallow
- Remove offsets carefully and plant them in separate pots to propagate new plants
## Common Problems
- **Brown or red leaves:** Too much direct sunlight, especially harsh afternoon sun. Move to a shadier location.
- **Soft, mushy leaves:** Overwatering or poor drainage. Reduce watering frequency and check drainage holes.
- **Stretched or elongated growth:** Not enough light. Move to a brighter location with more indirect light.
- **White or brown spots on leaves:** Sunburn or fungal issues from excess moisture. Adjust light exposure and reduce humidity around the plant.
- **Mealybugs (white cottony pests):** Common in humid conditions. Remove with cotton swabs dipped in rubbing alcohol.
- **Root rot:** Caused by overwatering or waterlogged soil. Reduce watering and ensure good drainage.
- **Slow or no growth:** Normal for this plant, but can also indicate it needs repotting or fresh soil with nutrients.</t>
        </is>
      </c>
      <c r="V262" s="98">
        <f>HYPERLINK("https://rosaryplanthouse.com/plant/"&amp;A262&amp;"-"&amp;SUBSTITUTE(LOWER(E262), " ", "-"))</f>
        <v/>
      </c>
      <c r="W262" t="inlineStr">
        <is>
          <t>🟢 Haworthiopsis fasciata (ID: 261)
🌿 Meet the enchanting Long Zebra Haworthia! This charming succulent is perfect for adding a touch of nature to your indoor spaces. 
✨ Known for its stunning white stripes against deep green leaves, the Zebra Plant thrives in low-maintenance environments, making it ideal for both beginners and seasoned plant lovers. Originating from the rocky slopes of South Africa, this beauty is not just a plant but a statement piece for your desk or small container garden!
🔑 **Key Details:**
- Watering: Low (every 10-14 days)
- Sunlight: Medium (3-4 hours of bright indirect light)
- Growth: Slow-growing with offsets for propagation
- Care: Perfect for air-conditioned rooms and low humidity conditions
🌱 Ready to bring home this striking succulent? Don’t miss out! Link in bio.
#Haworthia #ZebraPlant #IndoorPlants #PlantLovers #SucculentLove #Houseplant #GreenThumb #PlantCare #RosaryPlantHouse #PlantParenting #SucculentCare #HomeDecor #NatureLovers #GardeningLife #PlantsOfInstagram #IndoorJungle #PlantAddict</t>
        </is>
      </c>
    </row>
    <row r="263" ht="99.5" customHeight="1">
      <c r="A263" s="94" t="n">
        <v>262</v>
      </c>
      <c r="B263" s="84" t="inlineStr">
        <is>
          <t>Long Normal Haworthia</t>
        </is>
      </c>
      <c r="C263" s="74">
        <f>IF(Local!H263,"1","0")</f>
        <v/>
      </c>
      <c r="D263" s="79" t="n">
        <v>79</v>
      </c>
      <c r="E263" s="66" t="inlineStr">
        <is>
          <t>Haworthia herrei</t>
        </is>
      </c>
      <c r="F263" s="76">
        <f>"public/sale_plants/"&amp;A263&amp;".jpg"</f>
        <v/>
      </c>
      <c r="G263" s="77" t="inlineStr">
        <is>
          <t>(2"-3")</t>
        </is>
      </c>
      <c r="H263" s="95" t="inlineStr">
        <is>
          <t>Low</t>
        </is>
      </c>
      <c r="I263" s="66" t="inlineStr">
        <is>
          <t>Low</t>
        </is>
      </c>
      <c r="J263" s="66" t="inlineStr">
        <is>
          <t>Medium</t>
        </is>
      </c>
      <c r="K263" s="79" t="n">
        <v>120</v>
      </c>
      <c r="L263" s="81" t="inlineStr">
        <is>
          <t>Haworthia</t>
        </is>
      </c>
      <c r="M263" s="81" t="n">
        <v>0</v>
      </c>
      <c r="N263" s="80" t="n">
        <v>0</v>
      </c>
      <c r="O263" s="81" t="n">
        <v>0</v>
      </c>
      <c r="P263" s="80" t="n">
        <v>1</v>
      </c>
      <c r="Q263" s="81">
        <f>IF(Local!I263=TRUE,1,0)</f>
        <v/>
      </c>
      <c r="R263" s="81">
        <f>Local!D263</f>
        <v/>
      </c>
      <c r="S263" s="81">
        <f>Local!F263</f>
        <v/>
      </c>
      <c r="T263" s="81">
        <f>Local!G263</f>
        <v/>
      </c>
      <c r="U263" s="83" t="inlineStr">
        <is>
          <t>## About
Haworthia herrei is a beautiful small succulent with thick, green-grey leaves arranged in a rosette pattern. This compact plant is perfect for small spaces and indoor gardening, making it a favorite among succulent collectors in India.
## Origin
Haworthia herrei is native to South Africa, where it grows in rocky, dry regions. It belongs to the Asphodelaceae family and thrives in semi-arid conditions with well-draining soil.
## Temperature &amp; Humidity
- **Temperature Range:** 15Â°C to 35Â°C (can tolerate Indian summers but needs protection from extreme heat above 40Â°C)
- **Humidity:** Low to moderate humidity (30% to 50%). This plant does well in typical Indian indoor conditions and doesn't require high humidity.
## Growth
Haworthia herrei is a slow-growing succulent that stays compact. It typically grows to about 5-8 cm in height and 6-10 cm in width. The plant forms neat rosettes and occasionally produces offsets (baby plants) around the base, which can be separated for propagation. It grows upright and maintains a tidy appearance, making it ideal for small pots and table displays.
## Watering
- **Frequency:** Once every 10-14 days depending on other parameters like season and temperature. During Indian monsoon season, reduce watering significantly. In summer, you may need to water once a week depending on other parameters.
- **Tips:** Always water thoroughly but allow the soil to dry completely between waterings. Water less in winter months (once every 3 weeks). Avoid getting water on the leaves to prevent rot. Use the "soak and dry" method - water until it drains from the bottom, then wait until soil is bone dry before watering again.
## Sunlight
- **Hours per day:** 3 to 4 hours of bright indirect light or morning sun
- **Type:** Bright indirect light is best. Can tolerate 1-2 hours of gentle morning sunlight, but avoid harsh afternoon sun which can burn the leaves and turn them brown. East-facing windows work perfectly in Indian homes.
## Care Tips
- Protect from intense afternoon sun during Indian summers (April-June) as it can cause leaf burn
- Keep in well-ventilated areas to prevent fungal issues during monsoon
- Ideal for air-conditioned rooms or naturally cool indoor spaces
- Can be kept outdoors in covered balconies with filtered light
- Rotate the pot occasionally for even growth
- Clean dust from leaves gently with a soft brush
- Avoid placing near heating sources or in dark corners
## Growth Tips
- Use a well-draining succulent or cactus potting mix (mix regular soil with 50% cocopeat and perlite or sand)
- Add small stones or gravel at the bottom of the pot for extra drainage
- Fertilize sparingly - once every 2-3 months during growing season (spring and autumn) with diluted succulent fertilizer at half strength
- Repot only when the plant outgrows its pot, typically every 2-3 years
- Use pots with drainage holes to prevent water logging
- Propagate through offsets - gently separate baby plants and pot them in dry soil, wait 2-3 days before first watering
## Common Problems
- **Brown or black leaves:** Usually caused by overwatering or root rot. Check soil drainage and reduce watering frequency
- **Pale or yellow leaves:** Too much direct sunlight. Move to a shadier location with filtered light
- **Stretched or elongated growth:** Not enough light. Move to a brighter location gradually
- **Dried leaf tips:** Under-watering or very low humidity. Increase watering frequency slightly
- **Mealybugs:** White cottony pests on leaves. Wipe with alcohol-soaked cotton or use neem oil spray
- **Fungal issues during monsoon:** Excess moisture and poor air circulation. Reduce watering and improve ventilation
- **Slow or no growth:** Normal for this species, but can also indicate root bound condition or need for fertilizer</t>
        </is>
      </c>
      <c r="V263" s="98">
        <f>HYPERLINK("https://rosaryplanthouse.com/plant/"&amp;A263&amp;"-"&amp;SUBSTITUTE(LOWER(E263), " ", "-"))</f>
        <v/>
      </c>
      <c r="W263" t="inlineStr">
        <is>
          <t>🟢 Haworthia herrei (ID: 262)
🌿 Meet your new green companion - the Long Normal Haworthia! This charming succulent is not just a plant; it's a statement piece for your indoor garden. ✨
Haworthia herrei boasts thick, green-grey leaves that form a beautiful rosette, making it a perfect fit for cozy spaces. Native to the rocky terrains of South Africa, this low-maintenance plant thrives in well-draining soil and brings a touch of nature indoors! 🏡
**Key Details:**
- 🌞 Sunlight: Prefers bright indirect light or gentle morning sun 🌅
- 💧 Watering: Low; water every 10-14 days (more in summer, less in winter) 
- 🌬️ Airy: Loves well-ventilated spots and protection from harsh sunlight 
- 🌱 Growth: Slow-growing, compact, and sometimes produces adorable offsets!
Ready to add this beauty to your collection? 🌱 Link in bio!
#HaworthiaHerrei #SucculentLove #IndoorPlants #PlantParent #GreenThumb #RosaryPlantHouse #PlantCollection #SucculentCare #HouseplantClub #PlantLovers #HomeDecor #GreenLiving #PlantAddict #SucculentSociety</t>
        </is>
      </c>
    </row>
    <row r="264" ht="99.5" customHeight="1">
      <c r="A264" s="94" t="n">
        <v>263</v>
      </c>
      <c r="B264" s="84" t="inlineStr">
        <is>
          <t>Normal Haworthia (Big)</t>
        </is>
      </c>
      <c r="C264" s="74">
        <f>IF(Local!H264,"1","0")</f>
        <v/>
      </c>
      <c r="D264" s="75" t="n">
        <v>99</v>
      </c>
      <c r="E264" s="66" t="inlineStr">
        <is>
          <t>Haworthia resendeana</t>
        </is>
      </c>
      <c r="F264" s="76">
        <f>"public/sale_plants/"&amp;A264&amp;".jpg"</f>
        <v/>
      </c>
      <c r="G264" s="77" t="inlineStr">
        <is>
          <t>(4"-5")</t>
        </is>
      </c>
      <c r="H264" s="95" t="inlineStr">
        <is>
          <t>Moderate</t>
        </is>
      </c>
      <c r="I264" s="66" t="inlineStr">
        <is>
          <t>Low</t>
        </is>
      </c>
      <c r="J264" s="66" t="inlineStr">
        <is>
          <t>Medium</t>
        </is>
      </c>
      <c r="K264" s="79" t="n">
        <v>199</v>
      </c>
      <c r="L264" s="81" t="inlineStr">
        <is>
          <t>Haworthia</t>
        </is>
      </c>
      <c r="M264" s="81" t="n">
        <v>1</v>
      </c>
      <c r="N264" s="80" t="n">
        <v>0</v>
      </c>
      <c r="O264" s="81" t="n">
        <v>0</v>
      </c>
      <c r="P264" s="80" t="n">
        <v>1</v>
      </c>
      <c r="Q264" s="81">
        <f>IF(Local!I264=TRUE,1,0)</f>
        <v/>
      </c>
      <c r="R264" s="81">
        <f>Local!D264</f>
        <v/>
      </c>
      <c r="S264" s="81">
        <f>Local!F264</f>
        <v/>
      </c>
      <c r="T264" s="81">
        <f>Local!G264</f>
        <v/>
      </c>
      <c r="U264" s="83" t="inlineStr">
        <is>
          <t>## About
Star Haworthia is a stunning succulent known for its distinctive star-shaped rosette of long, pointed green leaves. This plant belongs to the Haworthia family and is prized by collectors for its architectural form and easy-going nature. It makes an excellent choice for beginners and experienced plant lovers alike.
## Origin
This plant originates from South Africa, where it grows naturally in rocky, semi-arid areas. In its native habitat, it often grows in the shade of larger plants or rocks, which helps it survive the harsh African sun. This background makes it well-adapted to indoor conditions and the varied Indian climate.
## Temperature &amp; Humidity
- **Temperature Range:** 15Â°C to 35Â°C
- **Humidity:** This plant tolerates a wide humidity range from 30% to 60%. It can handle the dry conditions of North Indian winters as well as the humid climate of coastal and South Indian regions. However, it prefers moderate humidity levels and good air circulation to prevent fungal issues during monsoon season.
## Growth
Star Haworthia is a slow-growing succulent that typically reaches 10-15 cm in height and width when mature. It grows in a compact rosette pattern with leaves radiating outward from the center like a star. The plant produces offsets (baby plants) around its base, which can be separated and replanted. Growth is slowest during hot summer months and picks up during cooler periods. The leaves are fleshy, pointed, and bright green in color, creating an attractive geometric pattern.
## Watering
- **Frequency:** Once every 10-14 days depending on season and weather conditions. During monsoon, reduce watering significantly. In hot summer months, you may need to water slightly more often if the soil dries out completely.
- **Tips:** Always water at the base of the plant, avoiding the center of the rosette to prevent rot. Make sure the soil is completely dry before watering again. Use the "soak and dry" method - water thoroughly until it drains from the bottom, then wait for soil to dry completely. Reduce watering during winter months. Overwatering is the most common cause of problems with this plant.
## Sunlight
- **Hours per day:** 3 to 5 hours
- **Type:** Bright indirect light or filtered morning sunlight. Avoid harsh afternoon sun, especially during Indian summers (April-June), as it can burn the leaves and turn them brown or reddish. East-facing windows work perfectly. Can also thrive under bright artificial lights indoors.
## Care Tips
- Place in a spot with bright indirect light, such as near an east or north-facing window
- Protect from direct afternoon sun during peak summer months (March to June) in India
- During monsoon season, reduce watering drastically and ensure good air circulation to prevent fungal problems
- Keep away from cold drafts during winter, especially in North India where temperatures can drop below 10Â°C
- Wipe dust off leaves gently with a soft cloth to keep them looking fresh
- Move the plant to a shadier spot if leaves start turning brown or reddish (sign of too much sun)
- In coastal areas with high humidity, ensure the pot has excellent drainage
## Growth Tips
- Use a well-draining succulent or cactus potting mix, or make your own by mixing regular soil with cocopeat, perlite, and sand in equal parts
- Add a layer of gravel or small stones at the bottom of the pot for extra drainage
- Fertilize sparingly - once every 2-3 months during the growing season (October to March) with a diluted succulent fertilizer at half strength
- Repot only when the plant has produced many offsets or has outgrown its pot, typically every 2-3 years
- Use a terracotta or clay pot which allows better air circulation and moisture evaporation compared to plastic pots
- Propagate by separating offsets that appear around the mother plant - let them dry for a day before planting
## Common Problems
- **Brown or crispy leaf tips:** Usually caused by too much direct sunlight or underwatering. Move to a shadier spot and check watering schedule.
- **Soft, mushy leaves or rotting rosette:** This is the most serious problem and indicates overwatering or water sitting in the center of the plant. Remove affected parts immediately and reduce watering.
- **Leaves turning reddish or purple:** Sign of sun stress. While some people like this look, it means the plant is getting too much light. Move to a shadier location if you prefer the green color.
- **Stretched or elongated growth:** Not getting enough light. Move to a brighter location with more indirect sunlight.
- **Mealybugs (white cottony spots):** Common pest that hides between leaves. Remove with cotton swabs dipped in rubbing alcohol or neem oil solution.
- **Root rot:** Caused by poor drainage or overwatering, especially during monsoon. Always ensure pots have drainage holes and soil dries between waterings.
- **Slow or no growth:** This is normal, as Haworthias are naturally slow growers. However, if there's no growth for over 6 months, check if it needs fertilizer or repotting.</t>
        </is>
      </c>
      <c r="V264" s="98">
        <f>HYPERLINK("https://rosaryplanthouse.com/plant/"&amp;A264&amp;"-"&amp;SUBSTITUTE(LOWER(E264), " ", "-"))</f>
        <v/>
      </c>
      <c r="W264" t="inlineStr">
        <is>
          <t>🟢 Haworthia resendeana (ID: 263)
🌟 Meet the stunning Normal Haworthia – your new favorite succulent! With its captivating star-shaped rosette of long, pointed green leaves, this plant is a must-have for both novice and seasoned plant enthusiasts. 🌱✨
🌍 Originating from the rocky landscapes of South Africa, this resilient beauty thrives indoors, making it a perfect addition to your home! Its architectural form and easy-going nature make it an ideal choice for any space.
🌿 **Key Details:**
- **Watering:** Low (every 10-14 days)
- **Sunlight:** Medium (3-5 hours of bright, indirect light)
- **Humidity:** Tolerates 30%-60% humidity
💚 Ready to brighten your space with this gorgeous plant? Don't wait! Click the link in bio to snag your Normal Haworthia today!
#Haworthia #SucculentLove #IndoorPlants #PlantParent #GreenThumb #PlantAddict #Houseplants #PlantCare #RosaryPlantHouse #PlantLovers #HomeDecor #SucculentCare</t>
        </is>
      </c>
    </row>
    <row r="265" ht="99.5" customHeight="1">
      <c r="A265" s="94" t="n">
        <v>264</v>
      </c>
      <c r="B265" s="84" t="inlineStr">
        <is>
          <t>Dot haworthia (Big)</t>
        </is>
      </c>
      <c r="C265" s="74">
        <f>IF(Local!H265,"1","0")</f>
        <v/>
      </c>
      <c r="D265" s="75" t="n">
        <v>89</v>
      </c>
      <c r="E265" s="66" t="inlineStr">
        <is>
          <t>Haworthiopsis coarctata</t>
        </is>
      </c>
      <c r="F265" s="76">
        <f>"public/sale_plants/"&amp;A265&amp;".jpg"</f>
        <v/>
      </c>
      <c r="G265" s="77" t="inlineStr">
        <is>
          <t>(4"-5")</t>
        </is>
      </c>
      <c r="H265" s="95" t="inlineStr">
        <is>
          <t>Moderate</t>
        </is>
      </c>
      <c r="I265" s="66" t="inlineStr">
        <is>
          <t>Low</t>
        </is>
      </c>
      <c r="J265" s="66" t="inlineStr">
        <is>
          <t>Medium</t>
        </is>
      </c>
      <c r="K265" s="79" t="n">
        <v>199</v>
      </c>
      <c r="L265" s="81" t="inlineStr">
        <is>
          <t>Haworthia</t>
        </is>
      </c>
      <c r="M265" s="81" t="n">
        <v>1</v>
      </c>
      <c r="N265" s="80" t="n">
        <v>0</v>
      </c>
      <c r="O265" s="81" t="n">
        <v>0</v>
      </c>
      <c r="P265" s="81" t="n">
        <v>1</v>
      </c>
      <c r="Q265" s="81">
        <f>IF(Local!I265=TRUE,1,0)</f>
        <v/>
      </c>
      <c r="R265" s="81">
        <f>Local!D265</f>
        <v/>
      </c>
      <c r="S265" s="81">
        <f>Local!F265</f>
        <v/>
      </c>
      <c r="T265" s="81">
        <f>Local!G265</f>
        <v/>
      </c>
      <c r="U265" s="83" t="inlineStr">
        <is>
          <t>## About
Haworthiopsis coarctata, commonly known as Big Haworthia, is a beautiful succulent plant with long, thin leaves covered in tiny white dots. It grows upright with leaves arranged in a rosette pattern and is perfect for beginners and experienced plant lovers alike.
## Origin
This succulent is native to South Africa, particularly the Eastern Cape region. In its natural habitat, it grows in rocky areas and sandy soils, often under the shade of bushes and larger plants. This makes it well-adapted to partial shade conditions.
## Temperature &amp; Humidity
- **Temperature Range:** 15Â°C to 30Â°C
- **Humidity:** This plant prefers low to moderate humidity levels between 30% to 50%. It can tolerate the dry conditions common in most Indian homes and adapts well to various humidity levels. During the monsoon season, ensure good air circulation to prevent moisture-related issues.
## Growth
Haworthiopsis coarctata grows slowly but steadily. Individual rosettes can reach 15 to 20 cm in height and about 8 to 10 cm in width. The plant produces offsets or "pups" at the base, which gradually form clusters over time. This clumping behavior makes it look fuller and more attractive as it matures. The leaves are cylindrical and arranged in spiral patterns, giving it a unique architectural appearance.
## Watering
- **Frequency:** Once every two weeks depending on season and weather conditions. In hot summer months, you may need to water slightly more often, while in winter reduce watering to once every three weeks.
- **Tips:** Always allow the soil to dry out completely between waterings. Use the soak and dry method â€“ water thoroughly until water drains from the bottom holes, then wait until soil is completely dry. Avoid getting water on the leaves as this can cause rot. Water less during the monsoon season when humidity is naturally high.
## Sunlight
- **Hours per day:** 3 to 4 hours
- **Type:** Bright indirect light or filtered morning sunlight. This plant prefers bright shade rather than intense direct sunlight. Too much direct afternoon sun can burn the leaves and turn them brown or reddish. East-facing windows or spots with filtered light work best indoors.
## Care Tips
- Place the plant in a spot with bright indirect light; avoid harsh afternoon sun especially during Indian summers
- Use a well-draining pot with drainage holes to prevent water logging
- Protect from heavy monsoon rains; bring indoors or provide shelter during heavy downpours
- Clean the leaves gently with a soft brush to remove dust and maintain the plant's appearance
- Avoid placing near air conditioner vents or heaters as sudden temperature changes can stress the plant
- This plant is perfect for small spaces like office desks, window sills, or shelves
## Growth Tips
- Use a succulent or cactus potting mix with good drainage; you can add perlite or coarse sand to regular soil
- Fertilize sparingly â€“ once every 2 to 3 months during the growing season (spring and summer) with a diluted succulent fertilizer
- Repot every 2 to 3 years or when the plant becomes root-bound; choose a pot only slightly larger than the current one
- Remove dead or dried leaves from the base to keep the plant healthy and attractive
- Propagate easily by separating the offsets or pups and planting them in separate pots
## Common Problems
- **Brown or black soft leaves:** Sign of overwatering and root rot; reduce watering immediately and check roots
- **Dried or shriveled leaves:** Underwatering; increase watering frequency slightly
- **Brown or reddish leaves:** Too much direct sunlight causing sunburn; move to a shadier location
- **Stretching or elongated growth:** Not enough light; move to a brighter spot with more indirect light
- **Mealybugs and scale insects:** White cottony or brown bumps on leaves; treat with neem oil or rubbing alcohol
- **Slow or no growth:** Normal during winter months; reduce watering and wait for growing season to resume</t>
        </is>
      </c>
      <c r="V265" s="98">
        <f>HYPERLINK("https://rosaryplanthouse.com/plant/"&amp;A265&amp;"-"&amp;SUBSTITUTE(LOWER(E265), " ", "-"))</f>
        <v/>
      </c>
      <c r="W265" t="inlineStr">
        <is>
          <t>🟢 Haworthiopsis Coarctata (ID: 264)
🌟 Meet the stunning Big Haworthia! This charming succulent is a must-have for all plant enthusiasts, whether you're just starting your green journey or you're a seasoned pro. 
🌿 Known for its long, slender leaves adorned with tiny white dots, the Haworthiopsis coarctata thrives in bright, indirect light and brings a fresh touch to any indoor space. Its unique rosette shape adds architectural flair, making it a perfect accent for desks, shelves, or window sills! 
✨ **Key Details:**
- **Watering:** Low; allow soil to dry completely between waterings.
- **Sunlight:** Prefers 3-4 hours of bright, indirect light.
- **Care:** Ideal for small spaces, easy to maintain, and resistant to drought.
👉 Ready to add this beauty to your collection? Tap the link in bio to explore more!
#HaworthiopsisCoarctata #BigHaworthia #SucculentLove #IndoorPlants #PlantParent #GreenThumb #PlantCare #RosaryPlantHouse #HouseplantGoals #SucculentCollection #BotanicalBeauty #HomeDecor #PlantAddict #PlantLovers #UrbanJungle #NatureInspiration #GreenLiving</t>
        </is>
      </c>
    </row>
    <row r="266" ht="99.5" customHeight="1">
      <c r="A266" s="94" t="n">
        <v>265</v>
      </c>
      <c r="B266" s="84" t="inlineStr">
        <is>
          <t>Opentia Red (Big)</t>
        </is>
      </c>
      <c r="C266" s="74">
        <f>IF(Local!H266,"1","0")</f>
        <v/>
      </c>
      <c r="D266" s="75" t="n">
        <v>99</v>
      </c>
      <c r="E266" s="66" t="inlineStr">
        <is>
          <t>Opuntia microdasys</t>
        </is>
      </c>
      <c r="F266" s="76">
        <f>"public/sale_plants/"&amp;A266&amp;".jpg"</f>
        <v/>
      </c>
      <c r="G266" s="77" t="inlineStr">
        <is>
          <t>(4"-6")</t>
        </is>
      </c>
      <c r="H266" s="95" t="inlineStr">
        <is>
          <t>Low</t>
        </is>
      </c>
      <c r="I266" s="66" t="inlineStr">
        <is>
          <t>Low</t>
        </is>
      </c>
      <c r="J266" s="66" t="inlineStr">
        <is>
          <t>High</t>
        </is>
      </c>
      <c r="K266" s="79" t="n">
        <v>99</v>
      </c>
      <c r="L266" s="81" t="inlineStr">
        <is>
          <t>Cactus</t>
        </is>
      </c>
      <c r="M266" s="81" t="n">
        <v>1</v>
      </c>
      <c r="N266" s="80" t="n">
        <v>0</v>
      </c>
      <c r="O266" s="81" t="n">
        <v>0</v>
      </c>
      <c r="P266" s="80" t="n">
        <v>0</v>
      </c>
      <c r="Q266" s="81">
        <f>IF(Local!I266=TRUE,1,0)</f>
        <v/>
      </c>
      <c r="R266" s="81">
        <f>Local!D266</f>
        <v/>
      </c>
      <c r="S266" s="81">
        <f>Local!F266</f>
        <v/>
      </c>
      <c r="T266" s="81">
        <f>Local!G266</f>
        <v/>
      </c>
      <c r="U266" s="83" t="inlineStr">
        <is>
          <t>## About
The Bunny Ear Cactus is a popular ornamental cactus known for its flat, oval-shaped pads that resemble rabbit ears. This variety features bright green pads covered with clusters of small red or orange glochids (tiny hair-like spines) that give it a polka-dotted appearance. It's a fun and attractive addition to any succulent collection.
## Origin
The Bunny Ear Cactus is native to northern Mexico and desert regions of the United States. It grows naturally in hot, dry climates with sandy or rocky soil. This cactus is well-adapted to harsh desert conditions and can tolerate extreme temperatures.
## Temperature &amp; Humidity
- **Temperature Range:** 15Â°C to 40Â°C (can tolerate higher temperatures in Indian summers)
- **Humidity:** Low humidity preferred, around 20% to 40%. This cactus thrives in dry conditions and does not require any additional humidity. It's perfect for the dry climate found in many parts of India.
## Growth
The Bunny Ear Cactus is a slow to moderate grower that can reach a height of 40-60 cm and spread about 30-45 cm wide when mature. It grows by producing new pads from existing ones, creating a bushy, compact plant over time. Young plants start with just a few pads and gradually develop into fuller specimens over 2-3 years.
## Watering
- **Frequency:** Once every 2-3 weeks depending on season and weather conditions. During Indian monsoon season, reduce watering significantly or stop completely if kept outdoors.
- **Tips:** Always let the soil dry out completely between waterings. Water less in winter months (once a month or less). Never let the plant sit in water as this leads to root rot. In hot Indian summers, you may need to water slightly more often, but always check soil dryness first. Water at the base of the plant, avoiding the pads.
## Sunlight
- **Hours per day:** 6 to 8 hours
- **Type:** Direct bright sunlight. This cactus loves full sun and thrives in the intense Indian sunlight. Can tolerate partial shade but grows best with maximum direct light.
## Care Tips
- Handle with care as the red glochids (tiny spines) can stick to skin and are difficult to remove
- Keep in terracotta pots which allow better drainage and air circulation
- Perfect for hot Indian summers - this plant actually enjoys the heat
- Can be kept on sunny balconies, terraces, or window sills with direct sunlight
- Protect from heavy monsoon rains to prevent overwatering
- Minimal maintenance required - ideal for beginners
- In extreme heat above 45Â°C, provide some afternoon shade to prevent pad burn
## Growth Tips
- Use well-draining cactus or succulent soil mix (mix regular soil with 50% coarse sand and perlite)
- Add small stones or gravel at the bottom of the pot for extra drainage
- Fertilize sparingly - once every 2-3 months during growing season (spring and summer) with diluted cactus fertilizer
- Repot only when the plant outgrows its container, typically every 2-3 years
- Use gloves or thick newspaper when handling to avoid getting glochids in your skin
- Propagate easily by separating pads and letting them dry for a few days before planting
## Common Problems
- **Overwatering:** Soft, mushy, or yellowing pads indicate root rot from too much water
- **Underwatering:** Wrinkled or shriveled pads mean the plant needs water
- **Etiolation:** Stretched, pale growth indicates insufficient sunlight
- **Pad drop:** Can occur due to sudden temperature changes or overwatering
- **Pest issues:** Mealybugs and scale insects may appear - remove with rubbing alcohol on cotton swabs
- **Glochid irritation:** The tiny spines can cause skin irritation - use tape to remove them from skin
- **Brown spots:** May indicate sunburn if plant was suddenly moved to intense sun without gradual acclimatization</t>
        </is>
      </c>
      <c r="V266" s="98">
        <f>HYPERLINK("https://rosaryplanthouse.com/plant/"&amp;A266&amp;"-"&amp;SUBSTITUTE(LOWER(E266), " ", "-"))</f>
        <v/>
      </c>
      <c r="W266" t="inlineStr">
        <is>
          <t>🟢 Opuntia microdasys (ID: 265)
🌵 Get ready to hop into the world of unique plants with our Opuntia Red, affectionately known as the Bunny Ear Cactus! 🐰✨ This stunning cactus boasts eye-catching green pads adorned with clusters of vibrant red glochids, giving it a delightful polka-dotted flair. Perfect for adding a playful touch to your home!
🌞 Native to the sun-soaked deserts of northern Mexico and the U.S., this resilient cactus thrives in high sunlight and low humidity, making it an ideal companion for those warm, dry days! With minimal watering needs and a compact growth habit, it's perfect for both seasoned plant parents and beginners.
🌱 **Key Details:**
- **Watering:** Every 2-3 weeks, let the soil dry out completely.
- **Sunlight:** Loves 6-8 hours of direct sunlight daily.
- **Care:** Handle with care to avoid the pesky glochids!
👉 Ready to add this charming cactus to your collection? Click the link in bio to shop now! 
#OpuntiaMicrodasys #BunnyEarCactus #CactusLovers #PlantParenthood #DesertPlants #SucculentCollection #HousePlantClub #GreenThumb #PlantAddict #RosaryPlantHouse #CactusCare</t>
        </is>
      </c>
    </row>
    <row r="267" ht="99.5" customHeight="1">
      <c r="A267" s="94" t="n">
        <v>266</v>
      </c>
      <c r="B267" s="84" t="inlineStr">
        <is>
          <t>Peperomia Purple(Big)</t>
        </is>
      </c>
      <c r="C267" s="74">
        <f>IF(Local!H267,"1","0")</f>
        <v/>
      </c>
      <c r="D267" s="75" t="n">
        <v>69</v>
      </c>
      <c r="E267" s="66" t="inlineStr">
        <is>
          <t>Peperomia caperata</t>
        </is>
      </c>
      <c r="F267" s="76">
        <f>"public/sale_plants/"&amp;A267&amp;".jpg"</f>
        <v/>
      </c>
      <c r="G267" s="77" t="inlineStr">
        <is>
          <t>(4"-5")</t>
        </is>
      </c>
      <c r="H267" s="95" t="inlineStr">
        <is>
          <t>High</t>
        </is>
      </c>
      <c r="I267" s="66" t="inlineStr">
        <is>
          <t>Medium</t>
        </is>
      </c>
      <c r="J267" s="66" t="inlineStr">
        <is>
          <t>Low</t>
        </is>
      </c>
      <c r="K267" s="79" t="n">
        <v>99</v>
      </c>
      <c r="L267" s="81" t="inlineStr">
        <is>
          <t>Peperomia</t>
        </is>
      </c>
      <c r="M267" s="81" t="n">
        <v>1</v>
      </c>
      <c r="N267" s="80" t="n">
        <v>0</v>
      </c>
      <c r="O267" s="81" t="n">
        <v>0</v>
      </c>
      <c r="P267" s="80" t="n">
        <v>1</v>
      </c>
      <c r="Q267" s="81">
        <f>IF(Local!I267=TRUE,1,0)</f>
        <v/>
      </c>
      <c r="R267" s="81">
        <f>Local!D267</f>
        <v/>
      </c>
      <c r="S267" s="81">
        <f>Local!F267</f>
        <v/>
      </c>
      <c r="T267" s="81">
        <f>Local!G267</f>
        <v/>
      </c>
      <c r="U267" s="83" t="inlineStr">
        <is>
          <t>## About
Ripple Peperomia is a beautiful small houseplant known for its deeply textured, heart-shaped leaves that have a unique rippled or corrugated surface. The leaves are dark green with silvery-green veins, giving them a stunning decorative look. This compact plant is perfect for small spaces and is loved by indoor gardeners across India.
## Origin
Peperomia caperata originally comes from the tropical rainforests of Brazil in South America. It grows naturally in the shaded forest floor where it receives filtered light and enjoys warm, humid conditions. This makes it well-suited to Indian homes where similar conditions can be easily created.
## Temperature &amp; Humidity
- **Temperature Range:** 18Â°C to 27Â°C
- **Humidity:** Prefers moderate to high humidity levels between 50% to 70%. The plant can tolerate typical Indian household humidity but thrives better with occasional misting or when placed near other plants. During dry winter months or in air-conditioned rooms, consider using a pebble tray with water to maintain humidity.
## Growth
Ripple Peperomia is a slow-growing, compact plant that typically reaches 15 to 20 cm in height and spreads about 20 to 25 cm wide. It forms a nice clump of textured leaves growing from the center. The plant stays small and tidy, making it ideal for tabletops, shelves, and small pots. It grows in a rosette pattern with leaves emerging from a central point.
## Watering
- **Frequency:** Once a week depending on season and weather conditions. During hot Indian summers, you may need to water twice a week, while in monsoon and winter, once every 7-10 days is enough.
- **Tips:** Always check the top 2-3 cm of soil before watering. The soil should be slightly dry to touch. Peperomia has thick, fleshy leaves that store water, so it's better to underwater than overwater. Water thoroughly until it drains from the bottom, but never let the plant sit in water. Reduce watering during monsoon and winter months.
## Sunlight
- **Hours per day:** 3 to 5 hours
- **Type:** Bright indirect light or filtered light. Avoid direct sunlight as it can burn the delicate leaves and cause the beautiful colors to fade. The plant does well in low to medium light conditions, making it perfect for Indian homes where direct sunlight may be too harsh. A north or east-facing window with a sheer curtain is ideal.
## Care Tips
- Keep away from direct afternoon sun, especially during Indian summers (March to June)
- Wipe leaves gently with a damp cloth once a month to remove dust and keep them shiny
- Avoid placing near air conditioner vents or fans as sudden temperature changes can stress the plant
- During monsoon season, ensure good air circulation to prevent fungal issues
- The plant does well in typical Indian room temperatures and doesn't need special arrangements
- Mist occasionally during dry summer months but avoid misting too much as it can cause fungal problems
- Rotate the pot every few weeks for even growth
## Growth Tips
- Use well-draining potting mix. A mix of regular potting soil, cocopeat, and perlite or sand in 2:1:1 ratio works well
- Add organic compost or vermicompost to the soil for better nutrition
- Fertilize once a month during the growing season (spring and summer) with diluted liquid fertilizer at half strength
- Avoid fertilizing during monsoon and winter when growth slows down
- Repot only when the plant becomes root-bound, typically every 2 to 3 years
- Choose a pot only slightly bigger than the current one as Peperomia prefers slightly tight spaces
- Ensure pots have drainage holes to prevent waterlogging
- Prune dead or yellowing leaves at the base to keep the plant healthy and attractive
## Common Problems
- **Yellow leaves:** Usually caused by overwatering or poor drainage. Allow soil to dry between waterings
- **Drooping or wilting leaves:** Sign of underwatering or sometimes root rot from overwatering. Check soil moisture
- **Brown leaf tips:** Low humidity or inconsistent watering schedule
- **Leaves losing color or becoming pale:** Too much direct sunlight. Move to a shadier location
- **Slow or no growth:** Natural during winter or may need fertilizer during growing season
- **Black or mushy stems:** Root rot from overwatering or water sitting in the saucer
- **White powdery coating on leaves:** Powdery mildew from high humidity with poor air circulation
- **Small white insects on leaves:** Mealybugs can be wiped off with cotton dipped in rubbing alcohol
- **Leaf drop:** Sudden temperature changes or drafts from AC or fans</t>
        </is>
      </c>
      <c r="V267" s="98">
        <f>HYPERLINK("https://rosaryplanthouse.com/plant/"&amp;A267&amp;"-"&amp;SUBSTITUTE(LOWER(E267), " ", "-"))</f>
        <v/>
      </c>
      <c r="W267" t="inlineStr">
        <is>
          <t>🟢 Peperomia Caperata (ID: 266)  
🌿 Meet the Ripple Peperomia, your new favorite indoor companion! This stunning plant features deeply textured, heart-shaped leaves adorned with silvery-green veins, bringing a touch of elegance to any space. Perfect for small areas, it's a must-have for plant lovers!  
✨ **Key Details:**  
- Origin: Tropical rainforests of Brazil 🌴  
- Light: Thrives in bright indirect or filtered light ☀️  
- Watering: Medium, check soil moisture before watering 💧  
- Humidity: Prefers moderate to high humidity levels 🌫️  
Ready to elevate your indoor garden? 🌱 Click the **Link in bio** to welcome the Ripple Peperomia into your home today!  
#PeperomiaCaperata #RipplePeperomia #IndoorPlants #PlantLovers #HousePlants #PlantCare #GreenThumb #HomeDecor #PlantParent #RosaryPlantHouse #BotanicalBeauty #PlantGoals #IndoorJungle #HouseplantClub #PlantOfTheDay</t>
        </is>
      </c>
    </row>
    <row r="268" ht="99.5" customHeight="1">
      <c r="A268" s="94" t="n">
        <v>267</v>
      </c>
      <c r="B268" s="84" t="inlineStr">
        <is>
          <t>Peperomia Grey(Big)</t>
        </is>
      </c>
      <c r="C268" s="74">
        <f>IF(Local!H268,"1","0")</f>
        <v/>
      </c>
      <c r="D268" s="75" t="n">
        <v>79</v>
      </c>
      <c r="E268" s="66" t="inlineStr">
        <is>
          <t>Peperomia caperata</t>
        </is>
      </c>
      <c r="F268" s="76">
        <f>"public/sale_plants/"&amp;A268&amp;".jpg"</f>
        <v/>
      </c>
      <c r="G268" s="77" t="inlineStr">
        <is>
          <t>(4"-5")</t>
        </is>
      </c>
      <c r="H268" s="95" t="inlineStr">
        <is>
          <t>High</t>
        </is>
      </c>
      <c r="I268" s="66" t="inlineStr">
        <is>
          <t>Medium</t>
        </is>
      </c>
      <c r="J268" s="66" t="inlineStr">
        <is>
          <t>Low</t>
        </is>
      </c>
      <c r="K268" s="79" t="n">
        <v>99</v>
      </c>
      <c r="L268" s="81" t="inlineStr">
        <is>
          <t>Peperomia</t>
        </is>
      </c>
      <c r="M268" s="81" t="n">
        <v>1</v>
      </c>
      <c r="N268" s="80" t="n">
        <v>0</v>
      </c>
      <c r="O268" s="81" t="n">
        <v>0</v>
      </c>
      <c r="P268" s="81" t="n">
        <v>1</v>
      </c>
      <c r="Q268" s="81">
        <f>IF(Local!I268=TRUE,1,0)</f>
        <v/>
      </c>
      <c r="R268" s="81">
        <f>Local!D268</f>
        <v/>
      </c>
      <c r="S268" s="81">
        <f>Local!F268</f>
        <v/>
      </c>
      <c r="T268" s="81">
        <f>Local!G268</f>
        <v/>
      </c>
      <c r="U268" s="83" t="inlineStr">
        <is>
          <t>## About
Ripple Peperomia is a beautiful indoor plant loved for its deeply textured, heart-shaped leaves with unique rippled patterns. The green variety has bright green leaves with darker green veins that create a stunning corrugated effect. This compact plant is perfect for small spaces and is very popular among indoor plant lovers in India.
## Origin
Peperomia caperata comes from the tropical rainforests of Brazil in South America. It grows naturally on the forest floor under the shade of tall trees, which explains why it loves indirect light and humid conditions.
## Temperature &amp; Humidity
- **Temperature Range:** 18Â°C to 26Â°C
- **Humidity:** Prefers moderate to high humidity levels between 50% to 70%. In Indian homes, it does well during monsoon season but may need extra care during dry winter months or in air-conditioned rooms.
## Growth
Ripple Peperomia is a small, compact plant that grows slowly. It typically reaches 15 to 20 centimeters in height and spreads about 20 to 25 centimeters wide. The plant grows in a clump-forming manner with leaves emerging from the center. It stays neat and tidy, making it perfect for tabletops, shelves, and desks. The growth is slow to moderate, so you won't need to repot it very often.
## Watering
- **Frequency:** Water once a week depending on season and weather conditions. During hot Indian summers, you may need to water twice a week, while in winter and monsoon, reduce to once every 10 days.
- **Tips:** Always check the top layer of soil before watering. Let the top 2 to 3 centimeters of soil dry out between waterings. Peperomia has thick, fleshy leaves that store water, so it doesn't like soggy soil. Use room temperature water and avoid getting water on the leaves to prevent fungal problems. Water less during monsoon season.
## Sunlight
- **Hours per day:** 2 to 4 hours
- **Type:** Bright indirect light or filtered light. Avoid direct sunlight as it can burn the delicate leaves and fade the beautiful green color. Place it near a north or east-facing window in your home.
## Care Tips
- Keep the plant away from direct afternoon sun, especially during harsh Indian summers
- Increase humidity during dry winter months by misting lightly once or twice a week or placing the pot on a pebble tray with water
- Wipe the textured leaves gently with a soft, damp cloth every few weeks to remove dust
- Protect from cold drafts during winter, especially in North India where temperatures drop
- Works well in air-conditioned rooms but keep away from direct AC vents
- Ideal for beginners as it is quite forgiving and low maintenance
## Growth Tips
- Use well-draining potting mix. A mix of regular potting soil, cocopeat, and perlite in equal parts works best
- Add a handful of vermicompost or organic compost for nutrients
- Fertilize once a month during the growing season (March to October) with a balanced liquid fertilizer diluted to half strength
- Avoid fertilizing during winter months when growth slows down
- Repot only when the plant becomes root-bound, usually every 2 to 3 years
- Use a pot with drainage holes to prevent water logging
- Choose a pot only slightly larger than the current one as Peperomia likes to be slightly root-bound
## Common Problems
- **Yellow leaves:** Usually caused by overwatering. Allow soil to dry out more between waterings
- **Brown leaf edges:** Low humidity or underwatering. Increase humidity and check watering schedule
- **Drooping leaves:** Can be either overwatering or underwatering. Check soil moisture to determine the cause
- **Leggy growth:** Not enough light. Move to a brighter location with more indirect light
- **White powdery substance on leaves:** Mealybugs. Wipe with cotton dipped in neem oil solution
- **Root rot:** Caused by overwatering and poor drainage. Use well-draining soil and reduce watering
- **Slow growth:** Normal for this plant, but can also indicate lack of nutrients. Feed monthly during growing season</t>
        </is>
      </c>
      <c r="V268" s="98">
        <f>HYPERLINK("https://rosaryplanthouse.com/plant/"&amp;A268&amp;"-"&amp;SUBSTITUTE(LOWER(E268), " ", "-"))</f>
        <v/>
      </c>
      <c r="W268" t="inlineStr">
        <is>
          <t>🟢 Peperomia caperata (ID: 267)
🌿 Meet the Ripple Peperomia – your new indoor companion! This beauty is adored for its textured, heart-shaped leaves that boast unique rippled patterns. Perfect for adding a touch of greenery to small spaces, it’s a must-have for plant lovers! 
✨ **About**: Originating from the lush rainforests of Brazil, the Ripple Peperomia thrives in shaded environments, making it ideal for your cozy home. It prefers low sunlight and moderate humidity, ensuring it stays healthy and happy in your living space.
🌱 **Key Details**:
- **Watering**: Medium - Water once a week; adjust during seasons.
- **Sunlight**: Low - Enjoys bright indirect light.
- **Temperature**: Prefers 18°C to 26°C.
- **Humidity**: Moderate to high, thriving in 50% to 70%.
🛒 Want to bring this lovely plant home? Check the **Link in bio**! 
#Peperomia #IndoorPlants #PlantLovers #Houseplants #GreenThumb #HomeDecor #PlantCare #IndoorGardening #UrbanJungle #BotanicalBeauty #RosaryPlantHouse #PlantOfTheDay #PlantParent #NatureLovers 🍃</t>
        </is>
      </c>
    </row>
    <row r="269" ht="99.5" customHeight="1">
      <c r="A269" s="94" t="n">
        <v>268</v>
      </c>
      <c r="B269" s="84" t="inlineStr">
        <is>
          <t>Stone FIat Green (Big)</t>
        </is>
      </c>
      <c r="C269" s="74">
        <f>IF(Local!H269,"1","0")</f>
        <v/>
      </c>
      <c r="D269" s="75" t="n">
        <v>99</v>
      </c>
      <c r="E269" s="66" t="inlineStr">
        <is>
          <t>Haworthia retusa</t>
        </is>
      </c>
      <c r="F269" s="76">
        <f>"public/sale_plants/"&amp;A269&amp;".jpg"</f>
        <v/>
      </c>
      <c r="G269" s="77" t="inlineStr">
        <is>
          <t>(3"-4")</t>
        </is>
      </c>
      <c r="H269" s="95" t="inlineStr">
        <is>
          <t>Low</t>
        </is>
      </c>
      <c r="I269" s="66" t="inlineStr">
        <is>
          <t>Low</t>
        </is>
      </c>
      <c r="J269" s="66" t="inlineStr">
        <is>
          <t>Medium</t>
        </is>
      </c>
      <c r="K269" s="79" t="n">
        <v>249</v>
      </c>
      <c r="L269" s="81" t="inlineStr">
        <is>
          <t>Haworthia</t>
        </is>
      </c>
      <c r="M269" s="81" t="n">
        <v>1</v>
      </c>
      <c r="N269" s="80" t="n">
        <v>0</v>
      </c>
      <c r="O269" s="81" t="n">
        <v>0</v>
      </c>
      <c r="P269" s="80" t="n">
        <v>1</v>
      </c>
      <c r="Q269" s="81">
        <f>IF(Local!I269=TRUE,1,0)</f>
        <v/>
      </c>
      <c r="R269" s="81">
        <f>Local!D269</f>
        <v/>
      </c>
      <c r="S269" s="81">
        <f>Local!F269</f>
        <v/>
      </c>
      <c r="T269" s="81">
        <f>Local!G269</f>
        <v/>
      </c>
      <c r="U269" s="83" t="inlineStr">
        <is>
          <t>## About
The Window Haworthia is a beautiful small succulent known for its unique star-shaped rosette pattern and thick, fleshy leaves that look like little green triangles pointing upward. This plant is popular among collectors and beginners alike because it is easy to care for and looks stunning in small pots or arrangements.
## Origin
This plant originally comes from South Africa, specifically from the Eastern Cape region. In its natural habitat, it grows in rocky areas under bushes and shrubs, protected from direct sunlight. This is why it prefers bright indirect light rather than harsh direct sun.
## Temperature &amp; Humidity
- **Temperature Range:** 15Â°C to 30Â°C
- **Humidity:** This plant does well in normal to low humidity conditions, typically between 30% to 50%. It is well-suited for Indian homes as it can handle the dry air of air-conditioned rooms as well as natural humidity levels in most parts of India.
## Growth
Window Haworthia is a slow-growing plant that stays compact. It typically grows up to 8 to 10 cm in height and spreads about 10 to 12 cm wide. The plant forms tight rosettes and produces offsets (baby plants) around the base over time. These offsets can be separated and replanted to grow new plants. The growth is very manageable, making it perfect for small spaces, desks, or windowsills.
## Watering
- **Frequency:** Water once every 10-14 days depending on other parameters like season, temperature, and pot size. In Indian summers, you may need to water once a week, while in monsoon and winter, water less frequently.
- **Tips:** Always check if the soil is completely dry before watering. Water thoroughly until water drains out from the bottom, then wait for the soil to dry again. Avoid getting water on the center of the rosette as it can cause rot. During the monsoon season, reduce watering significantly as high humidity and rain can keep the soil moist for longer.
## Sunlight
- **Hours per day:** 3 to 4 hours of bright indirect light
- **Type:** Bright indirect or filtered light works best. Avoid harsh direct afternoon sunlight, especially in Indian summers, as it can burn the leaves and turn them brown or reddish. Morning sunlight for 1-2 hours is beneficial. Can also thrive under bright artificial light indoors.
## Care Tips
- Keep the plant in a well-ventilated spot to prevent fungal issues, especially during humid monsoon months
- Protect from temperatures below 10Â°C during winter nights in North India
- If leaves turn brown or red, move the plant to a shadier location
- Wipe dust off the leaves gently with a soft cloth to keep the plant healthy
- This plant is pet-friendly and non-toxic, making it safe for homes with cats and dogs
- Ideal for beginners as it requires minimal maintenance
## Growth Tips
- Use well-draining succulent or cactus soil mix; you can add perlite or coarse sand to regular potting soil for better drainage
- Fertilize only once every 2-3 months during the growing season (spring and summer) with a diluted succulent fertilizer
- Repot every 2-3 years or when the plant outgrows its pot; choose a pot only slightly larger than the current one
- Use terracotta or clay pots as they allow soil to dry faster compared to plastic pots
- Propagate by separating offsets gently from the mother plant and planting them in fresh soil
## Common Problems
- **Overwatering:** Leaves become soft, translucent, or mushy; roots may rot. Always let soil dry completely between waterings
- **Underwatering:** Leaves shrivel and become thin. Increase watering frequency slightly
- **Sunburn:** Leaves turn brown, red, or orange when exposed to too much direct sun. Move to a shadier spot
- **Pests:** Mealybugs may appear as white cottony spots on leaves. Remove with a cotton swab dipped in rubbing alcohol
- **Stretching (Etiolation):** Plant grows tall and leggy when not getting enough light. Move to a brighter location
- **Root rot:** Caused by poor drainage or overwatering. Ensure pot has drainage holes and soil dries between waterings</t>
        </is>
      </c>
      <c r="V269" s="98">
        <f>HYPERLINK("https://rosaryplanthouse.com/plant/"&amp;A269&amp;"-"&amp;SUBSTITUTE(LOWER(E269), " ", "-"))</f>
        <v/>
      </c>
      <c r="W269" t="inlineStr">
        <is>
          <t>🟢 Haworthia Retusa (ID: 268)  
✨ Meet the stunning Stone Flat Green! 🌱 This charming succulent is perfect for both beginners and seasoned plant lovers alike. With its unique star-shaped rosette and thick, fleshy leaves, it's a true gem for your indoor space! 🏡
🌟 **About:** Originating from the rocky terrains of South Africa, this beauty thrives in bright indirect light and is known for its low maintenance needs. It's an ideal companion for your windowsill or desk!
🌞 **Key Details:**  
- **Watering:** Low frequency (every 10-14 days)  
- **Sunlight:** Prefers 3-4 hours of bright indirect light  
- **Care:** Pet-friendly and non-toxic! Perfect for homes with furry friends 🐾  
👉 Ready to bring this lovely plant home? Check out the link in bio!  
#HaworthiaRetusa #SucculentLove #PlantParenthood #IndoorPlants #HouseplantGoals #PlantCareTips #RosaryPlantHouse #GreenThumb #PlantsOfInstagram #SucculentCare #HomeDecor #PlantLife #PlantCollection #SucculentAddict #IndoorJungle #PlantLovers #CactusAndSucculents #ShopLocal #GreenLiving 🌿</t>
        </is>
      </c>
    </row>
    <row r="270" ht="99.5" customHeight="1">
      <c r="A270" s="94" t="n">
        <v>269</v>
      </c>
      <c r="B270" s="84" t="inlineStr">
        <is>
          <t>Stone FIat Brown (Big)</t>
        </is>
      </c>
      <c r="C270" s="74">
        <f>IF(Local!H270,"1","0")</f>
        <v/>
      </c>
      <c r="D270" s="75" t="n">
        <v>99</v>
      </c>
      <c r="E270" s="66" t="inlineStr">
        <is>
          <t>Haworthia bayeri</t>
        </is>
      </c>
      <c r="F270" s="76">
        <f>"public/sale_plants/"&amp;A270&amp;".jpg"</f>
        <v/>
      </c>
      <c r="G270" s="77" t="inlineStr">
        <is>
          <t>(3"-4")</t>
        </is>
      </c>
      <c r="H270" s="95" t="inlineStr">
        <is>
          <t>Low</t>
        </is>
      </c>
      <c r="I270" s="66" t="inlineStr">
        <is>
          <t>Low</t>
        </is>
      </c>
      <c r="J270" s="66" t="inlineStr">
        <is>
          <t>Medium</t>
        </is>
      </c>
      <c r="K270" s="79" t="n">
        <v>249</v>
      </c>
      <c r="L270" s="81" t="inlineStr">
        <is>
          <t>Haworthia</t>
        </is>
      </c>
      <c r="M270" s="81" t="n">
        <v>1</v>
      </c>
      <c r="N270" s="80" t="n">
        <v>0</v>
      </c>
      <c r="O270" s="81" t="n">
        <v>0</v>
      </c>
      <c r="P270" s="80" t="n">
        <v>1</v>
      </c>
      <c r="Q270" s="81">
        <f>IF(Local!I270=TRUE,1,0)</f>
        <v/>
      </c>
      <c r="R270" s="81">
        <f>Local!D270</f>
        <v/>
      </c>
      <c r="S270" s="81">
        <f>Local!F270</f>
        <v/>
      </c>
      <c r="T270" s="81">
        <f>Local!G270</f>
        <v/>
      </c>
      <c r="U270" s="83" t="inlineStr">
        <is>
          <t>## About
Haworthia bayeri is a beautiful small succulent plant with thick, rounded leaves that form a tight rosette pattern. This attractive plant is popular among succulent collectors for its unique window-like leaf structure and compact growth habit.
## Origin
This plant comes from South Africa, where it grows naturally in rocky areas and grasslands. It is found in the Eastern Cape region, growing in partial shade under bushes and rocks.
## Temperature &amp; Humidity
- **Temperature Range:** 15Â°C to 30Â°C
- **Humidity:** Prefers low to moderate humidity levels (30% to 50%). It can handle the dry conditions common in most Indian homes, making it an excellent indoor plant.
## Growth
Haworthia bayeri is a slow-growing succulent that stays compact and small. It typically grows to about 5-8 cm in height and 8-10 cm in width. The plant forms neat rosettes with thick, plump leaves that have translucent "windows" on top. It produces offsets (baby plants) around the base, creating small clumps over time. Growth is especially slow during hot summers and cold winters.
## Watering
- **Frequency:** Once every 10-14 days depending on season and weather conditions. Water less in monsoon and winter, more during hot dry periods.
- **Tips:** Always check if the soil is completely dry before watering. Water thoroughly until it drains from the bottom, then let it dry out completely. Reduce watering in winter to once every 3 weeks. Avoid getting water on the leaves or in the center of the rosette, as this can cause rot. In Indian monsoon season, move the plant to a covered area to prevent overwatering from rain.
## Sunlight
- **Hours per day:** 3 to 4 hours
- **Type:** Bright indirect light or filtered morning sunlight. Avoid harsh afternoon sun which can burn the leaves and turn them brown or red.
## Care Tips
- Place near an east-facing window for gentle morning light
- Protect from intense afternoon sun, especially during Indian summer months (April to June)
- Keep in a well-ventilated area to prevent fungal issues during humid monsoon season
- Avoid placing in full sun as leaves will get sunburned and lose their attractive green color
- Clean leaves gently with a soft brush to remove dust
- This plant does well in air-conditioned rooms
- Move outdoors occasionally for fresh air but keep in shade
## Growth Tips
- Use a well-draining cactus or succulent soil mix with added perlite or cocopeat
- Add sand or pumice to regular potting soil (50% soil, 50% drainage material)
- Use a terracotta or clay pot for better air circulation and drainage
- Fertilize once every 2-3 months during growing season (spring and autumn) with diluted succulent fertilizer
- Repot every 2-3 years in spring using fresh soil mix
- Choose a pot only slightly larger than the plant
- Separate offsets carefully to propagate new plants
## Common Problems
- **Brown or red leaves:** Too much direct sunlight; move to a shadier spot
- **Soft, mushy leaves:** Overwatering or root rot; reduce watering and check for drainage
- **Stretched, elongated growth:** Not enough light; move to a brighter location
- **Shriveled leaves:** Underwatering; increase watering frequency slightly
- **White patches on leaves:** Mealybugs; wipe with cotton dipped in rubbing alcohol
- **Black spots:** Fungal infection from excess moisture; improve air circulation and reduce watering
- **No growth:** Normal during extreme heat or cold; plant goes dormant</t>
        </is>
      </c>
      <c r="V270" s="98">
        <f>HYPERLINK("https://rosaryplanthouse.com/plant/"&amp;A270&amp;"-"&amp;SUBSTITUTE(LOWER(E270), " ", "-"))</f>
        <v/>
      </c>
      <c r="W270" t="inlineStr">
        <is>
          <t>🟢 Haworthia bayeri (ID: 269)
🌿 Meet the stunning Stone Flat Brown! This charming succulent is a must-have for any plant lover's collection, with its unique window-like leaves that create an enchanting rosette pattern. 
💚 Native to the rocky terrains of South Africa, the Haworthia bayeri thrives in low to moderate humidity and makes a perfect indoor companion. Its compact growth and easy-care nature make it ideal for both seasoned collectors and beginners alike!
✨ **Key Details:**
- **Watering:** Low; every 10-14 days
- **Sunlight:** Prefers bright, indirect light 
- **Care Tips:** Keep near an east-facing window and avoid direct afternoon sun 
👉 Ready to add this beauty to your plant family? 🌱 Link in bio!
#HaworthiaBayeri #StoneFlatBrown #SucculentLove #IndoorPlants #PlantCare #RosaryPlantHouse #PlantAddict #GreenThumb #SucculentCollection #HomeDecor #Houseplants #PlantParent #SucculentGarden #PlantGoals</t>
        </is>
      </c>
    </row>
    <row r="271" ht="99.5" customHeight="1">
      <c r="A271" s="94" t="n">
        <v>270</v>
      </c>
      <c r="B271" s="84" t="inlineStr">
        <is>
          <t>Miniature Aloe (Big)</t>
        </is>
      </c>
      <c r="C271" s="74">
        <f>IF(Local!H271,"1","0")</f>
        <v/>
      </c>
      <c r="D271" s="75" t="n">
        <v>99</v>
      </c>
      <c r="E271" s="66" t="inlineStr">
        <is>
          <t>Gasteria bicolor var. liliputana</t>
        </is>
      </c>
      <c r="F271" s="76">
        <f>"public/sale_plants/"&amp;A271&amp;".jpg"</f>
        <v/>
      </c>
      <c r="G271" s="77" t="inlineStr">
        <is>
          <t>(3"-4")</t>
        </is>
      </c>
      <c r="H271" s="95" t="inlineStr">
        <is>
          <t>Low</t>
        </is>
      </c>
      <c r="I271" s="66" t="inlineStr">
        <is>
          <t>Low</t>
        </is>
      </c>
      <c r="J271" s="66" t="inlineStr">
        <is>
          <t>Medium</t>
        </is>
      </c>
      <c r="K271" s="79" t="n">
        <v>199</v>
      </c>
      <c r="L271" s="81" t="inlineStr">
        <is>
          <t>Aloe</t>
        </is>
      </c>
      <c r="M271" s="81" t="n">
        <v>1</v>
      </c>
      <c r="N271" s="80" t="n">
        <v>0</v>
      </c>
      <c r="O271" s="81" t="n">
        <v>0</v>
      </c>
      <c r="P271" s="81" t="n">
        <v>1</v>
      </c>
      <c r="Q271" s="81">
        <f>IF(Local!I271=TRUE,1,0)</f>
        <v/>
      </c>
      <c r="R271" s="81">
        <f>Local!D271</f>
        <v/>
      </c>
      <c r="S271" s="81">
        <f>Local!F271</f>
        <v/>
      </c>
      <c r="T271" s="81">
        <f>Local!G271</f>
        <v/>
      </c>
      <c r="U271" s="83" t="inlineStr">
        <is>
          <t>## About
The Dwarf Gasteria is a small, compact succulent with beautiful spotted green leaves that form a neat rosette. This charming plant is native to South Africa and is known for its hardy nature and attractive appearance, making it perfect for beginners and experienced plant lovers alike.
## Origin
This plant comes from the Eastern Cape region of South Africa, where it grows naturally in rocky areas and shaded spots under bushes. It is well adapted to dry conditions and thrives in areas with minimal rainfall.
## Temperature &amp; Humidity
- **Temperature Range:** 15Â°C to 35Â°C
- **Humidity:** Low to moderate humidity (30% to 50%). This plant tolerates the dry climate found in most Indian homes very well and does not require high humidity.
## Growth
Dwarf Gasteria is a slow-growing succulent that stays compact, typically reaching 8-15 cm in height and 10-15 cm in width. The thick, tongue-shaped leaves are arranged in a rosette pattern and feature attractive white or pale green spots. The plant produces offsets (baby plants) around the base, which can be used for propagation. Growth is steady but not fast, making it an easy plant to manage in small spaces.
## Watering
- **Frequency:** Once every 10-14 days depending on season and weather conditions. During monsoon season or winter, water even less frequently.
- **Tips:** Water deeply but allow the soil to dry out completely between waterings. Always check the soil by inserting your finger 2-3 cm deepâ€”if it feels dry, it's time to water. Avoid getting water on the leaves as this can cause rot. Reduce watering significantly during the cooler months from November to February.
## Sunlight
- **Hours per day:** 3 to 5 hours
- **Type:** Bright indirect light or filtered morning sunlight. Avoid harsh afternoon sun which can burn the leaves and cause brown patches.
## Care Tips
- **Perfect for indoor spaces** like windowsills, desks, or shelves with good natural light
- **Protect from intense afternoon sun** during Indian summers (April-June) as it can scorch the leaves
- **Keep away from heavy rain** during monsoon season to prevent root rot
- **Ideal for air-conditioned rooms** as it tolerates lower humidity well
- **Rotate the pot** every few weeks to ensure even growth on all sides
- **Clean leaves gently** with a soft brush to remove dust and maintain the beautiful spotted pattern
## Growth Tips
- **Soil:** Use a well-draining cactus or succulent mix. You can make your own by mixing regular potting soil with coarse sand and perlite in a 1:1:1 ratio
- **Fertilizer:** Feed once every 2-3 months during growing season (March to October) with a diluted succulent fertilizer. Avoid fertilizing in winter
- **Repotting:** Repot every 2-3 years in spring when the plant outgrows its pot or produces many offsets. Use a pot with drainage holes
- **Propagation:** Easy to propagate from offsets. Gently separate baby plants from the mother plant and allow the cut to dry for 1-2 days before planting in fresh soil
## Common Problems
- **Soft, mushy leaves:** Usually caused by overwatering or poor drainage. Reduce watering frequency immediately
- **Brown or yellow leaves:** Often due to too much direct sunlight or sunburn. Move to a shadier location
- **Stretching or leaning growth:** Indicates insufficient light. Move the plant to a brighter spot
- **Mealybugs:** Small white cottony pests that hide between leaves. Remove with cotton swabs dipped in rubbing alcohol
- **Root rot:** Caused by waterlogged soil or pots without drainage holes. Always ensure proper drainage
- **Slow or no growth:** Normal during winter months. This is the plant's dormant period and nothing to worry about</t>
        </is>
      </c>
      <c r="V271" s="98">
        <f>HYPERLINK("https://rosaryplanthouse.com/plant/"&amp;A271&amp;"-"&amp;SUBSTITUTE(LOWER(E271), " ", "-"))</f>
        <v/>
      </c>
      <c r="W271" t="inlineStr">
        <is>
          <t>🟢 Miniature Aloe (ID: 270)
🌱 Meet the charming **Gasteria bicolor var. liliputana**, your new favorite compact succulent! 
This delightful plant boasts stunning spotted green leaves that form a neat rosette, making it an eye-catching addition to any indoor space. Native to the rocky landscapes of South Africa, this hardy beauty thrives on low care, making it perfect for both beginners and seasoned plant parents. 
✨ **Key Details:**
- **Watering:** Low frequency, every 10-14 days 🌧️
- **Sunlight:** Enjoys bright indirect light, avoid harsh afternoon sun ☀️
- **Humidity:** Low to moderate, perfect for dry indoor climates 🌬️
- **Growth:** Slow-growing and compact, perfect for small spaces 🌿
Ready to bring a touch of the wild into your home? Check out our **Link in bio** for more details!
#MiniatureAloe #Gasteria #SucculentLove #IndoorPlants #PlantParenthood #Houseplants #PlantCare #SucculentCare #GreenThumb #PlantLovers #RosaryPlantHouse</t>
        </is>
      </c>
    </row>
    <row r="272" ht="99.5" customHeight="1">
      <c r="A272" s="94" t="n">
        <v>271</v>
      </c>
      <c r="B272" s="84" t="inlineStr">
        <is>
          <t>Green Aloe (Big)</t>
        </is>
      </c>
      <c r="C272" s="74">
        <f>IF(Local!H272,"1","0")</f>
        <v/>
      </c>
      <c r="D272" s="75" t="n">
        <v>69</v>
      </c>
      <c r="E272" s="66" t="inlineStr">
        <is>
          <t>Hechtia glauca</t>
        </is>
      </c>
      <c r="F272" s="76">
        <f>"public/sale_plants/"&amp;A272&amp;".jpg"</f>
        <v/>
      </c>
      <c r="G272" s="77" t="inlineStr">
        <is>
          <t>(4"-5")</t>
        </is>
      </c>
      <c r="H272" s="95" t="inlineStr">
        <is>
          <t>Low</t>
        </is>
      </c>
      <c r="I272" s="66" t="inlineStr">
        <is>
          <t>Low</t>
        </is>
      </c>
      <c r="J272" s="66" t="inlineStr">
        <is>
          <t>High</t>
        </is>
      </c>
      <c r="K272" s="79" t="n">
        <v>99</v>
      </c>
      <c r="L272" s="81" t="inlineStr">
        <is>
          <t>Aloe</t>
        </is>
      </c>
      <c r="M272" s="81" t="n">
        <v>1</v>
      </c>
      <c r="N272" s="80" t="n">
        <v>0</v>
      </c>
      <c r="O272" s="81" t="n">
        <v>0</v>
      </c>
      <c r="P272" s="80" t="n">
        <v>1</v>
      </c>
      <c r="Q272" s="81">
        <f>IF(Local!I272=TRUE,1,0)</f>
        <v/>
      </c>
      <c r="R272" s="81">
        <f>Local!D272</f>
        <v/>
      </c>
      <c r="S272" s="81">
        <f>Local!F272</f>
        <v/>
      </c>
      <c r="T272" s="81">
        <f>Local!G272</f>
        <v/>
      </c>
      <c r="U272" s="83" t="inlineStr">
        <is>
          <t>## About
Hechtia glauca, commonly known as Silver Star Hechtia, is a stunning rosette-forming succulent plant with distinctive silvery-green leaves that have serrated edges. This drought-tolerant plant is a member of the bromeliad family and creates an attractive star-shaped pattern when viewed from above.
## Origin
This plant is native to Mexico, particularly found in the rocky, arid regions of central Mexico. It grows naturally on rocky slopes and cliffs where it has adapted to survive in dry conditions with minimal water. The plant thrives in harsh, desert-like environments with excellent drainage.
## Temperature &amp; Humidity
- **Temperature Range:** 15Â°C to 40Â°C
- **Humidity:** Low to moderate humidity (30% to 50%). This plant is highly tolerant of dry conditions and does not require high humidity levels. It can handle the hot, dry summers typical of many Indian regions very well.
## Growth
Hechtia glauca grows in a compact rosette formation, typically reaching 20-30 cm in diameter and about 15-20 cm in height. The plant grows relatively slowly compared to other succulents. Over time, it may produce offsets or "pups" around the base, creating small clusters. The leaves are rigid, pointed, and have sharp teeth along the edges, so handle with care. The silvery-blue coloration becomes more pronounced when the plant receives adequate sunlight.
## Watering
- **Frequency:** Once every two weeks depending on season and weather conditions. During the monsoon season, reduce watering significantly or stop completely if the plant receives natural rainfall.
- **Tips:** Allow the soil to dry out completely between waterings. This plant is extremely drought-tolerant and overwatering is the most common cause of problems. Water less frequently during winter months (once every 3-4 weeks). Always water at the base of the plant and avoid getting water trapped in the rosette center.
## Sunlight
- **Hours per day:** 6 to 8 hours
- **Type:** Direct, bright sunlight. This plant loves full sun and will develop its best color and compact form when exposed to strong, direct sunlight.
## Care Tips
- Place the plant in the sunniest spot available in your garden or balcony
- Ensure excellent drainage to prevent root rot
- This plant handles Indian summers exceptionally well and needs no shade protection
- Be careful when handling as the leaf edges are sharp and can cut skin
- Remove dead or dried lower leaves to maintain appearance
- The plant is very low-maintenance and perfect for busy gardeners
- Can tolerate occasional neglect better than frequent attention
- Protect from prolonged monsoon rains by providing shelter or moving to a covered area
## Growth Tips
- Use a very well-draining soil mix: combine regular potting soil with coarse sand, perlite, and small gravel in equal parts
- Add some crushed brick or pumice for extra drainage
- Fertilize sparingly, only once every 2-3 months during the growing season (spring and summer) with a diluted succulent fertilizer
- Repotting is rarely needed, only when the plant outgrows its container (every 2-3 years)
- Use a wide, shallow pot with drainage holes rather than a deep pot
- Top-dress with small pebbles or gravel for aesthetic appeal and to keep the base dry
## Common Problems
- **Root rot:** Caused by overwatering or poor drainage. Leaves become soft and mushy at the base
- **Pale or elongated growth:** Indicates insufficient sunlight. Move to a brighter location
- **Brown leaf tips:** Usually caused by inconsistent watering or very low humidity, though this is generally not harmful
- **Mealybugs:** White cottony pests may appear between leaves. Remove with cotton swabs dipped in rubbing alcohol
- **Scale insects:** Brown bumps on leaves. Scrape off gently or treat with neem oil
- **Slow or no growth:** Normal for this species, but can also indicate it needs repotting or light fertilization
- **Leaf yellowing:** Often a sign of overwatering or poor soil drainage</t>
        </is>
      </c>
      <c r="V272" s="98">
        <f>HYPERLINK("https://rosaryplanthouse.com/plant/"&amp;A272&amp;"-"&amp;SUBSTITUTE(LOWER(E272), " ", "-"))</f>
        <v/>
      </c>
      <c r="W272" t="inlineStr">
        <is>
          <t>🟢 Hechtia glauca (ID: 271)
🌟 Meet the stunning Silver Star Hechtia! 🌟 This rosette-forming succulent is a true gem for your indoor oasis. With its distinctive silvery-green leaves and striking star-shaped pattern, it’s not just a plant; it’s a statement piece!
💚 **About:** Native to the rocky terrains of Mexico, Hechtia glauca thrives in low-water conditions, making it the perfect low-maintenance addition to your collection. Its gorgeous serrated edges and drought-tolerant nature ensure that you can enjoy its beauty without the fuss!
🌞 **Key Details:**
- **Watering:** Water every two weeks, allowing the soil to dry out completely.
- **Sunlight:** Loves 6-8 hours of direct sunlight daily for vibrant growth.
- **Care Tips:** Ideal for busy gardeners—this beauty tolerates neglect better than frequent attention!
✨ Ready to elevate your plant game? Discover the Hechtia glauca today! Link in bio.
#HechtiaGlauca #SilverStarHechtia #SucculentLove #LowMaintenancePlants #IndoorGarden #PlantCollection #RosaryPlantHouse #PlantCare #DroughtTolerant #SucculentCare #GreenThumb #PlantParent #HomeDecor #NatureLovers</t>
        </is>
      </c>
    </row>
    <row r="273" ht="99.5" customHeight="1">
      <c r="A273" s="94" t="n">
        <v>272</v>
      </c>
      <c r="B273" s="84" t="inlineStr">
        <is>
          <t>Opentia Twist</t>
        </is>
      </c>
      <c r="C273" s="74">
        <f>IF(Local!H273,"1","0")</f>
        <v/>
      </c>
      <c r="D273" s="79" t="n">
        <v>129</v>
      </c>
      <c r="E273" s="66" t="inlineStr">
        <is>
          <t>Opuntia microdasys 'Yellow Twist'</t>
        </is>
      </c>
      <c r="F273" s="76">
        <f>"public/sale_plants/"&amp;A273&amp;".jpg"</f>
        <v/>
      </c>
      <c r="G273" s="77" t="inlineStr">
        <is>
          <t>(2"-3")</t>
        </is>
      </c>
      <c r="H273" s="95" t="inlineStr">
        <is>
          <t>Low</t>
        </is>
      </c>
      <c r="I273" s="66" t="inlineStr">
        <is>
          <t>Low</t>
        </is>
      </c>
      <c r="J273" s="66" t="inlineStr">
        <is>
          <t>High</t>
        </is>
      </c>
      <c r="K273" s="79" t="n">
        <v>149</v>
      </c>
      <c r="L273" s="81" t="inlineStr">
        <is>
          <t>Cactus</t>
        </is>
      </c>
      <c r="M273" s="81" t="n">
        <v>0</v>
      </c>
      <c r="N273" s="80" t="n">
        <v>0</v>
      </c>
      <c r="O273" s="81" t="n">
        <v>0</v>
      </c>
      <c r="P273" s="80" t="n">
        <v>0</v>
      </c>
      <c r="Q273" s="81">
        <f>IF(Local!I273=TRUE,1,0)</f>
        <v/>
      </c>
      <c r="R273" s="81">
        <f>Local!D273</f>
        <v/>
      </c>
      <c r="S273" s="81">
        <f>Local!F273</f>
        <v/>
      </c>
      <c r="T273" s="81">
        <f>Local!G273</f>
        <v/>
      </c>
      <c r="U273" s="83" t="inlineStr">
        <is>
          <t>## About
The Yellow Twist Bunny Ear Cactus is a beautiful variety of Opuntia microdasys with flat, oval pads covered in bright yellow dots called glochids. This unique cactus has twisted and curled pads that create an interesting architectural shape, making it a popular choice for succulent collections and indoor gardens.
## Origin
This cactus originates from northern Mexico and parts of the southwestern United States. It grows naturally in desert areas where it receives plenty of sunshine and very little rainfall. The 'Yellow Twist' variety is a cultivated form selected for its unusual twisted growth pattern and bright yellow glochids.
## Temperature &amp; Humidity
- **Temperature Range:** 15Â°C to 40Â°C (can tolerate Indian summer heat very well)
- **Humidity:** Prefers low to moderate humidity (30% to 50%). This plant thrives in dry conditions and does not need high humidity like tropical plants.
## Growth
This cactus is a slow to moderate grower. It typically reaches 30 to 45 cm in height and can spread about 30 cm wide. The pads grow one on top of another in a stacked pattern, creating the twisted appearance. New pads emerge from the edges of older ones. Growth is more active during summer months and slows down during winter.
## Watering
- **Frequency:** Once every two weeks depending on season and weather conditions. In summer, water when soil is completely dry. In monsoon, reduce or stop watering. In winter, water once a month or less.
- **Tips:** Always check if the soil is completely dry before watering. Use the "soak and dry" method - water thoroughly and let all excess water drain out. Never let the pot sit in water. Overwatering is the most common cause of death for this cactus. Yellow or mushy pads indicate too much water.
## Sunlight
- **Hours per day:** 5 to 8 hours
- **Type:** Direct bright sunlight. This cactus loves full sun and will show the best color and growth in direct sunlight. Can tolerate some shade but may become leggy.
## Care Tips
- Protect from heavy monsoon rains as too much water can cause rot
- Use well-draining cactus soil mix with extra perlite or sand
- Be very careful when handling - the yellow glochids are tiny spines that easily stick to skin and are difficult to remove
- Use thick gloves or folded newspaper when moving the plant
- Keep in the hottest, sunniest spot you have - a south-facing window or balcony is perfect
- During Indian summers (above 40Â°C), provide some afternoon shade to prevent sunburn
- Winter is the rest period - keep dry and cool
## Growth Tips
- **Soil:** Use cactus potting mix or make your own by mixing regular soil with 50% coarse sand, perlite, or pumice for excellent drainage
- **Fertilizer:** Feed with diluted cactus fertilizer once during the growing season (summer). Avoid feeding in winter
- **Repotting:** Repot every 2 to 3 years in spring. Choose a pot only slightly larger than the current one with drainage holes
- **Propagation:** Very easy to propagate from pads. Let cut pads dry for a week, then place on dry soil. Water lightly after roots appear
## Common Problems
- **Root rot:** Caused by overwatering or poor drainage. Pads become soft and yellow
- **Sunburn:** White or brown patches on pads from sudden exposure to intense sun. Gradually introduce to bright light
- **Etiolated growth:** Pale, stretched pads mean the plant needs more light
- **Mealy bugs:** White cottony pests in pad joints. Remove with cotton swabs dipped in rubbing alcohol
- **Shriveled pads:** Sign of extreme underwatering. Give a good drink and the pads will plump up
- **No growth:** Normal during winter. Wait for warmer weather to see new pads</t>
        </is>
      </c>
      <c r="V273" s="98">
        <f>HYPERLINK("https://rosaryplanthouse.com/plant/"&amp;A273&amp;"-"&amp;SUBSTITUTE(LOWER(E273), " ", "-"))</f>
        <v/>
      </c>
      <c r="W273" t="inlineStr">
        <is>
          <t>🟢 Opuntia microdasys 'Yellow Twist' (ID: 272)
🌟 Twist and shout! Meet the stunning Yellow Twist Bunny Ear Cactus, the eye-catching gem your plant collection has been missing! 🌵✨
This unique variety of Opuntia microdasys features flat, oval pads adorned with bright yellow glochids, creating a twisty architectural shape that’s sure to turn heads. Originating from northern Mexico, this beauty thrives in sunny, dry conditions, making it the perfect low-maintenance addition to your indoor garden or succulent collection! 🌞
**Key Details:**
- 🌿 **Watering:** Low, every 2 weeks in summer, less in winter
- ☀️ **Sunlight:** Loves 5-8 hours of direct bright sunlight
- ❄️ **Temperature Tolerance:** Thrives in heat (15°C to 40°C) 
- 🌵 **Care:** Use well-draining cactus soil and protect from heavy rainfall
Ready to add some twist to your plant family? 🌱💚 Check out the link in bio for more details!
#Opuntia #CactusLove #PlantParent #SucculentCollection #IndoorPlants #CactusCare #GreenThumb #PlantAddict #PlantLife #RosaryPlantHouse #CactusOfInstagram #HomeDecor #PlantLovers #SustainableLiving</t>
        </is>
      </c>
    </row>
    <row r="274" ht="99.5" customHeight="1">
      <c r="A274" s="94" t="n">
        <v>273</v>
      </c>
      <c r="B274" s="84" t="inlineStr">
        <is>
          <t>Rhoeo Dual Colour</t>
        </is>
      </c>
      <c r="C274" s="74">
        <f>IF(Local!H274,"1","0")</f>
        <v/>
      </c>
      <c r="D274" s="79" t="n">
        <v>99</v>
      </c>
      <c r="E274" s="66" t="inlineStr">
        <is>
          <t>Tradescantia spathacea 'Tricolor'</t>
        </is>
      </c>
      <c r="F274" s="76">
        <f>"public/sale_plants/"&amp;A274&amp;".jpg"</f>
        <v/>
      </c>
      <c r="G274" s="77" t="inlineStr">
        <is>
          <t>(3"-4")</t>
        </is>
      </c>
      <c r="H274" s="95" t="inlineStr">
        <is>
          <t>High</t>
        </is>
      </c>
      <c r="I274" s="66" t="inlineStr">
        <is>
          <t>Medium</t>
        </is>
      </c>
      <c r="J274" s="66" t="inlineStr">
        <is>
          <t>Medium</t>
        </is>
      </c>
      <c r="K274" s="79" t="n">
        <v>99</v>
      </c>
      <c r="L274" s="81" t="inlineStr">
        <is>
          <t>Others</t>
        </is>
      </c>
      <c r="M274" s="81" t="n">
        <v>0</v>
      </c>
      <c r="N274" s="80" t="n">
        <v>0</v>
      </c>
      <c r="O274" s="81" t="n">
        <v>0</v>
      </c>
      <c r="P274" s="81" t="n">
        <v>0</v>
      </c>
      <c r="Q274" s="81">
        <f>IF(Local!I274=TRUE,1,0)</f>
        <v/>
      </c>
      <c r="R274" s="81">
        <f>Local!D274</f>
        <v/>
      </c>
      <c r="S274" s="81">
        <f>Local!F274</f>
        <v/>
      </c>
      <c r="T274" s="81">
        <f>Local!G274</f>
        <v/>
      </c>
      <c r="U274" s="83" t="inlineStr">
        <is>
          <t>## About
The Moses in the Cradle Tricolor, also known as Rhoeo Discolor Tricolor, is a stunning ornamental plant famous for its beautiful striped leaves that display pink, green, and cream colors. This colorful variety is a popular choice for Indian gardens and homes because of its vibrant appearance and easy care requirements.
## Origin
This plant is native to Central America, Mexico, and the West Indies. It grows naturally in tropical and subtropical regions, making it well-suited to the Indian climate. The plant has been widely cultivated as an ornamental species across tropical countries.
## Temperature &amp; Humidity
- **Temperature Range:** 18Â°C to 35Â°C
- **Humidity:** The plant prefers moderate to high humidity levels, ideally between 50% to 70%. It adapts well to the humid conditions found in most parts of India, especially during monsoon season.
## Growth
Moses in the Cradle Tricolor is a compact, clump-forming plant that typically grows 20 to 30 centimeters tall and spreads about 30 to 40 centimeters wide. It has a rosette growth pattern with sword-shaped leaves arranged in a spiral. The plant grows at a moderate pace and produces offsets (baby plants) around the base, which can be separated for propagation. The tricolor variety is especially prized for its striking pink and cream stripes on green leaves.
## Watering
- **Frequency:** Once or twice a week depending on season, weather conditions, and soil moisture levels
- **Tips:** Check the top 2-3 centimeters of soil before watering. Water thoroughly when the soil feels dry to touch. During summer months, you may need to water more frequently, while in winter reduce watering. Avoid waterlogging as it can cause root rot. The plant can tolerate short periods of dryness but looks best with consistent moisture.
## Sunlight
- **Hours per day:** 3 to 5 hours
- **Type:** Bright indirect light or filtered sunlight. The plant can tolerate some direct morning sun but avoid harsh afternoon sun which can fade the beautiful pink colors and scorch the leaves.
## Care Tips
- Best colors develop when the plant receives bright indirect light; too much shade will reduce the pink coloration
- Protect from intense afternoon sun during peak summer months (April-June)
- The plant tolerates Indian monsoon season well but ensure proper drainage
- Remove dead or damaged leaves regularly to maintain appearance
- Wipe leaves gently with a damp cloth to remove dust and keep colors vibrant
- Can be grown both indoors near bright windows or outdoors in shaded patios
- Tolerates air conditioning and indoor environments well
## Growth Tips
- Use well-draining potting mix with a combination of garden soil, cocopeat, and perlite or sand
- Apply balanced liquid fertilizer once a month during the growing season (spring and summer)
- Reduce fertilizing during winter months
- Repot every 1-2 years or when the plant becomes root-bound
- Propagate easily by separating offsets that grow at the base
- Pinch off flower stalks if you want the plant to focus energy on foliage growth
- Use pots with drainage holes to prevent water accumulation
## Common Problems
- **Fading colors:** Usually caused by insufficient light; move plant to a brighter location
- **Brown leaf tips:** Often due to low humidity, underwatering, or fluoride in tap water; use filtered water if possible
- **Yellowing leaves:** Sign of overwatering or poor drainage; reduce watering frequency and check soil
- **Leggy growth:** Indicates insufficient light; relocate to a brighter spot
- **Spider mites:** Can appear in dry conditions; increase humidity and spray with neem oil solution
- **Root rot:** Caused by overwatering and poor drainage; reduce watering and ensure pot has drainage holes
- **Leaf spots:** May indicate fungal infection from excessive moisture on leaves; water at soil level and improve air circulation</t>
        </is>
      </c>
      <c r="V274" s="98">
        <f>HYPERLINK("https://rosaryplanthouse.com/plant/"&amp;A274&amp;"-"&amp;SUBSTITUTE(LOWER(E274), " ", "-"))</f>
        <v/>
      </c>
      <c r="W274" t="inlineStr">
        <is>
          <t>🟢 Rhoeo Dual Colour (ID: 273)
🌿 Looking to add a splash of color to your indoor jungle? Meet the vibrant Rhoeo Dual Colour, also known as Tradescantia spathacea 'Tricolor'! This beauty features stunning striped leaves in pink, green, and cream that will brighten up any space. 
✨ **About:** Native to Central America, this compact plant thrives in moderate to high humidity, making it perfect for Indian homes. Its striking rosette growth pattern and easy care requirements make it a favorite among plant lovers. 
🌱 **Key Details:**
- **Watering:** Medium; once or twice a week
- **Sunlight:** 3 to 5 hours of bright indirect light
- **Growth:** Compact with offsets for easy propagation
Ready to bring home this colorful gem? 🌈 Link in bio!
#RhoeoDualColour #TradescantiaSpathacea #IndoorPlants #PlantLovers #HomeDecor #PlantCare #GreenThumb #Houseplants #PlantAddict #PlantParent #GardeningLife #RosaryPlantHouse</t>
        </is>
      </c>
    </row>
    <row r="275" ht="99.5" customHeight="1">
      <c r="A275" s="94" t="n">
        <v>274</v>
      </c>
      <c r="B275" s="84" t="inlineStr">
        <is>
          <t>Brown Aloe (Big)</t>
        </is>
      </c>
      <c r="C275" s="74">
        <f>IF(Local!H275,"1","0")</f>
        <v/>
      </c>
      <c r="D275" s="75" t="n">
        <v>89</v>
      </c>
      <c r="E275" s="66" t="inlineStr">
        <is>
          <t>Aloe brevifolia</t>
        </is>
      </c>
      <c r="F275" s="76">
        <f>"public/sale_plants/"&amp;A275&amp;".jpg"</f>
        <v/>
      </c>
      <c r="G275" s="77" t="inlineStr">
        <is>
          <t>(4"-5")</t>
        </is>
      </c>
      <c r="H275" s="95" t="inlineStr">
        <is>
          <t>Low</t>
        </is>
      </c>
      <c r="I275" s="66" t="inlineStr">
        <is>
          <t>Low</t>
        </is>
      </c>
      <c r="J275" s="66" t="inlineStr">
        <is>
          <t>High</t>
        </is>
      </c>
      <c r="K275" s="79" t="n">
        <v>99</v>
      </c>
      <c r="L275" s="81" t="inlineStr">
        <is>
          <t>Aloe</t>
        </is>
      </c>
      <c r="M275" s="81" t="n">
        <v>1</v>
      </c>
      <c r="N275" s="80" t="n">
        <v>0</v>
      </c>
      <c r="O275" s="81" t="n">
        <v>0</v>
      </c>
      <c r="P275" s="80" t="n">
        <v>1</v>
      </c>
      <c r="Q275" s="81">
        <f>IF(Local!I275=TRUE,1,0)</f>
        <v/>
      </c>
      <c r="R275" s="81">
        <f>Local!D275</f>
        <v/>
      </c>
      <c r="S275" s="81">
        <f>Local!F275</f>
        <v/>
      </c>
      <c r="T275" s="81">
        <f>Local!G275</f>
        <v/>
      </c>
      <c r="U275" s="83" t="inlineStr">
        <is>
          <t>## About
Short-leaved Aloe is a compact succulent with thick, triangular leaves arranged in rosettes. This hardy plant is native to South Africa and is loved for its beautiful blue-green foliage and bright orange-red flowers that appear in spring.
## Origin
This plant comes from the Eastern Cape Province of South Africa, where it grows naturally in rocky areas and grasslands. It is adapted to survive in dry conditions with minimal water.
## Temperature &amp; Humidity
- **Temperature Range:** 10Â°C to 35Â°C (can tolerate brief periods down to 5Â°C but not prolonged frost)
- **Humidity:** Low to moderate humidity (30% to 50%). This plant does well in typical Indian climate conditions and does not need high humidity.
## Growth
Short-leaved Aloe is a slow-growing, compact succulent that typically reaches 10 to 15 cm in height and spreads up to 20 to 30 cm wide. It forms tight rosettes of thick, fleshy leaves with small teeth along the edges. The plant produces offsets (baby plants) around the base, creating attractive clusters over time. Growth is faster during the warmer months and slows down in winter.
## Watering
- **Frequency:** Once every 10-14 days depending on season, weather conditions, and soil moisture. Water less in monsoon and winter months.
- **Tips:** Allow the soil to dry out completely between waterings. Water deeply but infrequently. Always check if the top 2-3 inches of soil are dry before watering. Reduce watering during the monsoon season and winter. Overwatering is the most common mistake - this plant stores water in its leaves and can survive drought better than excess water.
## Sunlight
- **Hours per day:** 4 to 6 hours
- **Type:** Direct sunlight is best, but the plant can also adapt to bright indirect light. Morning sun with afternoon shade works well in very hot Indian summers.
## Care Tips
- Place the plant where it receives morning sunlight, which is gentler than harsh afternoon sun in peak Indian summer
- Protect from heavy monsoon rains as too much water can cause root rot
- The plant can tolerate Indian summer heat well but may need some shade during extreme heat waves (above 40Â°C)
- Good air circulation is important to prevent fungal issues during humid months
- Clean dust off the leaves occasionally with a soft brush or cloth
- The plant is drought-tolerant, making it perfect for busy gardeners
## Growth Tips
- Use well-draining cactus or succulent soil mix. You can make your own by mixing regular potting soil with coarse sand and perlite in equal parts
- Add some small stones or gravel at the bottom of the pot for extra drainage
- Fertilize sparingly - once every 2-3 months during the growing season (spring and summer) with a diluted succulent fertilizer
- Repot every 2-3 years or when the plant outgrows its container
- Propagate easily by removing offsets (pups) and replanting them
- Use terracotta or clay pots which allow soil to dry faster than plastic pots
## Common Problems
- **Yellowing or mushy leaves:** Sign of overwatering or poor drainage. Reduce watering frequency immediately
- **Brown leaf tips:** Can be caused by too much direct sunlight during peak summer or underwatering in extreme heat
- **Elongated, stretched growth:** Not enough sunlight. Move to a brighter location
- **Mealybugs:** Small white cottony pests that hide between leaves. Remove with cotton swabs dipped in rubbing alcohol
- **Root rot:** Caused by overwatering or poorly draining soil. Prevent by ensuring proper drainage and watering only when soil is dry
- **Slow or no growth:** Normal during winter months. Also can happen if the plant is pot-bound and needs repotting</t>
        </is>
      </c>
      <c r="V275" s="98">
        <f>HYPERLINK("https://rosaryplanthouse.com/plant/"&amp;A275&amp;"-"&amp;SUBSTITUTE(LOWER(E275), " ", "-"))</f>
        <v/>
      </c>
      <c r="W275" t="inlineStr">
        <is>
          <t>🟢 Aloe Brevifolia (ID: 274)
🌿 Meet the stunning Brown Aloe, your new favorite succulent! This hardy beauty is not just a feast for the eyes but also a breeze to care for. 🌞
📖 About: The Brown Aloe, native to South Africa, features thick, triangular leaves that form tight rosettes. Its striking blue-green foliage and vibrant orange-red flowers in spring will bring life to any indoor space!
✨ Key Details:
- 🌞 Loves bright, direct sunlight for 4-6 hours a day
- 💧 Requires low watering every 10-14 days
- 🌱 Drought-tolerant and perfect for busy plant parents
- 🏡 Thrives in typical Indian climate conditions
👉 Ready to add this unique plant to your collection? Check the 'Link in bio' for more details!
#AloeBrevifolia #BrownAloe #SucculentLove #PlantParenthood #IndoorPlants #PlantCare #SucculentCare #RosaryPlantHouse #HousePlants #GreenThumb #PlantLovers #HomeDecor #Gardening #BotanicalBeauty #DroughtTolerant</t>
        </is>
      </c>
    </row>
    <row r="276" ht="99.5" customHeight="1">
      <c r="A276" s="94" t="n">
        <v>275</v>
      </c>
      <c r="B276" s="84" t="inlineStr">
        <is>
          <t>Long Dot Haworthia</t>
        </is>
      </c>
      <c r="C276" s="74">
        <f>IF(Local!H276,"1","0")</f>
        <v/>
      </c>
      <c r="D276" s="75" t="n">
        <v>69</v>
      </c>
      <c r="E276" s="66" t="inlineStr">
        <is>
          <t>Haworthia reinwardtii var. coarctata</t>
        </is>
      </c>
      <c r="F276" s="76">
        <f>"public/sale_plants/"&amp;A276&amp;".jpg"</f>
        <v/>
      </c>
      <c r="G276" s="77" t="inlineStr">
        <is>
          <t>(2"-3")</t>
        </is>
      </c>
      <c r="H276" s="95" t="inlineStr">
        <is>
          <t>Low</t>
        </is>
      </c>
      <c r="I276" s="66" t="inlineStr">
        <is>
          <t>Low</t>
        </is>
      </c>
      <c r="J276" s="66" t="inlineStr">
        <is>
          <t>Medium</t>
        </is>
      </c>
      <c r="K276" s="79" t="n">
        <v>120</v>
      </c>
      <c r="L276" s="81" t="inlineStr">
        <is>
          <t>Haworthia</t>
        </is>
      </c>
      <c r="M276" s="81" t="n">
        <v>0</v>
      </c>
      <c r="N276" s="80" t="n">
        <v>0</v>
      </c>
      <c r="O276" s="81" t="n">
        <v>0</v>
      </c>
      <c r="P276" s="80" t="n">
        <v>1</v>
      </c>
      <c r="Q276" s="81">
        <f>IF(Local!I276=TRUE,1,0)</f>
        <v/>
      </c>
      <c r="R276" s="81">
        <f>Local!D276</f>
        <v/>
      </c>
      <c r="S276" s="81">
        <f>Local!F276</f>
        <v/>
      </c>
      <c r="T276" s="81">
        <f>Local!G276</f>
        <v/>
      </c>
      <c r="U276" s="83" t="inlineStr">
        <is>
          <t>## About
Zebra Wart Haworthia is a beautiful small succulent with dark green leaves covered in raised white dots that form attractive patterns. This plant grows in a rosette shape with leaves spiraling upward, making it a perfect choice for small spaces and indoor gardens.
## Origin
This plant is native to South Africa, where it grows naturally in rocky areas and under the shade of larger plants. It belongs to the Haworthia family, which is known for hardy, drought-resistant succulents that thrive in semi-arid conditions.
## Temperature &amp; Humidity
- **Temperature Range:** 15Â°C to 35Â°C (can tolerate up to 40Â°C in Indian summers if kept in shade)
- **Humidity:** Prefers low to moderate humidity (30% to 50%). Does well in typical Indian home conditions and doesn't need extra humidity.
## Growth
This is a slow-growing compact succulent that typically reaches 8-15 cm in height and about 5-8 cm in width. The plant grows vertically with leaves arranged in a spiral pattern. It produces offsets (baby plants) around the base, which can be separated to grow new plants. Growth is slower during hot summers and cold winters, with active growth happening during spring and autumn.
## Watering
- **Frequency:** Once every 10-15 days depending on season and weather conditions. During monsoon, reduce to once every 3 weeks. In winter, water once a month.
- **Tips:** Always check if the soil is completely dry before watering. Water thoroughly until it drains out from the bottom, but never let the plant sit in water. Reduce watering significantly during monsoon season as high humidity means the soil stays moist longer. Use the soak and dry method - wait for soil to dry completely between waterings.
## Sunlight
- **Hours per day:** 3 to 4 hours of gentle morning or evening sun
- **Type:** Bright indirect light is best. Can tolerate 2-3 hours of direct morning sunlight, but avoid harsh afternoon sun which can burn the leaves and turn them brown or red.
## Care Tips
- Keep in a bright spot with indirect light, like near an east-facing window
- Protect from intense afternoon sun during Indian summers (April-June)
- During monsoon season, move to a covered area to prevent overwatering from rain
- Clean the leaves occasionally with a soft brush to remove dust
- Good air circulation is important to prevent fungal issues
- Can be kept outdoors in shaded spots or indoors near bright windows
- During extreme summer heat (above 40Â°C), move to a cooler, shadier location
## Growth Tips
- Use well-draining cactus or succulent mix, or make your own with 50% regular soil, 30% cocopeat, and 20% perlite or sand
- Add small pieces of charcoal to the soil to prevent root rot
- Repot every 2-3 years in spring, or when the plant becomes root-bound
- Use a shallow pot with drainage holes as roots are not very deep
- Fertilize once every 2-3 months during growing season (spring and autumn) with diluted succulent fertilizer at half strength
- Avoid fertilizing during summer and winter when growth slows down
- Propagate by separating offsets that grow around the mother plant
## Common Problems
- **Brown or red leaves:** Too much direct sunlight, especially harsh afternoon sun. Move to a shadier spot.
- **Soft, mushy leaves:** Overwatering or poor drainage leading to root rot. Reduce watering frequency and check soil drainage.
- **Stretched, elongated growth:** Not enough light. Move to a brighter location with more indirect light.
- **Dried, shriveled leaves:** Underwatering, though this is less common. Increase watering slightly.
- **White powdery coating or black spots:** Fungal infection due to high humidity and poor air circulation during monsoon. Improve ventilation and reduce watering.
- **Mealybugs (white cotton-like insects):** Common pest in succulents. Remove with cotton swab dipped in rubbing alcohol or neem oil solution.
- **Slow or no growth:** Normal during extreme summer and winter. This is the plant's dormant period.</t>
        </is>
      </c>
      <c r="V276" s="98">
        <f>HYPERLINK("https://rosaryplanthouse.com/plant/"&amp;A276&amp;"-"&amp;SUBSTITUTE(LOWER(E276), " ", "-"))</f>
        <v/>
      </c>
      <c r="W276" t="inlineStr">
        <is>
          <t>🟢 Long Dot Haworthia (ID: 275)  
🌿 Meet the mesmerizing Haworthia reinwardtii var. coarctata, a stunning addition to your indoor garden!  
This charming succulent features dark green leaves adorned with unique raised white dots, creating an eye-catching rosette shape. Perfect for small spaces, it's low-maintenance and thrives in bright indirect light!
✨ **Key Details:**  
- **Watering:** Low frequency, every 10-15 days  
- **Sunlight:** Prefers 3-4 hours of gentle morning or evening sun  
- **Care:** Easy to grow indoors; just make sure to keep it out of harsh afternoon sunlight!  
Link in bio for more details and to get yours today!  
#Haworthia #SucculentLove #IndoorPlants #PlantParent #GreenThumb #HomeDecor #PlantAddict #RosaryPlantHouse #PlantLovers #SucculentCare #Houseplants #Gardening #PlantLife #PlantCollection #NatureLovers #EcoFriendlyDecor</t>
        </is>
      </c>
    </row>
    <row r="277" ht="99.5" customHeight="1">
      <c r="A277" s="94" t="n">
        <v>276</v>
      </c>
      <c r="B277" s="74" t="inlineStr">
        <is>
          <t>Haworthia Zebra (Big)</t>
        </is>
      </c>
      <c r="C277" s="74">
        <f>IF(Local!H277,"1","0")</f>
        <v/>
      </c>
      <c r="D277" s="75" t="n">
        <v>79</v>
      </c>
      <c r="E277" s="66" t="inlineStr">
        <is>
          <t>Haworthiopsis attenuata (formerly Haworthia attenuata)</t>
        </is>
      </c>
      <c r="F277" s="76">
        <f>"public/sale_plants/"&amp;A277&amp;".jpg"</f>
        <v/>
      </c>
      <c r="G277" s="77" t="inlineStr">
        <is>
          <t>(2"-3")</t>
        </is>
      </c>
      <c r="H277" s="95" t="inlineStr">
        <is>
          <t>Low</t>
        </is>
      </c>
      <c r="I277" s="66" t="inlineStr">
        <is>
          <t>Low</t>
        </is>
      </c>
      <c r="J277" s="66" t="inlineStr">
        <is>
          <t>Medium</t>
        </is>
      </c>
      <c r="K277" s="79" t="n">
        <v>250</v>
      </c>
      <c r="L277" s="81" t="inlineStr">
        <is>
          <t>Haworthia</t>
        </is>
      </c>
      <c r="M277" s="81" t="n">
        <v>1</v>
      </c>
      <c r="N277" s="80" t="n">
        <v>0</v>
      </c>
      <c r="O277" s="81" t="n">
        <v>0</v>
      </c>
      <c r="P277" s="80" t="n">
        <v>1</v>
      </c>
      <c r="Q277" s="81">
        <f>IF(Local!I277=TRUE,1,0)</f>
        <v/>
      </c>
      <c r="R277" s="81">
        <f>Local!D277</f>
        <v/>
      </c>
      <c r="S277" s="81">
        <f>Local!F277</f>
        <v/>
      </c>
      <c r="T277" s="81">
        <f>Local!G277</f>
        <v/>
      </c>
      <c r="U277" s="83" t="inlineStr">
        <is>
          <t>## About
Zebra Haworthia is a beautiful small succulent with striking white horizontal stripes on dark green leaves arranged in a rosette pattern. This popular houseplant is perfect for beginners and thrives indoors in Indian conditions, making it an ideal choice for home and office spaces.
## Origin
This plant is native to the Eastern Cape region of South Africa, where it grows in rocky areas and under the shade of larger plants. It has adapted to survive in harsh, dry conditions with minimal water.
## Temperature &amp; Humidity
- **Temperature Range:** 15Â°C to 35Â°C (can tolerate Indian summers but protect from extreme heat above 40Â°C)
- **Humidity:** Prefers low to moderate humidity (30% to 50%). Does not require high humidity and can adapt well to dry indoor conditions common in Indian homes.
## Growth
Zebra Haworthia is a slow-growing, compact succulent that typically reaches 10-15 cm in height and spreads about 10 cm wide. It grows in a neat rosette shape with thick, pointed leaves. The plant produces offsets (baby plants) around the base, which gradually form attractive clusters over time. Its compact size makes it perfect for small pots, windowsills, and desk spaces.
## Watering
- **Frequency:** Once every 10-14 days during summer months depending on other parameters, and once every 3-4 weeks during monsoon and winter depending on other parameters.
- **Tips:** Allow the soil to dry out completely between waterings. Water less during the monsoon season when humidity is high. Always water at the base of the plant, avoiding the center of the rosette to prevent rot. Use the "soak and dry" method - water thoroughly and let excess drain completely. Reduce watering significantly during winter months.
## Sunlight
- **Hours per day:** 3 to 4 hours of bright light
- **Type:** Bright indirect light is ideal. Can tolerate a few hours of gentle morning sunlight, but avoid harsh afternoon sun which can burn the leaves. Filtered light through a curtain works perfectly for Indian conditions.
## Care Tips
- Place near east or north-facing windows for best results in Indian homes
- Protect from intense afternoon sun during Indian summers (April-June)
- Keep indoors during heavy monsoon rains as excess moisture can cause root rot
- Clean leaves gently with a soft brush to remove dust and maintain the plant's appearance
- Avoid placing near air conditioner vents or in areas with sudden temperature changes
- This plant is non-toxic and safe for homes with pets and children
## Growth Tips
- Use well-draining cactus or succulent potting mix, or make your own by mixing regular soil with cocopeat and perlite in equal parts
- Add small stones or sand to improve drainage
- Fertilize sparingly - once every 2-3 months during the growing season (spring and early summer) with diluted succulent fertilizer at half strength
- Repot only when the plant becomes root-bound or produces many offsets, typically every 2-3 years
- Use terracotta or clay pots which allow better air circulation and moisture evaporation
- Propagate easily by separating offsets that develop around the mother plant
## Common Problems
- **Brown or black leaves:** Usually caused by overwatering or root rot. Reduce watering frequency and ensure proper drainage
- **Pale or bleached leaves:** Too much direct sunlight. Move to a spot with filtered or indirect light
- **Elongated, stretched leaves:** Insufficient light. The plant is reaching for more sun. Move to a brighter location
- **Soft, mushy leaves:** Overwatering or fungal infection. Stop watering immediately and remove affected leaves
- **Dry, shriveled leaves:** Underwatering (rare). Increase watering frequency slightly
- **Mealybugs:** White cottony pests in leaf crevices. Remove with cotton swab dipped in rubbing alcohol or neem oil solution
- **Slow or no growth:** Normal for this plant, but can also indicate nutrient deficiency. Apply diluted fertilizer during growing season</t>
        </is>
      </c>
      <c r="V277" s="98">
        <f>HYPERLINK("https://rosaryplanthouse.com/plant/"&amp;A277&amp;"-"&amp;SUBSTITUTE(LOWER(E277), " ", "-"))</f>
        <v/>
      </c>
      <c r="W277" t="inlineStr">
        <is>
          <t>🟢 Haworthiopsis Attenuata (ID: 276)  
🌿 Meet the stunning Haworthia Zebra, a true gem for plant lovers! This charming succulent boasts striking white stripes on deep green leaves, making it a standout addition to any indoor space.  
🌱 Originating from the rocky landscapes of South Africa, this hardy plant thrives in low-water conditions and is perfect for beginners looking to add a splash of green to their home or office. With just the right amount of care, it can flourish beautifully!  
**Key Details:**  
- **Watering:** Low maintenance, just every 10-14 days!  
- **Sunlight:** Prefers bright, indirect light—ideal for indoor settings!  
- **Humidity:** Adapts well to lower humidity levels, perfect for Indian homes.  
👉 Ready to welcome a Haworthia Zebra into your space? Click the link in bio!  
#HaworthiaZebra #SucculentLove #IndoorPlants #PlantCare #HomeDecor #GreenThumb #PlantParent #RosaryPlantHouse #Houseplants #PlantAddict #SucculentGarden #NatureLovers</t>
        </is>
      </c>
    </row>
    <row r="278" ht="99.5" customHeight="1">
      <c r="A278" s="94" t="n">
        <v>277</v>
      </c>
      <c r="B278" s="84" t="inlineStr">
        <is>
          <t>Crassula coccinea</t>
        </is>
      </c>
      <c r="C278" s="74">
        <f>IF(Local!H278,"1","0")</f>
        <v/>
      </c>
      <c r="D278" s="75" t="n">
        <v>49</v>
      </c>
      <c r="E278" s="66" t="inlineStr">
        <is>
          <t>Crassula coccinea</t>
        </is>
      </c>
      <c r="F278" s="76">
        <f>"public/sale_plants/"&amp;A278&amp;".jpg"</f>
        <v/>
      </c>
      <c r="G278" s="77" t="inlineStr">
        <is>
          <t>(2"-3")</t>
        </is>
      </c>
      <c r="H278" s="95" t="inlineStr">
        <is>
          <t>Low</t>
        </is>
      </c>
      <c r="I278" s="66" t="inlineStr">
        <is>
          <t>Low</t>
        </is>
      </c>
      <c r="J278" s="66" t="inlineStr">
        <is>
          <t>High</t>
        </is>
      </c>
      <c r="K278" s="85" t="n">
        <v>79</v>
      </c>
      <c r="L278" s="81" t="inlineStr">
        <is>
          <t>Crassula</t>
        </is>
      </c>
      <c r="M278" s="81" t="n">
        <v>0</v>
      </c>
      <c r="N278" s="80" t="n">
        <v>0</v>
      </c>
      <c r="O278" s="81" t="n">
        <v>0</v>
      </c>
      <c r="P278" s="80" t="n">
        <v>0</v>
      </c>
      <c r="Q278" s="81">
        <f>IF(Local!I278=TRUE,1,0)</f>
        <v/>
      </c>
      <c r="R278" s="81">
        <f>Local!D278</f>
        <v/>
      </c>
      <c r="S278" s="81">
        <f>Local!F278</f>
        <v/>
      </c>
      <c r="T278" s="81">
        <f>Local!G278</f>
        <v/>
      </c>
      <c r="U278" s="83" t="inlineStr">
        <is>
          <t>## About
Crassula coccinea, commonly known as Red Crassula, is a beautiful succulent plant that belongs to the Crassula family. This compact plant is known for its thick, fleshy green leaves and stunning red to pink flowers that bloom during the growing season. It is a popular choice among succulent lovers in India due to its easy care and attractive appearance.
## Origin
Crassula coccinea is native to South Africa, where it grows in rocky areas and hillsides. In its natural habitat, it experiences warm temperatures, seasonal rainfall, and well-draining soil conditions. This plant has adapted well to similar climates around the world, including various regions of India.
## Temperature &amp; Humidity
- **Temperature Range:** 15Â°C to 35Â°C
- **Humidity:** This plant prefers low to moderate humidity levels, typically between 30% to 50%. It can tolerate the dry conditions common in many parts of India, making it an excellent choice for indoor and outdoor cultivation.
## Growth
Crassula coccinea is a slow to moderate-growing succulent that typically reaches a height of 15 to 30 centimeters. The plant forms a compact rosette shape with multiple stems growing from the base. Its thick, oval-shaped leaves are arranged oppositely along the stems and have a beautiful green color with a slightly powdery coating. The plant spreads slowly and can form small clumps over time.
## Watering
- **Frequency:** Once every 10-14 days depending on season and weather conditions. During monsoon, reduce watering significantly.
- **Tips:** Always check if the soil is completely dry before watering again. Water thoroughly until water drains out from the bottom, but never let the plant sit in water. During the hot summer months (April to June), you may need to water slightly more often, while in winter and monsoon, reduce watering to once every 2-3 weeks. Overwatering is the most common mistake with this plant.
## Sunlight
- **Hours per day:** 4 to 6 hours
- **Type:** Bright direct sunlight or very bright indirect light. Morning sun is ideal in Indian climate. Protect from intense afternoon sun during peak summer months.
## Care Tips
- **Ideal for Indian climate:** This plant does well in most Indian climates, from coastal areas to plains, but protect from heavy monsoon rains
- **Location:** Place on a sunny windowsill, balcony, or terrace where it gets good morning sunlight
- **Monsoon care:** Move the plant to a covered area during heavy rains to prevent waterlogging and root rot
- **Summer care:** In extremely hot regions (above 40Â°C), provide some afternoon shade to prevent leaf burn
- **Winter care:** In northern India, protect from frost and cold drafts below 10Â°C
- **Dust cleaning:** Gently wipe leaves with a soft, dry cloth to remove dust and maintain their natural shine
## Growth Tips
- **Soil:** Use a well-draining cactus or succulent mix. You can make your own by mixing regular potting soil with coarse sand and perlite in equal parts
- **Pot selection:** Always use pots with drainage holes. Terracotta pots work excellently as they allow excess moisture to evaporate
- **Fertilizer:** Feed with a diluted succulent fertilizer once during the growing season (spring and early summer). Avoid feeding during monsoon and winter
- **Repotting:** Repot every 2-3 years in spring when the plant outgrows its pot or soil becomes depleted
- **Propagation:** Easily propagated from stem cuttings or leaf cuttings. Allow cuttings to dry for 2-3 days before planting in dry soil
## Common Problems
- **Yellowing leaves:** Usually caused by overwatering or poor drainage. Reduce watering frequency and check drainage holes
- **Soft, mushy leaves:** Sign of root rot due to overwatering. Remove affected parts and repot in fresh, dry soil
- **Leggy growth:** Insufficient sunlight causes the plant to stretch. Move to a brighter location
- **Brown, crispy leaf tips:** Sunburn from too intense afternoon sun. Provide light shade during peak hours
- **Mealybugs:** White cotton-like pests that appear on leaves and stems. Wipe off with rubbing alcohol on a cotton swab
- **Fungal infections:** Black or brown spots on leaves caused by high humidity and poor air circulation. Improve ventilation and reduce watering
- **Dropping leaves:** Can be due to underwatering in extreme heat or natural shedding during dormancy period</t>
        </is>
      </c>
      <c r="V278" s="98">
        <f>HYPERLINK("https://rosaryplanthouse.com/plant/"&amp;A278&amp;"-"&amp;SUBSTITUTE(LOWER(E278), " ", "-"))</f>
        <v/>
      </c>
      <c r="W278" t="inlineStr">
        <is>
          <t>🟢 Crassula coccinea (ID: 277)
🌵 Bring a splash of color to your collection with the stunning Red Crassula! This eye-catching succulent blooms vibrant red to pink flowers, making it a must-have for any plant lover. 
🌿 Crassula coccinea, native to the rocky hills of South Africa, thrives in warm climates and is perfect for both indoor and outdoor settings. Easy to care for, it requires low watering and loves bright sunlight. 
✨ **Key Details:**
- **Watering:** Low frequency; check soil dryness before watering
- **Sunlight:** Prefers 4-6 hours of bright direct or very bright indirect light
- **Care Tip:** Ideal for Indian climates; protect from heavy rains and frost
💚 Ready to add this beauty to your plant family? Tap the link in bio! 
#CrassulaCoccinea #RedCrassula #SucculentLove #PlantParent #IndoorGarden #PlantGoals #GreenThumb #HousePlants #SucculentCare #RosaryPlantHouse #PlantAddict #PlantCollection #GardeningJoy</t>
        </is>
      </c>
    </row>
    <row r="279" ht="99.5" customHeight="1">
      <c r="A279" s="94" t="n">
        <v>278</v>
      </c>
      <c r="B279" s="84" t="inlineStr">
        <is>
          <t>Green mowa</t>
        </is>
      </c>
      <c r="C279" s="74">
        <f>IF(Local!H279,"1","0")</f>
        <v/>
      </c>
      <c r="D279" s="75" t="n">
        <v>79</v>
      </c>
      <c r="E279" s="66" t="inlineStr">
        <is>
          <t>Peperomia obtusifolia 'Variegata'</t>
        </is>
      </c>
      <c r="F279" s="76">
        <f>"public/sale_plants/"&amp;A279&amp;".jpg"</f>
        <v/>
      </c>
      <c r="G279" s="77" t="inlineStr">
        <is>
          <t>(2"-3")</t>
        </is>
      </c>
      <c r="H279" s="95" t="inlineStr">
        <is>
          <t>High</t>
        </is>
      </c>
      <c r="I279" s="66" t="inlineStr">
        <is>
          <t>Low</t>
        </is>
      </c>
      <c r="J279" s="66" t="inlineStr">
        <is>
          <t>Medium</t>
        </is>
      </c>
      <c r="K279" s="85" t="n">
        <v>79</v>
      </c>
      <c r="L279" s="81" t="inlineStr">
        <is>
          <t>Others</t>
        </is>
      </c>
      <c r="M279" s="81" t="n">
        <v>0</v>
      </c>
      <c r="N279" s="80" t="n">
        <v>0</v>
      </c>
      <c r="O279" s="81" t="n">
        <v>0</v>
      </c>
      <c r="P279" s="80" t="n">
        <v>0</v>
      </c>
      <c r="Q279" s="81">
        <f>IF(Local!I279=TRUE,1,0)</f>
        <v/>
      </c>
      <c r="R279" s="81">
        <f>Local!D279</f>
        <v/>
      </c>
      <c r="S279" s="81">
        <f>Local!F279</f>
        <v/>
      </c>
      <c r="T279" s="81">
        <f>Local!G279</f>
        <v/>
      </c>
      <c r="U279" s="83" t="inlineStr">
        <is>
          <t>## About
The Variegated Baby Rubber Plant is a beautiful ornamental houseplant loved for its thick, glossy leaves with stunning cream and green variegation. This compact plant grows in a rosette pattern and is perfect for beginners as it is very easy to care for and can tolerate some neglect.
## Origin
This plant is native to Mexico, Central America, and South America, particularly in tropical rainforests. It grows naturally in the understory of forests where it receives filtered light and warm, humid conditions.
## Temperature &amp; Humidity
- **Temperature Range:** 18Â°C to 30Â°C
- **Humidity:** Prefers moderate to high humidity levels between 40% to 60%, but can adapt well to normal household humidity. In Indian homes, it does well during monsoon season and may need occasional misting during dry summer months.
## Growth
This is a slow-growing, compact plant that typically reaches 15 to 25 cm in height and spreads about 20 cm wide. The leaves grow in a beautiful rosette arrangement from the center, creating a compact bushy appearance. It has a neat, tidy growth habit making it ideal for small spaces like desks, shelves, and windowsills.
## Watering
- **Frequency:** Once a week depending on season and weather conditions. During hot Indian summers, you may need to water twice a week, while in monsoon and winter, reduce to once every 10 days.
- **Tips:** Allow the top 2-3 cm of soil to dry out between waterings. Peperomias have thick, fleshy leaves that store water, so they are quite drought-tolerant. Overwatering is the biggest mistakeâ€”always check soil moisture before watering. Use well-draining soil and pots with drainage holes. Water less in cooler months.
## Sunlight
- **Hours per day:** 3 to 5 hours
- **Type:** Bright indirect light or filtered light. Avoid harsh direct sunlight which can scorch the leaves and fade the beautiful variegation. Morning sun for 1-2 hours is acceptable, but protect from afternoon sun.
## Care Tips
- **Perfect for Indian homes:** This plant adapts well to indoor Indian conditions and can tolerate air conditioning
- **Protect from extreme heat:** During peak summer (April-May), keep away from south or west-facing windows
- **Monsoon care:** Reduce watering significantly during heavy monsoon season to prevent root rot
- **Dust the leaves:** Wipe leaves gently with a damp cloth monthly to keep them shiny and help the plant breathe
- **No direct fan or AC air:** Avoid placing directly under ceiling fans or AC vents as this can dry out the leaves
- **Pet-friendly:** This plant is non-toxic to cats and dogs, making it safe for homes with pets
## Growth Tips
- **Soil:** Use a well-draining potting mix. A mix of regular potting soil, cocopeat, and perlite (2:1:1 ratio) works excellently
- **Fertilizer:** Feed with a balanced liquid fertilizer diluted to half strength once a month during growing season (March to October). Skip fertilizing in winter
- **Repotting:** Repot every 2 years or when roots start coming out of drainage holes. Use a pot only slightly larger than the current one
- **Propagation:** Easy to propagate from leaf or stem cuttings in water or soil during spring and summer months
- **Pruning:** Remove any dead or yellowing leaves to keep the plant healthy and encourage new growth
## Common Problems
- **Yellow leaves:** Usually caused by overwatering. Check if soil is too wet and reduce watering frequency
- **Brown leaf tips:** Low humidity or underwatering. Mist the plant occasionally or use a pebble tray
- **Leaf drop:** Sudden temperature changes or cold drafts. Keep away from AC vents and maintain stable temperature
- **Leggy growth:** Insufficient light. Move to a brighter location with more indirect light
- **Loss of variegation:** Too much shade or low light. The cream and yellow colors fade when the plant doesn't get enough light
- **Root rot:** Overwatering and poor drainage. Always use pots with holes and well-draining soil
- **Pests:** Generally pest-resistant, but occasionally mealybugs or spider mites may appear. Wipe leaves with neem oil solution as prevention</t>
        </is>
      </c>
      <c r="V279" s="98">
        <f>HYPERLINK("https://rosaryplanthouse.com/plant/"&amp;A279&amp;"-"&amp;SUBSTITUTE(LOWER(E279), " ", "-"))</f>
        <v/>
      </c>
      <c r="W279" t="inlineStr">
        <is>
          <t>🟢 Peperomia obtusifolia 'Variegata' (ID: 278)
🌿 Meet the stunning Green Mowa, your new favorite indoor companion! 
This beautiful ornamental houseplant features thick, glossy leaves adorned with striking cream and green variegation. Compact in size and easy to care for, it's perfect for both beginners and seasoned plant lovers. Originating from tropical rainforests, this beauty thrives in filtered light and adds a touch of nature to any space.
✨ **Key Details:**
- **Watering:** Low maintenance; water once a week, adjusting for seasons.
- **Sunlight:** Prefers bright indirect light; avoid harsh direct sun.
- **Humidity:** Adapts well to normal household humidity; mist occasionally in dry months.
Ready to bring home the Green Mowa? 🌱 Check out the full details and grab yours today! Link in bio.
#Peperomia #GreenMowa #Houseplants #IndoorPlants #PlantLovers #PlantCare #HomeDecor #GreenThumb #VariegatedPlants #PlantParenting #TropicalPlants #RosaryPlantHouse</t>
        </is>
      </c>
    </row>
    <row r="280" ht="99.5" customHeight="1">
      <c r="A280" s="94" t="n">
        <v>279</v>
      </c>
      <c r="B280" s="84" t="inlineStr">
        <is>
          <t>Delosperma cooperi</t>
        </is>
      </c>
      <c r="C280" s="74">
        <f>IF(Local!H280,"1","0")</f>
        <v/>
      </c>
      <c r="D280" s="75" t="n">
        <v>79</v>
      </c>
      <c r="E280" s="66" t="inlineStr">
        <is>
          <t>Delosperma cooperi</t>
        </is>
      </c>
      <c r="F280" s="76">
        <f>"public/sale_plants/"&amp;A280&amp;".jpg"</f>
        <v/>
      </c>
      <c r="G280" s="77" t="inlineStr">
        <is>
          <t>(2"-3")</t>
        </is>
      </c>
      <c r="H280" s="95" t="inlineStr">
        <is>
          <t>Moderate</t>
        </is>
      </c>
      <c r="I280" s="66" t="inlineStr">
        <is>
          <t>Low</t>
        </is>
      </c>
      <c r="J280" s="66" t="inlineStr">
        <is>
          <t>High</t>
        </is>
      </c>
      <c r="K280" s="85" t="n">
        <v>79</v>
      </c>
      <c r="L280" s="81" t="inlineStr">
        <is>
          <t>Succulent</t>
        </is>
      </c>
      <c r="M280" s="81" t="n">
        <v>0</v>
      </c>
      <c r="N280" s="80" t="n">
        <v>1</v>
      </c>
      <c r="O280" s="81" t="n">
        <v>0</v>
      </c>
      <c r="P280" s="80" t="n">
        <v>0</v>
      </c>
      <c r="Q280" s="81">
        <f>IF(Local!I280=TRUE,1,0)</f>
        <v/>
      </c>
      <c r="R280" s="81">
        <f>Local!D280</f>
        <v/>
      </c>
      <c r="S280" s="81">
        <f>Local!F280</f>
        <v/>
      </c>
      <c r="T280" s="81">
        <f>Local!G280</f>
        <v/>
      </c>
      <c r="U280" s="83" t="inlineStr">
        <is>
          <t>## About
Delosperma cooperi, commonly known as Ice Plant or Hardy Ice Plant, is a beautiful low-growing succulent that produces stunning purple-pink daisy-like flowers. This tough and drought-tolerant plant is perfect for ground cover in hot, sunny areas and is particularly well-suited to Indian climates.
## Origin
Ice Plant originates from South Africa, where it grows in rocky, mountainous regions. It is naturally adapted to hot, dry conditions with well-draining soil, making it an excellent choice for Indian gardens where summers can be intense.
## Temperature &amp; Humidity
- **Temperature Range:** 15Â°C to 40Â°C
- **Humidity:** Ice Plant prefers low to moderate humidity levels (30% to 50%). It can tolerate dry air very well and actually thrives in areas with lower humidity, making it perfect for most parts of India.
## Growth
Ice Plant is a fast-growing, mat-forming succulent that spreads horizontally along the ground. It typically grows 3 to 6 inches in height but can spread up to 1 to 2 feet wide. The plant has thick, fleshy, cylindrical leaves that store water, allowing it to survive long periods without rain. During the blooming season, it produces masses of vibrant purple-pink flowers that cover the entire plant, creating a stunning carpet of color.
## Watering
- **Frequency:** Water once every two weeks depending on season and weather conditions. During monsoon, watering can be reduced or stopped completely.
- **Tips:** Ice Plant is highly drought-tolerant. Water only when the soil is completely dry. Overwatering is the biggest enemy of this plant. In Indian summers, you may need to water once a week if planted in containers, but ground-planted specimens need very little water. Always allow soil to dry between waterings.
## Sunlight
- **Hours per day:** 6 to 8 hours
- **Type:** Direct sunlight. Ice Plant needs full, direct sunlight to thrive and produce abundant flowers. The more sun it gets, the more flowers it will produce.
## Care Tips
- Perfect for rock gardens, borders, and slopes in Indian gardens
- Can tolerate extreme heat and is ideal for summer months in India
- Protect from excessive monsoon rains as waterlogged soil can cause root rot
- Plant in raised beds or sloped areas to ensure good drainage during rainy season
- Deadhead spent flowers to encourage more blooming
- Very low maintenance once established
- Can handle light frost but protect from prolonged cold in North India winters
- Excellent choice for xeriscaping and water-wise gardens
## Growth Tips
- Use well-draining soil mix with plenty of sand, perlite, or gravel
- Add cocopeat and sand in equal proportions to garden soil for best results
- Fertilize sparingly - once every 2-3 months with a balanced liquid fertilizer diluted to half strength
- Too much fertilizer can lead to lush foliage but fewer flowers
- Propagate easily from stem cuttings - simply place cuttings in moist sand
- Repot container plants every 2-3 years in spring
- Trim back leggy growth to maintain compact shape
## Common Problems
- **Root rot:** Caused by overwatering or poor drainage, especially during monsoon season
- **Yellowing leaves:** Usually indicates too much water or poor drainage
- **Fewer flowers:** Not enough direct sunlight or too much fertilizer
- **Leggy growth:** Insufficient sunlight causes the plant to stretch and become sparse
- **Mealybugs and aphids:** Can sometimes attack the plant; treat with neem oil spray
- **Wilting despite watering:** May indicate root rot; check roots and improve drainage
- **Leaf drop:** Natural during extreme heat; plant will recover with light watering</t>
        </is>
      </c>
      <c r="V280" s="98">
        <f>HYPERLINK("https://rosaryplanthouse.com/plant/"&amp;A280&amp;"-"&amp;SUBSTITUTE(LOWER(E280), " ", "-"))</f>
        <v/>
      </c>
      <c r="W280" t="inlineStr">
        <is>
          <t>🟢 Delosperma cooperi (ID: 279)  
🌼 Transform your garden into a vibrant paradise with the stunning **Ice Plant**! This gorgeous succulent is not just a feast for the eyes but also a champion of low maintenance gardening!  
✨ **About:** Delosperma cooperi, also known as the Hardy Ice Plant, is a resilient, low-growing succulent that dazzles with its dazzling purple-pink daisy-like flowers. Perfect for ground cover in hot, sunny areas, it's a must-have for Indian gardens!  
🌞 **Key Details:**  
- **Sunlight:** Thrives in 6-8 hours of direct sunlight  
- **Watering:** Low; water once every two weeks  
- **Care:** Ideal for rock gardens, borders, and slopes; drought-tolerant and perfect for xeriscaping  
🌱 Ready to add some color to your life? This beauty is waiting for you! Check it out—Link in bio!  
#DelospermaCooperi #IcePlant #Succulents #GardenGoals #LowMaintenance #DroughtTolerant #HomeGardening #IndianGardens #PlantLovers #SucculentLove #FloralBeauty #RosaryPlantHouse</t>
        </is>
      </c>
    </row>
    <row r="281" ht="99.5" customHeight="1">
      <c r="A281" s="94" t="n">
        <v>280</v>
      </c>
      <c r="B281" s="84" t="inlineStr">
        <is>
          <t>Rhipsalis crassutha</t>
        </is>
      </c>
      <c r="C281" s="74">
        <f>IF(Local!H281,"1","0")</f>
        <v/>
      </c>
      <c r="D281" s="75" t="n">
        <v>89</v>
      </c>
      <c r="E281" s="66" t="inlineStr">
        <is>
          <t>Rhipsalis crassula</t>
        </is>
      </c>
      <c r="F281" s="76">
        <f>"public/sale_plants/"&amp;A281&amp;".jpg"</f>
        <v/>
      </c>
      <c r="G281" s="77" t="inlineStr">
        <is>
          <t>(2"-3")</t>
        </is>
      </c>
      <c r="H281" s="95" t="inlineStr">
        <is>
          <t>Low</t>
        </is>
      </c>
      <c r="I281" s="66" t="inlineStr">
        <is>
          <t>Medium</t>
        </is>
      </c>
      <c r="J281" s="66" t="inlineStr">
        <is>
          <t>Low</t>
        </is>
      </c>
      <c r="K281" s="85" t="n">
        <v>89</v>
      </c>
      <c r="L281" s="81" t="inlineStr">
        <is>
          <t>Succulent</t>
        </is>
      </c>
      <c r="M281" s="81" t="n">
        <v>0</v>
      </c>
      <c r="N281" s="80" t="n">
        <v>1</v>
      </c>
      <c r="O281" s="81" t="n">
        <v>0</v>
      </c>
      <c r="P281" s="80" t="n">
        <v>0</v>
      </c>
      <c r="Q281" s="81">
        <f>IF(Local!I281=TRUE,1,0)</f>
        <v/>
      </c>
      <c r="R281" s="81">
        <f>Local!D281</f>
        <v/>
      </c>
      <c r="S281" s="81">
        <f>Local!F281</f>
        <v/>
      </c>
      <c r="T281" s="81">
        <f>Local!G281</f>
        <v/>
      </c>
      <c r="U281" s="83" t="inlineStr">
        <is>
          <t>## About
Rhipsalis crassula, commonly known as Mistletoe Cactus, is a unique trailing succulent cactus with thin, cylindrical green stems that grow in a cascading pattern. Unlike typical desert cacti, this plant is native to tropical rainforests and thrives in shade, making it perfect for Indian homes and balconies.
## Origin
This plant originates from the tropical rainforests of Brazil and other parts of Central and South America. It grows naturally as an epiphyte on trees in humid forest environments, which explains why it prefers different conditions than regular desert cacti.
## Temperature &amp; Humidity
- **Temperature Range:** 15Â°C to 30Â°C
- **Humidity:** Prefers moderate to high humidity levels (50% to 70%). Being a tropical plant, it enjoys the humid conditions found in most parts of India during monsoon and can tolerate the drier months with occasional misting.
## Growth
Rhipsalis crassula is a slow to moderate growing plant that produces long, trailing stems that can reach 30 to 60 cm in length. The stems are thin, cylindrical, and branch out in a beautiful cascading manner, making it ideal for hanging baskets or elevated pots. The plant spreads outward and downward, creating a lovely waterfall effect over time.
## Watering
- **Frequency:** Water once or twice a week depending on season, weather, and soil moisture. Check the top layer of soil before watering.
- **Tips:** This cactus needs more water than typical desert cacti. Keep the soil slightly moist but never waterlogged. During monsoon, reduce watering frequency. In summer, water more frequently and mist the stems occasionally. Use room temperature water and ensure proper drainage to prevent root rot.
## Sunlight
- **Hours per day:** 2 to 4 hours of indirect light
- **Type:** Bright indirect or filtered light. Avoid direct harsh sunlight as it can burn the delicate stems. Morning sun for 1-2 hours is acceptable. Grows well near east or north-facing windows.
## Care Tips
- Place in a bright spot with indirect light, away from harsh afternoon sun
- Mist the stems once or twice a week during hot summer months to increase humidity
- Perfect for bathrooms and kitchens where humidity is naturally higher
- Avoid placing near air conditioners or fans that create dry air
- Protect from temperatures below 10Â°C during winter in North India
- Clean the stems gently with a soft brush to remove dust
- Can be grown outdoors in shaded balconies or under tree canopies
## Growth Tips
- Use a well-draining potting mix made of equal parts regular potting soil, cocopeat, and perlite or sand
- Add some orchid bark or charcoal pieces to improve drainage and aeration
- Feed with a diluted liquid fertilizer (half strength) once a month during growing season (spring and summer)
- Repot every 2 to 3 years or when the plant becomes root-bound
- Use shallow pots with drainage holes as the root system is not very deep
- Propagate easily by stem cuttings placed in moist soil during warm months
## Common Problems
- **Yellowing stems:** Usually caused by overwatering or poor drainage. Allow soil to dry slightly between waterings.
- **Shriveled or dry stems:** Sign of underwatering or too much direct sun. Increase watering frequency and move to shadier spot.
- **Brown or burnt patches:** Result of too much direct sunlight. Move plant to a location with filtered light.
- **Root rot:** Caused by waterlogged soil or pots without drainage holes. Always ensure good drainage.
- **Pest issues:** Mealybugs and scale insects can attack. Wipe stems with neem oil solution if you notice white cottony masses or brown bumps.
- **Slow or no growth:** May need fertilizer or more light. Feed monthly during growing season and ensure adequate bright indirect light.</t>
        </is>
      </c>
      <c r="V281" s="98">
        <f>HYPERLINK("https://rosaryplanthouse.com/plant/"&amp;A281&amp;"-"&amp;SUBSTITUTE(LOWER(E281), " ", "-"))</f>
        <v/>
      </c>
      <c r="W281" t="inlineStr">
        <is>
          <t>🟢 Rhipsalis crassula (ID: 280)  
🌿 Looking to bring a touch of the tropics into your home? Say hello to the stunning **Rhipsalis crassula**, also known as the Mistletoe Cactus! This unique trailing succulent adds a beautiful cascade of green to any space, making it a perfect addition for both seasoned plant parents and beginners alike. 🌱
✨ **About Rhipsalis crassula:**  
Originating from the lush rainforests of Brazil, this charming plant thrives in low light and humid conditions. Its slender, cylindrical stems create a waterfall effect that looks breathtaking in hanging baskets or elevated pots. Ideal for brightening up kitchens, bathrooms, or any shaded corner of your home! 
🌞 **Key Details:**  
- **Watering:** Medium - water once or twice a week, ensuring soil remains slightly moist.  
- **Sunlight:** Low - thrives in indirect light, avoiding harsh sun exposure.  
- **Transit:** Low - perfect for easy shipping and delivery!  
👉 Ready to make this tropical beauty yours? **Link in bio!** 
#RhipsalisCrassula #MistletoeCactus #IndoorPlants #SucculentLove #PlantMom #PlantDad #UrbanJungle #HomeDecor #PlantParenthood #GreenThumb #HangingPlants #TropicalPlants #RosaryPlantHouse</t>
        </is>
      </c>
    </row>
    <row r="282" ht="99.5" customHeight="1">
      <c r="A282" s="94" t="n">
        <v>281</v>
      </c>
      <c r="B282" s="78" t="inlineStr">
        <is>
          <t>Peperomia serpens</t>
        </is>
      </c>
      <c r="C282" s="74">
        <f>IF(Local!H282,"1","0")</f>
        <v/>
      </c>
      <c r="D282" s="93" t="n">
        <v>69</v>
      </c>
      <c r="E282" s="66" t="inlineStr">
        <is>
          <t>Peperomia serpens</t>
        </is>
      </c>
      <c r="F282" s="76">
        <f>"public/sale_plants/"&amp;A282&amp;".jpg"</f>
        <v/>
      </c>
      <c r="G282" s="77" t="inlineStr">
        <is>
          <t>(2"-3")</t>
        </is>
      </c>
      <c r="H282" s="95" t="inlineStr">
        <is>
          <t>High</t>
        </is>
      </c>
      <c r="I282" s="66" t="inlineStr">
        <is>
          <t>Low</t>
        </is>
      </c>
      <c r="J282" s="66" t="inlineStr">
        <is>
          <t>Low</t>
        </is>
      </c>
      <c r="K282" s="96" t="n">
        <v>79</v>
      </c>
      <c r="L282" s="81" t="inlineStr">
        <is>
          <t>Peperomia</t>
        </is>
      </c>
      <c r="M282" s="81" t="n">
        <v>0</v>
      </c>
      <c r="N282" s="80" t="n">
        <v>1</v>
      </c>
      <c r="O282" s="81" t="n">
        <v>0</v>
      </c>
      <c r="P282" s="80" t="n">
        <v>0</v>
      </c>
      <c r="Q282" s="81">
        <f>IF(Local!I282=TRUE,1,0)</f>
        <v/>
      </c>
      <c r="R282" s="81">
        <f>Local!D282</f>
        <v/>
      </c>
      <c r="S282" s="81">
        <f>Local!F282</f>
        <v/>
      </c>
      <c r="T282" s="81">
        <f>Local!G282</f>
        <v/>
      </c>
      <c r="U282" s="83" t="inlineStr">
        <is>
          <t>## About
Peperomia serpens, commonly known as Trailing Peperomia, is a beautiful vining plant with small, rounded green leaves. This charming houseplant is perfect for hanging baskets or shelves where its trailing stems can cascade gracefully. It belongs to the large Peperomia family and is loved for its easy-going nature and attractive foliage.
## Origin
This plant is native to Central and South America, particularly found in tropical rainforests where it grows as an epiphyte or ground cover under the forest canopy. In its natural habitat, it thrives in warm, humid conditions with filtered light through the tree canopy.
## Temperature &amp; Humidity
- **Temperature Range:** 18Â°C to 28Â°C
- **Humidity:** Prefers moderate to high humidity levels between 40% to 60%. The plant adapts well to normal Indian household humidity but appreciates occasional misting during dry seasons or in air-conditioned rooms.
## Growth
Peperomia serpens is a slow to moderate grower with a trailing or cascading growth habit. The stems can grow up to 30-45 cm long, making it ideal for hanging planters. The plant produces small, rounded to heart-shaped leaves that are bright green and glossy, growing alternately along the stems. It stays compact and manageable, perfect for small spaces and indoor decoration.
## Watering
- **Frequency:** Water once every week or once every 10 days depending on season, weather conditions, and soil dryness. In monsoon season, reduce watering frequency.
- **Tips:** Always check the top 2-3 cm of soil before watering. If it feels dry, water the plant. These plants have semi-succulent leaves that store water, so they are prone to root rot if overwatered. Use well-draining soil and pots with drainage holes. Water less in winter months when growth slows down.
## Sunlight
- **Hours per day:** 2 to 4 hours
- **Type:** Bright indirect light or filtered light. Avoid direct harsh sunlight which can scorch the delicate leaves. The plant can tolerate low light conditions but may grow slower and become leggy.
## Care Tips
- Perfect for Indian homes as it thrives in warm temperatures throughout the year
- Keep away from direct afternoon sun, especially during hot summer months (April-June)
- Place near east or north-facing windows for best light conditions
- Wipe leaves gently with a damp cloth once a month to remove dust and keep them glossy
- Avoid placing near air conditioner vents or fans as sudden temperature changes can stress the plant
- During monsoon season, ensure good air circulation to prevent fungal issues
- Mist the plant occasionally during hot, dry summer months to increase humidity
## Growth Tips
- Use a well-draining potting mix made of equal parts peat moss (or coco peat), perlite, and regular potting soil
- Feed with a balanced liquid fertilizer diluted to half strength once a month during growing season (spring and summer)
- Stop or reduce fertilizing during winter months when plant growth naturally slows down
- Repot only when the plant becomes root-bound, usually every 2-3 years
- Use a pot only slightly larger than the current one as Peperomias prefer being slightly pot-bound
- Prune leggy stems to encourage bushier growth and use the cuttings for propagation
- Easily propagated through stem cuttings placed in water or directly in moist soil
## Common Problems
- **Yellowing leaves:** Usually caused by overwatering or poor drainage. Reduce watering frequency and ensure pot has drainage holes
- **Drooping or wilting leaves:** Sign of underwatering or extremely dry soil. Water the plant thoroughly
- **Brown leaf tips:** Can indicate low humidity or fluoride in water. Use filtered water and increase humidity around the plant
- **Leggy growth:** Insufficient light causes stretched stems with sparse leaves. Move plant to a brighter location
- **Leaf drop:** May occur due to sudden temperature changes, cold drafts, or overwatering
- **Root rot:** Black, mushy roots caused by waterlogged soil. This is the most common problem with Peperomias. Always use well-draining soil
- **Pests:** Generally pest-resistant but may occasionally attract mealybugs or spider mites. Wipe leaves with neem oil solution if pests appear
- **Fungal issues:** Can develop during humid monsoon months if there is poor air circulation. Ensure proper ventilation around the plant</t>
        </is>
      </c>
      <c r="V282" s="98">
        <f>HYPERLINK("https://rosaryplanthouse.com/plant/"&amp;A282&amp;"-"&amp;SUBSTITUTE(LOWER(E282), " ", "-"))</f>
        <v/>
      </c>
      <c r="W282" t="inlineStr">
        <is>
          <t>🟢 Peperomia serpens (ID: 281)
🌿 Looking to add a touch of greenery to your space? Meet the charming Peperomia serpens! This delightful trailing plant is perfect for creating stunning displays in hanging baskets or on shelves, allowing its lush, rounded leaves to cascade beautifully. 
✨ Native to the tropical rainforests of Central and South America, this easy-going plant thrives in warm, humid conditions while adapting seamlessly to your indoor environment. 
🌱 **Key Details:**
- Light: Prefers bright, indirect light 🌞
- Water: Low watering needs; check soil moisture first 💧
- Humidity: Enjoys moderate to high humidity levels 🌬️
Transform your home into a green oasis with this stunning Peperomia serpens! 🌟 Don't miss out—Link in bio!
#PeperomiaSerpens #HouseplantHaven #IndoorJungle #PlantParent #GreenThumb #TrailingPlants #PlantLovers #HomeDecor #HouseplantsOfInstagram #PlantAddict #BotanicalBeauty #RosaryPlantHouse</t>
        </is>
      </c>
    </row>
    <row r="283" ht="99.5" customHeight="1">
      <c r="A283" s="94" t="n">
        <v>282</v>
      </c>
      <c r="B283" s="78" t="inlineStr">
        <is>
          <t>Crassula Tom Tumbs</t>
        </is>
      </c>
      <c r="C283" s="74">
        <f>IF(Local!H283,"1","0")</f>
        <v/>
      </c>
      <c r="D283" s="75" t="n">
        <v>120</v>
      </c>
      <c r="E283" s="66" t="inlineStr">
        <is>
          <t>Crassula 'Tom Thumb'</t>
        </is>
      </c>
      <c r="F283" s="76">
        <f>"public/sale_plants/"&amp;A283&amp;".jpg"</f>
        <v/>
      </c>
      <c r="G283" s="77" t="inlineStr">
        <is>
          <t>(2"-3")</t>
        </is>
      </c>
      <c r="H283" s="95" t="inlineStr">
        <is>
          <t>Low</t>
        </is>
      </c>
      <c r="I283" s="66" t="inlineStr">
        <is>
          <t>Low</t>
        </is>
      </c>
      <c r="J283" s="66" t="inlineStr">
        <is>
          <t>Medium</t>
        </is>
      </c>
      <c r="K283" s="85" t="n">
        <v>120</v>
      </c>
      <c r="L283" s="81" t="inlineStr">
        <is>
          <t>Crassula</t>
        </is>
      </c>
      <c r="M283" s="81" t="n">
        <v>0</v>
      </c>
      <c r="N283" s="80" t="n">
        <v>0</v>
      </c>
      <c r="O283" s="81" t="n">
        <v>0</v>
      </c>
      <c r="P283" s="80" t="n">
        <v>0</v>
      </c>
      <c r="Q283" s="81">
        <f>IF(Local!I283=TRUE,1,0)</f>
        <v/>
      </c>
      <c r="R283" s="81">
        <f>Local!D283</f>
        <v/>
      </c>
      <c r="S283" s="81">
        <f>Local!F283</f>
        <v/>
      </c>
      <c r="T283" s="81">
        <f>Local!G283</f>
        <v/>
      </c>
      <c r="U283" s="83" t="inlineStr">
        <is>
          <t>## About
Crassula 'Tom Thumb' is a beautiful miniature succulent that forms compact rosettes of fleshy green leaves with attractive yellow-green coloration. This charming little plant is perfect for small pots, terrariums, and succulent arrangements, making it a favorite among Indian plant collectors.
## Origin
This plant is a cultivated variety of the Crassula genus, which originally comes from South Africa. The parent species are native to dry, rocky areas where they have adapted to survive with minimal water and intense sunlight.
## Temperature &amp; Humidity
- **Temperature Range:** 15Â°C to 35Â°C (ideal range is 18Â°C to 28Â°C)
- **Humidity:** Low to moderate humidity (30% to 50%). This plant handles dry Indian climates very well and does not require high humidity. It can tolerate the hot, dry summers commonly found across most parts of India.
## Growth
Tom Thumb Crassula is a slow-growing, compact succulent that stays quite small, making it perfect for tiny pots and arrangements. Each rosette typically grows to about 3-5 cm in diameter and height. The plant forms tight clusters over time, spreading slowly outward. It grows in a stacked pattern with leaves arranged in four neat rows, creating a very geometric and attractive appearance. Growth is slowest during hot summers and fastest during spring and autumn months.
## Watering
- **Frequency:** Water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until water drains from the bottom, but never let the plant sit in water. Reduce watering in winter and monsoon months. Overwatering is the biggest killer of this plant, so when in doubt, wait a few more days before watering.
## Sunlight
- **Hours per day:** 4 to 6 hours
- **Type:** Bright indirect light is best, with 2-3 hours of gentle morning direct sunlight. Avoid harsh afternoon sun in Indian summers as it can scorch the leaves. A bright windowsill with filtered light or morning sun exposure works perfectly.
## Care Tips
- Place near an east or north-facing window for best results in Indian homes
- Protect from intense afternoon sun during April to June when temperatures peak
- Ensure excellent drainage to prevent root rot during monsoon season
- Keep the plant in a well-ventilated area to prevent fungal issues
- During Indian winters (December to February), reduce watering as the plant goes semi-dormant
- Avoid getting water on the leaves as this can cause rot or fungal spots
- This plant is perfect for office desks and indoor spaces with good natural light
## Growth Tips
- Use a well-draining succulent or cactus mix, or make your own with regular potting soil, cocopeat, and plenty of perlite or sand (ratio 1:1:2)
- Add a layer of small stones or gravel at the pot bottom for extra drainage
- Feed with diluted liquid succulent fertilizer once every 2-3 months during growing season (spring and autumn)
- Avoid fertilizing during summer heat and winter dormancy
- Repot only when the plant outgrows its container, typically every 2-3 years
- Use terracotta or clay pots which allow soil to dry faster than plastic pots
- Keep pot size small relative to plant size - Tom Thumb prefers being slightly root-bound
## Common Problems
- **Yellowing, mushy leaves:** Usually caused by overwatering or poor drainage, especially common during monsoon season
- **Wrinkled, shriveled leaves:** Sign of underwatering - the plant needs a thorough drink
- **Leggy, stretched growth:** Not getting enough light - move to a brighter location
- **Brown, crispy leaf tips:** Too much direct harsh sunlight or heat stress
- **Mealybugs (white cottony pests):** Common in Indian conditions - remove with cotton swab dipped in rubbing alcohol
- **Root rot:** Caused by waterlogged soil or poor drainage - ensure pot has drainage holes
- **Leaf drop:** Can happen due to sudden temperature changes or overwatering
- **Slow or no growth:** Normal during extreme summer or winter - don't worry, it will resume growing in favorable seasons</t>
        </is>
      </c>
      <c r="V283" s="98">
        <f>HYPERLINK("https://rosaryplanthouse.com/plant/"&amp;A283&amp;"-"&amp;SUBSTITUTE(LOWER(E283), " ", "-"))</f>
        <v/>
      </c>
      <c r="W283" t="inlineStr">
        <is>
          <t>🟢 Crassula 'Tom Thumb' (ID: 282)  
🌱 Meet your new favorite mini succulent! The Crassula 'Tom Thumb' is not just a plant; it's a stunning statement piece for any indoor garden. With its compact rosettes of fleshy green leaves and attractive yellow-green hues, this little beauty thrives in small pots, terrariums, and succulent arrangements.  
✨ **Key Details:**  
- **Origin:** Cultivated from South Africa, perfectly adapted for dry and sunny conditions.  
- **Watering:** Low maintenance, just water every 10-14 days—easy peasy!  
- **Sunlight:** Prefers 4-6 hours of bright indirect light, ideal for your windowsill.  
- **Care Tips:** Keep in a well-ventilated area and ensure excellent drainage.  
👉 Ready to add a touch of greenery to your space? Discover more about the Crassula 'Tom Thumb' and make it yours! Link in bio.  
#CrassulaTomThumb #SucculentLovers #IndoorPlants #PlantParenthood #GreenThumb #Houseplants #HomeDecor #PlantLife #RosaryPlantHouse #MiniSucculent #LowMaintenancePlants #SucculentCare #PlantAddict #NatureLovers #GardeningJoy</t>
        </is>
      </c>
    </row>
    <row r="284" ht="99.5" customHeight="1">
      <c r="A284" s="94" t="n">
        <v>283</v>
      </c>
      <c r="B284" s="78" t="inlineStr">
        <is>
          <t>Delosperma Taylorii</t>
        </is>
      </c>
      <c r="C284" s="74">
        <f>IF(Local!H284,"1","0")</f>
        <v/>
      </c>
      <c r="D284" s="75" t="n">
        <v>49</v>
      </c>
      <c r="E284" s="66" t="inlineStr">
        <is>
          <t>Delosperma taylorii</t>
        </is>
      </c>
      <c r="F284" s="76">
        <f>"public/sale_plants/"&amp;A284&amp;".jpg"</f>
        <v/>
      </c>
      <c r="G284" s="77" t="inlineStr">
        <is>
          <t>(2"-3")</t>
        </is>
      </c>
      <c r="H284" s="95" t="inlineStr">
        <is>
          <t>Low</t>
        </is>
      </c>
      <c r="I284" s="66" t="inlineStr">
        <is>
          <t>Low</t>
        </is>
      </c>
      <c r="J284" s="66" t="inlineStr">
        <is>
          <t>High</t>
        </is>
      </c>
      <c r="K284" s="85" t="n">
        <v>120</v>
      </c>
      <c r="L284" s="81" t="inlineStr">
        <is>
          <t>Succulent</t>
        </is>
      </c>
      <c r="M284" s="81" t="n">
        <v>0</v>
      </c>
      <c r="N284" s="80" t="n">
        <v>0</v>
      </c>
      <c r="O284" s="81" t="n">
        <v>0</v>
      </c>
      <c r="P284" s="80" t="n">
        <v>0</v>
      </c>
      <c r="Q284" s="81">
        <f>IF(Local!I284=TRUE,1,0)</f>
        <v/>
      </c>
      <c r="R284" s="81">
        <f>Local!D284</f>
        <v/>
      </c>
      <c r="S284" s="81">
        <f>Local!F284</f>
        <v/>
      </c>
      <c r="T284" s="81">
        <f>Local!G284</f>
        <v/>
      </c>
      <c r="U284" s="83" t="inlineStr">
        <is>
          <t>## About
Delosperma taylorii, commonly known as Taylor's Ice Plant, is a small succulent plant with unique blue-green, plump leaves that grow in a distinctive rosette pattern. Native to South Africa, this plant is known for its drought tolerance and beautiful pink to purple flowers that bloom during warmer months.
## Origin
This succulent originates from the mountainous regions of South Africa, particularly in areas with rocky terrain and well-draining soil. It is adapted to survive in harsh conditions with minimal water and intense sunlight.
## Temperature &amp; Humidity
- **Temperature Range:** 15Â°C to 35Â°C
- **Humidity:** Low to moderate humidity (30% to 50%). This plant prefers dry conditions and can tolerate the hot, dry summers common in many parts of India. It may struggle in very humid coastal regions during monsoon season.
## Growth
Taylor's Ice Plant is a compact, slow-growing succulent that typically reaches 5-10 cm in height and spreads up to 15-20 cm wide. The plant grows in small clumps with rosettes of thick, fleshy leaves arranged in a spiral pattern. The leaves are pale blue-green with a powdery coating. Growth is most active during spring and summer, while the plant becomes dormant or slows down during winter.
## Watering
- **Frequency:** Once every two weeks depending on season and weather conditions. During hot summer months, water once a week if the soil is completely dry.
- **Tips:** Always check that the soil is completely dry before watering. Water deeply but infrequently, allowing excess water to drain away completely. Reduce watering significantly during monsoon season and winter months. Overwatering is the most common cause of plant death, so when in doubt, wait longer before watering. Use the "soak and dry" method for best results.
## Sunlight
- **Hours per day:** 6 to 8 hours
- **Type:** Direct sunlight is essential for this plant. It needs full sun exposure to maintain its compact shape and blue-green color. Without adequate direct sunlight, the plant will stretch and become leggy, losing its attractive form.
## Care Tips
- This plant thrives in hot, sunny locations and is perfect for Indian summers
- Protect from excessive monsoon rain as too much moisture can cause root rot
- Provide excellent drainage by using a gritty, sandy soil mix
- In areas with heavy monsoon, consider moving the pot to a covered area
- The powdery coating on leaves is natural and should not be wiped off
- Requires minimal maintenance once established in the right conditions
- Can tolerate light frost but protect from prolonged cold in northern India during winter
## Growth Tips
- Use a well-draining succulent or cactus soil mix with at least 50% grit (coarse sand, perlite, or pumice)
- Add extra sand or perlite to regular potting soil to improve drainage
- Fertilize sparingly - once every 2-3 months during growing season with diluted liquid succulent fertilizer
- Repot every 2-3 years or when the plant outgrows its container
- Use terracotta or clay pots which allow better air circulation and moisture evaporation
- Propagate easily through stem cuttings or leaf cuttings - allow cuttings to dry for a few days before planting
## Common Problems
- **Root rot:** Caused by overwatering or poor drainage, especially during monsoon season
- **Stretching (etiolation):** Happens when the plant doesn't get enough direct sunlight
- **Shriveled leaves:** Usually indicates underwatering, though this plant can tolerate drought well
- **Mealy bugs:** White, cottony pests that hide between leaves - treat with neem oil or alcohol
- **Leaf drop:** Can occur due to overwatering or sudden temperature changes
- **Loss of blue-green color:** Indicates insufficient sunlight exposure
- **Fungal infections:** May develop in humid conditions with poor air circulation</t>
        </is>
      </c>
      <c r="V284" s="98">
        <f>HYPERLINK("https://rosaryplanthouse.com/plant/"&amp;A284&amp;"-"&amp;SUBSTITUTE(LOWER(E284), " ", "-"))</f>
        <v/>
      </c>
      <c r="W284" t="inlineStr">
        <is>
          <t>🟢 Delosperma Taylorii (ID: 283)  
🌟 Meet Taylor's Ice Plant! 🌟 This stunning succulent is not just a feast for the eyes with its unique blue-green, plump leaves, but it also brings a burst of color with its vibrant pink to purple flowers in warmer months! 🌸💚
🌍 **About:** Native to the rocky terrains of South Africa, this drought-tolerant beauty flourishes in sunny spots and is perfect for those hot, dry summers. With its compact growth and low maintenance, it's a must-have for any plant enthusiast!
💧 **Key Details:**  
- **Watering:** Low (every 2 weeks, more in summer)  
- **Sunlight:** Needs 6-8 hours of direct sunlight daily  
- **Temperature:** Thrives in 15°C to 35°C  
Ready to brighten your space with this resilient succulent? 🌞✨  
👉 Link in bio!  
#DelospermaTaylorii #SucculentLove #PlantParent #IndoorPlants #GardenGoals #PlantsOfInstagram #SucculentCare #NatureLovers #PlantAddict #HomeDecor #GreenThumb #FloralBeauty #RosaryPlantHouse</t>
        </is>
      </c>
    </row>
    <row r="285" ht="99.5" customHeight="1">
      <c r="A285" s="94" t="n">
        <v>284</v>
      </c>
      <c r="B285" s="78" t="inlineStr">
        <is>
          <t>Dracaena reflexa</t>
        </is>
      </c>
      <c r="C285" s="74">
        <f>IF(Local!H285,"1","0")</f>
        <v/>
      </c>
      <c r="D285" s="75" t="n">
        <v>120</v>
      </c>
      <c r="E285" s="66" t="inlineStr">
        <is>
          <t>Dracaena reflexa 'Song of India' (variegata)</t>
        </is>
      </c>
      <c r="F285" s="76">
        <f>"public/sale_plants/"&amp;A285&amp;".jpg"</f>
        <v/>
      </c>
      <c r="G285" s="77" t="inlineStr">
        <is>
          <t>(2"-3")</t>
        </is>
      </c>
      <c r="H285" s="95" t="inlineStr">
        <is>
          <t>High</t>
        </is>
      </c>
      <c r="I285" s="66" t="inlineStr">
        <is>
          <t>Medium</t>
        </is>
      </c>
      <c r="J285" s="66" t="inlineStr">
        <is>
          <t>Medium</t>
        </is>
      </c>
      <c r="K285" s="85" t="n">
        <v>120</v>
      </c>
      <c r="L285" s="81" t="inlineStr">
        <is>
          <t>Others</t>
        </is>
      </c>
      <c r="M285" s="81" t="n">
        <v>0</v>
      </c>
      <c r="N285" s="80" t="n">
        <v>0</v>
      </c>
      <c r="O285" s="81" t="n">
        <v>0</v>
      </c>
      <c r="P285" s="80" t="n">
        <v>0</v>
      </c>
      <c r="Q285" s="81">
        <f>IF(Local!I285=TRUE,1,0)</f>
        <v/>
      </c>
      <c r="R285" s="81">
        <f>Local!D285</f>
        <v/>
      </c>
      <c r="S285" s="81">
        <f>Local!F285</f>
        <v/>
      </c>
      <c r="T285" s="81">
        <f>Local!G285</f>
        <v/>
      </c>
      <c r="U285" s="83" t="inlineStr">
        <is>
          <t>## About
Song of India is a popular ornamental plant known for its striking variegated leaves with bright yellow-green edges and darker green centers. This attractive foliage plant is widely grown as a decorative indoor plant in Indian homes and offices, valued for its air-purifying qualities and easy maintenance.
## Origin
This plant originates from Madagascar, Mauritius, and other islands in the Indian Ocean. It grows naturally in tropical forests where it thrives in warm, humid conditions under the canopy of larger trees.
## Temperature &amp; Humidity
- **Temperature Range:** 18Â°C to 35Â°C
- **Humidity:** Prefers moderate to high humidity levels between 50% to 70%. It adapts well to Indian coastal and monsoon climates but may need occasional misting in dry regions or during winter months.
## Growth
Song of India grows as an upright shrub with spirally arranged leaves along woody stems. It can reach heights of 1 to 2 meters when grown indoors and up to 3-4 meters outdoors in ideal conditions. Growth is moderate, typically adding 15-30 cm per year. The plant develops a bushy appearance with proper pruning and multiple stems can emerge from the base.
## Watering
- **Frequency:** Once a week depending on season and weather conditions. During monsoon or winter, reduce to once every 10-12 days.
- **Tips:** Water thoroughly until excess drains out from the bottom. Allow the top 2-3 cm of soil to dry between waterings. Reduce watering in winter months. Use room-temperature water. Avoid waterlogging as it can cause root rot. Yellow leaves often indicate overwatering.
## Sunlight
- **Hours per day:** 3 to 5 hours
- **Type:** Bright indirect light or filtered light. Can tolerate 1-2 hours of gentle morning sun. Avoid harsh afternoon sun which can scorch the variegated leaves and cause browning.
## Care Tips
- Keep the plant in bright, indirect light to maintain vibrant leaf variegation
- Wipe leaves regularly with a damp cloth to remove dust and allow better photosynthesis
- Prune leggy stems to encourage bushier growth
- Keep away from cold drafts from air conditioners during Indian summers
- Protect from direct monsoon rain which can cause fungal issues
- Mist the leaves occasionally during hot, dry summer months
- Rotate the pot every few weeks for even growth
## Growth Tips
- Use well-draining potting mix with a combination of garden soil, cocopeat, and perlite or sand
- Feed with balanced liquid fertilizer (NPK 10:10:10) diluted to half strength once a month during growing season (March to October)
- Repot every 2-3 years in spring when roots become pot-bound
- Choose a pot only 1-2 sizes larger with drainage holes
- Add organic compost or vermicompost twice a year for healthy growth
- Prune regularly to maintain desired shape and height
## Common Problems
- **Brown leaf tips:** Caused by low humidity, fluoride in tap water, or underwatering. Use filtered water and increase humidity.
- **Yellow leaves:** Result of overwatering or poor drainage. Allow soil to dry between waterings.
- **Leaf drop:** Due to sudden temperature changes, cold drafts, or relocation stress. Maintain consistent conditions.
- **Fading variegation:** Insufficient light causes leaves to lose their yellow stripes. Move to brighter location.
- **Spider mites and mealybugs:** Common in dry conditions. Wipe leaves with neem oil solution weekly for prevention.
- **Root rot:** From excessive watering or poor drainage. Ensure pot has drainage holes and reduce watering frequency.</t>
        </is>
      </c>
      <c r="V285" s="98">
        <f>HYPERLINK("https://rosaryplanthouse.com/plant/"&amp;A285&amp;"-"&amp;SUBSTITUTE(LOWER(E285), " ", "-"))</f>
        <v/>
      </c>
      <c r="W285" t="inlineStr">
        <is>
          <t>🟢 Dracaena reflexa 'Song of India' (ID: 284)  
🎶 Let the melody of nature fill your space with the stunning Dracaena reflexa 'Song of India'! 🌱 This enchanting plant boasts vibrant variegated leaves adorned with bright yellow-green edges that dance with the darker green centers. Perfect for any indoor setting, it not only elevates your décor but also purifies the air! 🌍✨  
🌿 **Key Details:**  
- **Origin:** Madagascar &amp; Mauritius  
- **Watering:** Medium - once a week (reduce in winter)  
- **Sunlight:** 3-5 hours of bright indirect light  
- **Humidity:** Thrives in moderate to high humidity (50-70%)  
Transform your home with this beauty today! 🌟 **Link in bio** for more info!  
#DracaenaReflexa #SongOfIndia #IndoorPlants #PlantLovers #HomeDecor #PlantCare #Houseplants #GreenThumb #AirPurifyingPlants #RosaryPlantHouse</t>
        </is>
      </c>
    </row>
    <row r="286" ht="99.5" customHeight="1">
      <c r="A286" s="94" t="n">
        <v>285</v>
      </c>
      <c r="B286" s="84" t="inlineStr">
        <is>
          <t>pencil</t>
        </is>
      </c>
      <c r="C286" s="74">
        <f>IF(Local!H286,"1","0")</f>
        <v/>
      </c>
      <c r="D286" s="75" t="n">
        <v>120</v>
      </c>
      <c r="E286" s="66" t="inlineStr">
        <is>
          <t>Kleinia stapeliiformis</t>
        </is>
      </c>
      <c r="F286" s="76">
        <f>"public/sale_plants/"&amp;A286&amp;".jpg"</f>
        <v/>
      </c>
      <c r="G286" s="77" t="inlineStr">
        <is>
          <t>(2"-3")</t>
        </is>
      </c>
      <c r="H286" s="95" t="inlineStr">
        <is>
          <t>Low</t>
        </is>
      </c>
      <c r="I286" s="66" t="inlineStr">
        <is>
          <t>Low</t>
        </is>
      </c>
      <c r="J286" s="66" t="inlineStr">
        <is>
          <t>High</t>
        </is>
      </c>
      <c r="K286" s="85" t="n">
        <v>199</v>
      </c>
      <c r="L286" s="81" t="inlineStr">
        <is>
          <t>Cactus</t>
        </is>
      </c>
      <c r="M286" s="81" t="n">
        <v>0</v>
      </c>
      <c r="N286" s="80" t="n">
        <v>0</v>
      </c>
      <c r="O286" s="81" t="n">
        <v>0</v>
      </c>
      <c r="P286" s="80" t="n">
        <v>0</v>
      </c>
      <c r="Q286" s="81">
        <f>IF(Local!I286=TRUE,1,0)</f>
        <v/>
      </c>
      <c r="R286" s="81">
        <f>Local!D286</f>
        <v/>
      </c>
      <c r="S286" s="81">
        <f>Local!F286</f>
        <v/>
      </c>
      <c r="T286" s="81">
        <f>Local!G286</f>
        <v/>
      </c>
      <c r="U286" s="83" t="inlineStr">
        <is>
          <t>## About
The Pickle Plant is a unique succulent with distinctive upright stems that look like pickles or cucumbers. This unusual plant from South Africa has green-grey stems with purple vertical stripes and makes an interesting addition to any succulent collection.
## Origin
Native to South Africa, particularly the Eastern Cape region. It grows naturally in rocky areas and dry regions where it has adapted to survive with minimal water and in harsh sunlight conditions.
## Temperature &amp; Humidity
- **Temperature Range:** 15Â°C to 35Â°C (can tolerate up to 40Â°C in Indian summers)
- **Humidity:** Low to moderate humidity (30% to 50%). This plant prefers dry conditions and does well in most Indian climates, especially in drier regions.
## Growth
The Pickle Plant grows as upright cylindrical stems that can reach 30-45 cm in height. Each stem is about 1-2 cm thick and grows vertically from the base. The plant spreads slowly by producing new stems from the roots. Growth is moderate during warm months and slows down in winter. The stems have an interesting texture with raised ridges running along their length, giving them a distinctive appearance.
## Watering
- **Frequency:** Once every 10-15 days depending on season and weather conditions. Water less frequently in monsoon and winter months.
- **Tips:** Allow the soil to dry out completely between waterings. This plant is drought-tolerant and overwatering is the biggest threat. In winter, reduce watering to once every 3-4 weeks. Water at the base and avoid getting water on the stems. During Indian monsoons, protect from excessive rain or move to a covered area.
## Sunlight
- **Hours per day:** 4 to 6 hours
- **Type:** Direct sunlight is best. Can tolerate bright indirect light but may become leggy. Morning sun is ideal, especially in hot Indian summers where afternoon sun can be very intense.
## Care Tips
- Protect from heavy monsoon rains as the plant can rot easily in waterlogged conditions
- In extremely hot summers (above 40Â°C), provide some afternoon shade to prevent sun scorch
- Keep the plant in a location with good air circulation to prevent fungal issues
- Clean the stems occasionally with a soft brush to remove dust
- This plant is perfect for beginners as it needs minimal care
- Works well in outdoor rock gardens or as a container plant on sunny balconies
## Growth Tips
- Use well-draining cactus or succulent mix. Add 50% sand or perlite to regular potting soil
- Fertilize sparingly - once every 2-3 months during growing season (March to October) with diluted liquid fertilizer
- Repot every 2-3 years in spring using a pot only slightly larger than the previous one
- Terracotta pots work best as they allow soil to dry faster
- Propagate easily by stem cuttings - let the cut end dry for 2-3 days before planting
- Avoid using heavy, water-retentive soil as it leads to root rot
## Common Problems
- **Stem rot:** Caused by overwatering or poor drainage. Stems turn soft and mushy at the base
- **Yellowing or browning stems:** Usually from too much water or fungal infection in humid conditions
- **Leggy growth:** Not enough sunlight. Stems become thin and weak
- **Shriveled stems:** Underwatering, though this is rare. Increase watering frequency slightly
- **Mealybugs:** White cotton-like bugs appear on stems. Wipe with alcohol-soaked cotton or spray with neem oil
- **No new growth:** May need fertilizer or the pot might be too small
- **Purple discoloration:** Usually normal stress coloration from bright light, but can also indicate cold damage if temperatures drop below 10Â°C</t>
        </is>
      </c>
      <c r="V286" s="98">
        <f>HYPERLINK("https://rosaryplanthouse.com/plant/"&amp;A286&amp;"-"&amp;SUBSTITUTE(LOWER(E286), " ", "-"))</f>
        <v/>
      </c>
      <c r="W286" t="inlineStr">
        <is>
          <t>🟢 Kleinia Stapeliiformis (ID: 285)
🌿 Meet the Pickle Plant, your new succulent obsession! With its unique upright stems that resemble pickles, this stunning plant is sure to be the star of your collection. 
✨ Native to the rocky terrains of South Africa, the Kleinia Stapeliiformis thrives in bright sunlight and requires minimal watering, making it perfect for both seasoned plant parents and beginners alike. 
🌞 **Key Details:**
- **Watering:** Low frequency (every 10-15 days)
- **Sunlight:** Loves direct sunlight (4-6 hours daily)
- **Growth:** Moderate growth with a unique texture 
Ready to add this quirky beauty to your home? 🌱 Link in bio!
#KleiniaStapeliiformis #PicklePlant #SucculentLove #PlantAddict #EcommercePlants #CactusCollection #PlantParenting #IndoorGardening #SucculentCare #RosaryPlantHouse #GreenThumb</t>
        </is>
      </c>
    </row>
    <row r="287" ht="99.5" customHeight="1">
      <c r="A287" s="94" t="n">
        <v>286</v>
      </c>
      <c r="B287" s="78" t="inlineStr">
        <is>
          <t>Tarragon</t>
        </is>
      </c>
      <c r="C287" s="74">
        <f>IF(Local!H287,"1","0")</f>
        <v/>
      </c>
      <c r="D287" s="75" t="n">
        <v>59</v>
      </c>
      <c r="E287" s="66" t="inlineStr">
        <is>
          <t>Crassula tetragona</t>
        </is>
      </c>
      <c r="F287" s="76">
        <f>"public/sale_plants/"&amp;A287&amp;".jpg"</f>
        <v/>
      </c>
      <c r="G287" s="77" t="inlineStr">
        <is>
          <t>(2"-3")</t>
        </is>
      </c>
      <c r="H287" s="95" t="inlineStr">
        <is>
          <t>Low</t>
        </is>
      </c>
      <c r="I287" s="66" t="inlineStr">
        <is>
          <t>Low</t>
        </is>
      </c>
      <c r="J287" s="66" t="inlineStr">
        <is>
          <t>Medium</t>
        </is>
      </c>
      <c r="K287" s="85" t="n">
        <v>99</v>
      </c>
      <c r="L287" s="81" t="inlineStr">
        <is>
          <t>Others</t>
        </is>
      </c>
      <c r="M287" s="81" t="n">
        <v>0</v>
      </c>
      <c r="N287" s="80" t="n">
        <v>0</v>
      </c>
      <c r="O287" s="81" t="n">
        <v>0</v>
      </c>
      <c r="P287" s="80" t="n">
        <v>0</v>
      </c>
      <c r="Q287" s="81">
        <f>IF(Local!I287=TRUE,1,0)</f>
        <v/>
      </c>
      <c r="R287" s="81">
        <f>Local!D287</f>
        <v/>
      </c>
      <c r="S287" s="81">
        <f>Local!F287</f>
        <v/>
      </c>
      <c r="T287" s="81">
        <f>Local!G287</f>
        <v/>
      </c>
      <c r="U287" s="83" t="inlineStr">
        <is>
          <t>## About
The Miniature Pine Tree is a beautiful succulent that looks just like a tiny pine tree. It has thin, needle-like green leaves that grow upward along woody stems, giving it a unique tree-like appearance. This plant is popular among succulent lovers because it is easy to care for and adds a beautiful green touch to any space.
## Origin
This plant originally comes from South Africa, particularly from dry, rocky areas. In its natural habitat, it grows in well-drained soil under bright sunlight. The plant has adapted to survive in hot and dry conditions with minimal water.
## Temperature &amp; Humidity
- **Temperature Range:** 15Â°C to 35Â°C
- **Humidity:** This plant prefers low to moderate humidity levels (30% to 50%). It can tolerate the typical humidity found in most Indian homes and grows well in both dry and slightly humid conditions.
## Growth
The Miniature Pine Tree is a slow to moderate growing plant. It can grow up to 30 to 60 centimeters tall when mature. The plant grows upright with multiple branches that look like tiny tree branches. As it matures, the stem becomes woody and brown at the base, making it look even more like a miniature tree. The leaves are thin, cylindrical, and bright green, arranged tightly along the stems.
## Watering
- **Frequency:** Once every 10 to 14 days depending on season and weather conditions. In summer, you may need to water slightly more often, while in monsoon and winter, reduce watering.
- **Tips:** Always allow the soil to dry out completely between waterings. Overwatering can cause root rot. Water at the base of the plant and avoid wetting the leaves. During the monsoon season, reduce watering as the plant can absorb moisture from the air.
## Sunlight
- **Hours per day:** 4 to 6 hours
- **Type:** Bright indirect light or direct morning sunlight. The plant can tolerate direct sunlight but should be protected from intense afternoon sun, especially during summer, as it can scorch the leaves.
## Care Tips
- Keep the plant in a well-ventilated area to prevent fungal infections, especially during monsoon season.
- This plant does well indoors near a bright window or on a balcony with good light.
- Rotate the pot every few weeks so the plant grows evenly on all sides.
- During winter, reduce watering and avoid fertilizing as the plant enters a rest period.
- Clean the leaves gently with a soft brush to remove dust and allow better light absorption.
## Growth Tips
- **Soil:** Use a well-draining cactus or succulent potting mix. You can make your own by mixing regular potting soil with coarse sand or perlite in equal parts.
- **Fertilizer:** Feed the plant with a diluted liquid succulent fertilizer once a month during the growing season (spring and summer). Avoid fertilizing in winter.
- **Repotting:** Repot every 2 to 3 years or when the plant outgrows its pot. Choose a pot that is slightly larger and has drainage holes at the bottom.
## Common Problems
- **Yellowing leaves:** Usually caused by overwatering. Allow the soil to dry completely before watering again.
- **Leaf drop:** Can happen due to underwatering or sudden temperature changes. Check soil moisture and adjust watering.
- **Leggy growth:** This occurs when the plant does not get enough light. Move it to a brighter location.
- **Root rot:** Caused by waterlogged soil or poor drainage. Always use pots with drainage holes and well-draining soil.
- **Pests:** Watch out for mealybugs and aphids, especially during the growing season. Remove them with a cotton swab dipped in rubbing alcohol or spray with neem oil solution.
- **Brown or crispy leaves:** Caused by too much direct harsh sunlight or underwatering. Adjust light exposure and water when soil is dry.</t>
        </is>
      </c>
      <c r="V287" s="98">
        <f>HYPERLINK("https://rosaryplanthouse.com/plant/"&amp;A287&amp;"-"&amp;SUBSTITUTE(LOWER(E287), " ", "-"))</f>
        <v/>
      </c>
      <c r="W287" t="inlineStr">
        <is>
          <t>🟢 Crassula Tetragona (ID: 286)
🌿 Meet the Miniature Pine Tree! 🌿 This charming succulent is not just a feast for the eyes but also a breeze to care for. 🌱 With its tree-like appearance and needle-like green leaves, it brings a touch of nature to any space, making it a must-have for plant lovers! 
✨ **About:** The Miniature Pine Tree is a slow-growing succulent that thrives in well-drained soil and bright indirect light. Originally hailing from the dry, rocky terrains of South Africa, it’s perfectly adapted for easy care and low maintenance. 
🌞 **Key Details:**
- Watering: Low – Needs watering every 10-14 days.
- Sunlight: Medium – Enjoys 4-6 hours of bright indirect or morning sunlight.
- Humidity: Low to moderate – Perfect for typical indoor conditions! 
💚 Bring home this delightful piece of nature today! Link in bio to discover more! 
#CrassulaTetragona #MiniaturePineTree #SucculentLove #IndoorPlants #PlantParent #GreenThumb #HousePlants #PlantOfTheDay #RosaryPlantHouse #PlantGoals #SucculentCare #PlantLovers</t>
        </is>
      </c>
    </row>
    <row r="288" ht="99.5" customHeight="1">
      <c r="A288" s="94" t="n">
        <v>287</v>
      </c>
      <c r="B288" s="78" t="inlineStr">
        <is>
          <t xml:space="preserve">Purple echeveria </t>
        </is>
      </c>
      <c r="C288" s="74">
        <f>IF(Local!H288,"1","0")</f>
        <v/>
      </c>
      <c r="D288" s="75" t="n">
        <v>120</v>
      </c>
      <c r="E288" s="66" t="inlineStr">
        <is>
          <t>Echeveria desmetiana</t>
        </is>
      </c>
      <c r="F288" s="76">
        <f>"public/sale_plants/"&amp;A288&amp;".jpg"</f>
        <v/>
      </c>
      <c r="G288" s="77" t="inlineStr">
        <is>
          <t>(2"-3")</t>
        </is>
      </c>
      <c r="H288" s="95" t="inlineStr">
        <is>
          <t>High</t>
        </is>
      </c>
      <c r="I288" s="66" t="inlineStr">
        <is>
          <t>Low</t>
        </is>
      </c>
      <c r="J288" s="66" t="inlineStr">
        <is>
          <t>High</t>
        </is>
      </c>
      <c r="K288" s="85" t="n">
        <v>120</v>
      </c>
      <c r="L288" s="81" t="inlineStr">
        <is>
          <t>Echeveria</t>
        </is>
      </c>
      <c r="M288" s="81" t="n">
        <v>0</v>
      </c>
      <c r="N288" s="80" t="n">
        <v>0</v>
      </c>
      <c r="O288" s="81" t="n">
        <v>0</v>
      </c>
      <c r="P288" s="80" t="n">
        <v>0</v>
      </c>
      <c r="Q288" s="81">
        <f>IF(Local!I288=TRUE,1,0)</f>
        <v/>
      </c>
      <c r="R288" s="81">
        <f>Local!D288</f>
        <v/>
      </c>
      <c r="S288" s="81">
        <f>Local!F288</f>
        <v/>
      </c>
      <c r="T288" s="81">
        <f>Local!G288</f>
        <v/>
      </c>
      <c r="U288" s="83" t="inlineStr">
        <is>
          <t>## About
Echeveria desmetiana, commonly known as Peacock Echeveria, is a stunning succulent with beautiful powder-blue to mint-green leaves arranged in a perfect rosette pattern. This eye-catching plant is loved by gardeners for its compact size and gorgeous coloring that looks like a blooming flower.
## Origin
This plant originates from Mexico, where it grows naturally in rocky, arid regions with well-draining soil. It is adapted to survive in dry conditions with minimal water, making it perfect for low-maintenance gardening.
## Temperature &amp; Humidity
- **Temperature Range:** 15Â°C to 35Â°C (ideal 18Â°C to 28Â°C)
- **Humidity:** Prefers low to moderate humidity levels around 30% to 50%. This plant does well in the dry Indian climate and doesn't require high humidity. Avoid very humid conditions as they can cause fungal problems.
## Growth
Echeveria desmetiana is a slow-growing succulent that typically reaches 8 to 15 cm in diameter when fully grown. The rosette forms a tight, compact shape with fleshy leaves covered in a natural powdery coating (called farina) that protects the plant from harsh sun. It stays low to the ground and doesn't spread much, making it perfect for small pots and arrangements.
## Watering
- **Frequency:** Once every 10-15 days depending on season and weather conditions. Water less in monsoon and winter, more in hot summer months.
- **Tips:** Always water the soil directly, never pour water on the leaves as it will wash away the protective powder coating. Allow the soil to dry out completely between waterings. The "soak and dry" method works best - water thoroughly until it drains from the bottom, then wait until soil is completely dry. In Indian summers, you may need to water once a week, but in cooler months reduce to once every two weeks or less.
## Sunlight
- **Hours per day:** 4 to 6 hours
- **Type:** Bright direct sunlight is best, especially morning sun. In extremely hot Indian summers (above 40Â°C), provide some afternoon shade to prevent leaf burn. The blue-green color becomes more vibrant with adequate sunlight.
## Care Tips
- Avoid touching the leaves as the natural powder coating gets damaged easily and won't grow back
- Place in a spot with good air circulation to prevent fungal issues during monsoon
- In coastal areas with high humidity, be extra careful about overwatering
- During Indian monsoons, move the plant under a roof or provide rain protection
- The plant can tolerate the hot Indian summer but may need light shade during peak afternoon hours (12 PM to 3 PM) when temperatures exceed 40Â°C
- Can be grown indoors near a bright south or west-facing window
## Growth Tips
- Use a well-draining cactus or succulent mix - you can make your own by mixing regular potting soil with cocopeat and perlite or sand in equal parts
- Add some gravel or small stones to improve drainage
- Repot every 2 to 3 years in spring, using a pot only slightly larger than the previous one
- Fertilize very lightly once every 2-3 months during the growing season (February to October) with a diluted succulent fertilizer at half strength
- Terracotta pots work best as they allow soil to dry faster
- No need for heavy feeding - these plants thrive on neglect
## Common Problems
- **Leaf rot or mushy leaves:** Caused by overwatering or water sitting on the leaves, especially during monsoon
- **Leaves turning brown or crispy:** Too much direct harsh sunlight or underwatering in peak summer
- **Stretched or elongated growth:** Not getting enough sunlight, move to a brighter location
- **White powdery coating disappearing:** Touching leaves too much or water splashing on them
- **Mealybugs (white cottony pests):** Common in Indian conditions, remove with cotton dipped in rubbing alcohol
- **Root rot:** Poor drainage or sitting in water-logged soil during rainy season
- **Lower leaves drying and falling:** Natural process as plant grows, nothing to worry about unless excessive</t>
        </is>
      </c>
      <c r="V288" s="98">
        <f>HYPERLINK("https://rosaryplanthouse.com/plant/"&amp;A288&amp;"-"&amp;SUBSTITUTE(LOWER(E288), " ", "-"))</f>
        <v/>
      </c>
      <c r="W288" t="inlineStr">
        <is>
          <t>🟢 Echeveria desmetiana (ID: 287)
🌿 **Get ready to elevate your indoor garden with the stunning Purple Echeveria!** This beauty is not just a plant; it's a statement piece that will transform any space into a serene oasis. 💜
**About:** The Echeveria desmetiana, affectionately known as Peacock Echeveria, showcases enchanting powder-blue to mint-green leaves that form a captivating rosette. Perfect for those who love low-maintenance yet visually striking plants!
**Key Details:**
- 🌞 **Sunlight:** Thrives in bright direct sunlight (4-6 hours daily).
- 💧 **Watering:** Low water needs - just once every 10-15 days!
- 🌡️ **Humidity:** Prefers low to moderate humidity, making it ideal for the Indian climate.
Don't miss out on adding this charming succulent to your collection! 🌱✨ **Link in bio** to shop now!
#EcheveriaDesmetiana #PurpleEcheveria #SucculentLove #PlantGoals #IndoorGardening #LowMaintenancePlants #RosaryPlantHouse #PlantParent #SucculentCare #HomeDecor #GreenThumb</t>
        </is>
      </c>
    </row>
    <row r="289" ht="99.5" customHeight="1">
      <c r="A289" s="94" t="n">
        <v>288</v>
      </c>
      <c r="B289" s="78" t="inlineStr">
        <is>
          <t>Echeveria Normal blue</t>
        </is>
      </c>
      <c r="C289" s="74">
        <f>IF(Local!H289,"1","0")</f>
        <v/>
      </c>
      <c r="D289" s="75" t="n">
        <v>120</v>
      </c>
      <c r="E289" s="66" t="inlineStr">
        <is>
          <t>Echeveria runyonii 'Blue'</t>
        </is>
      </c>
      <c r="F289" s="76">
        <f>"public/sale_plants/"&amp;A289&amp;".jpg"</f>
        <v/>
      </c>
      <c r="G289" s="77" t="inlineStr">
        <is>
          <t>(2"-3")</t>
        </is>
      </c>
      <c r="H289" s="95" t="inlineStr">
        <is>
          <t>Low</t>
        </is>
      </c>
      <c r="I289" s="66" t="inlineStr">
        <is>
          <t>Low</t>
        </is>
      </c>
      <c r="J289" s="66" t="inlineStr">
        <is>
          <t>High</t>
        </is>
      </c>
      <c r="K289" s="85" t="n">
        <v>120</v>
      </c>
      <c r="L289" s="81" t="inlineStr">
        <is>
          <t>Echeveria</t>
        </is>
      </c>
      <c r="M289" s="81" t="n">
        <v>0</v>
      </c>
      <c r="N289" s="80" t="n">
        <v>0</v>
      </c>
      <c r="O289" s="81" t="n">
        <v>0</v>
      </c>
      <c r="P289" s="80" t="n">
        <v>0</v>
      </c>
      <c r="Q289" s="81">
        <f>IF(Local!I289=TRUE,1,0)</f>
        <v/>
      </c>
      <c r="R289" s="81">
        <f>Local!D289</f>
        <v/>
      </c>
      <c r="S289" s="81">
        <f>Local!F289</f>
        <v/>
      </c>
      <c r="T289" s="81">
        <f>Local!G289</f>
        <v/>
      </c>
      <c r="U289" s="83" t="inlineStr">
        <is>
          <t>## About
The Blue Echeveria is a stunning succulent plant known for its beautiful powdery blue-gray leaves arranged in a perfect rose-like pattern. This beautiful plant is popular among gardeners and plant collectors for its striking color and low maintenance needs, making it perfect for both beginners and experienced plant lovers.
## Origin
This plant originates from Mexico and Central America, where it grows naturally in rocky, dry areas with good drainage. It belongs to the Crassulaceae family and has adapted to survive in harsh, arid conditions with minimal water.
## Temperature &amp; Humidity
- **Temperature Range:** 15Â°C to 35Â°C
- **Humidity:** Prefers low to moderate humidity levels between 30% to 50%. This plant does very well in Indian climate conditions, especially in dry regions. It can tolerate hot summers but should be protected from frost and temperatures below 10Â°C during winter months.
## Growth
The Blue Echeveria grows in a compact rosette form that can reach 10 to 15 cm in diameter. It is a slow to moderate grower that stays relatively small, making it perfect for small pots, terrariums, and dish gardens. The plant occasionally produces baby offsets (pups) around the base, which can be separated and grown into new plants. The leaves have a beautiful powdery coating called farina that gives them their blue color and protects them from harsh sunlight.
## Watering
- **Frequency:** Once every 10-14 days depending on season and weather conditions. Water less frequently during monsoon and winter months, and slightly more during hot summer months.
- **Tips:** Always use the soak and dry method - water thoroughly until water drains from the bottom, then wait for the soil to dry completely before watering again. Avoid getting water on the leaves as it can wash away the protective powdery coating. Never let the plant sit in water as this can cause root rot. In the Indian summer, check soil moisture more frequently, but in monsoon season, reduce watering significantly.
## Sunlight
- **Hours per day:** 4 to 6 hours
- **Type:** Prefers bright direct sunlight, especially morning sun. Can tolerate some afternoon shade during peak summer months (April-June) in hot regions of India. If grown indoors, place near a south or east-facing window. Without enough light, the plant will lose its compact shape and beautiful blue color.
## Care Tips
- Avoid touching the leaves frequently as this removes the protective powdery coating
- Bring the plant indoors or provide shelter during heavy monsoon rains
- Ensure the pot has drainage holes to prevent water accumulation
- Use a well-draining pot material like terracotta which helps excess moisture evaporate
- Protect from temperatures below 10Â°C during winter in North India
- During Indian summers, provide some afternoon shade if temperatures exceed 40Â°C
- Remove dead lower leaves to prevent pest problems and maintain appearance
## Growth Tips
- Use a well-draining cactus or succulent soil mix with added perlite or cocopeat and sand
- Fertilize sparingly - once every 2-3 months during growing season (spring and autumn) with diluted succulent fertilizer
- Repot every 2-3 years in spring when the plant outgrows its pot
- When repotting, choose a pot only slightly larger than the current one
- Propagate easily from leaf cuttings or offsets - let cuttings dry for 2-3 days before planting
- Add a top layer of small pebbles or decorative stones to prevent soil splashing on leaves
## Common Problems
- **Stretching (etiolation):** Caused by insufficient sunlight - move to a brighter location
- **Root rot:** Due to overwatering or poor drainage - reduce watering frequency and improve soil drainage
- **Mealybugs:** White cotton-like pests on leaves - remove with cotton swab dipped in rubbing alcohol
- **Brown or mushy leaves:** Sign of overwatering - allow soil to dry completely and reduce watering
- **Shriveled leaves:** Underwatering - increase watering frequency slightly
- **Loss of blue color:** Not enough sunlight or damage to farina coating - provide more light and avoid touching leaves
- **Leaf drop:** Natural for lower leaves, but excessive drop indicates stress from watering issues or temperature changes</t>
        </is>
      </c>
      <c r="V289" s="98">
        <f>HYPERLINK("https://rosaryplanthouse.com/plant/"&amp;A289&amp;"-"&amp;SUBSTITUTE(LOWER(E289), " ", "-"))</f>
        <v/>
      </c>
      <c r="W289" t="inlineStr">
        <is>
          <t>🟢 Echeveria runyonii 'Blue' (ID: 288)
🌟 Get ready to fall in love with the stunning Echeveria runyonii 'Blue'! This succulent beauty is the perfect addition to your plant collection, bringing a touch of elegance with its exquisite powdery blue-gray leaves arranged in a lovely rosette. 
💧 Low maintenance and high style, this plant thrives in bright sunlight and requires minimal watering, making it ideal for both novice and seasoned plant lovers. Originating from the rocky terrains of Mexico and Central America, the Blue Echeveria is designed to flourish even in dry conditions. 
🌞 **Key Details:**
- 🌵 **Watering:** Low; water every 10-14 days
- ☀️ **Sunlight:** Prefers bright direct light, 4-6 hours a day
- 🌱 **Care:** Handle with care to maintain its beautiful coating
👉 Ready to add this stunning succulent to your home? Check out the 'Link in bio' to learn more!
#Echeveria #SucculentLove #PlantAddict #IndoorPlants #SucculentCare #PlantLovers #GreenThumb #RosaryPlantHouse #HomeDecor #PlantGoals #Gardening #CactusAndSucculents #HouseplantClub</t>
        </is>
      </c>
    </row>
    <row r="290" ht="99.5" customHeight="1">
      <c r="A290" s="94" t="n">
        <v>289</v>
      </c>
      <c r="B290" s="78" t="inlineStr">
        <is>
          <t>Baby sun rose green</t>
        </is>
      </c>
      <c r="C290" s="74">
        <f>IF(Local!H290,"1","0")</f>
        <v/>
      </c>
      <c r="D290" s="75" t="n">
        <v>79</v>
      </c>
      <c r="E290" s="66" t="inlineStr">
        <is>
          <t>Aptenia cordifolia</t>
        </is>
      </c>
      <c r="F290" s="76">
        <f>"public/sale_plants/"&amp;A290&amp;".jpg"</f>
        <v/>
      </c>
      <c r="G290" s="77" t="inlineStr">
        <is>
          <t>(2"-3")</t>
        </is>
      </c>
      <c r="H290" s="95" t="inlineStr">
        <is>
          <t>Low</t>
        </is>
      </c>
      <c r="I290" s="66" t="inlineStr">
        <is>
          <t>Low</t>
        </is>
      </c>
      <c r="J290" s="66" t="inlineStr">
        <is>
          <t>High</t>
        </is>
      </c>
      <c r="K290" s="85" t="n">
        <v>120</v>
      </c>
      <c r="L290" s="81" t="inlineStr">
        <is>
          <t>Echeveria</t>
        </is>
      </c>
      <c r="M290" s="81" t="n">
        <v>0</v>
      </c>
      <c r="N290" s="80" t="n">
        <v>0</v>
      </c>
      <c r="O290" s="81" t="n">
        <v>0</v>
      </c>
      <c r="P290" s="80" t="n">
        <v>0</v>
      </c>
      <c r="Q290" s="81">
        <f>IF(Local!I290=TRUE,1,0)</f>
        <v/>
      </c>
      <c r="R290" s="81">
        <f>Local!D290</f>
        <v/>
      </c>
      <c r="S290" s="81">
        <f>Local!F290</f>
        <v/>
      </c>
      <c r="T290" s="81">
        <f>Local!G290</f>
        <v/>
      </c>
      <c r="U290" s="83" t="inlineStr">
        <is>
          <t>## About
Baby Sun Rose is a beautiful succulent plant that produces bright pink or magenta daisy-like flowers throughout the year. This low-growing, spreading plant has thick, fleshy green leaves and is native to South Africa. It is popular in Indian gardens as a ground cover plant and can also be grown in hanging baskets.
## Origin
Baby Sun Rose is native to South Africa, particularly the Eastern Cape region. It grows naturally in rocky areas and coastal regions where it forms dense mats of foliage. The plant has been widely cultivated around the world and has adapted well to various climates including the warm conditions found in India.
## Temperature &amp; Humidity
- **Temperature Range:** 15Â°C to 35Â°C
- **Humidity:** This plant tolerates low to moderate humidity levels (30% to 50%). It can handle the dry conditions typical of many Indian regions and does not require high humidity to thrive.
## Growth
Baby Sun Rose is a fast-growing, mat-forming succulent that spreads quickly along the ground. It typically grows 10 to 15 cm tall but can spread up to 60 cm or more wide. The plant produces trailing stems that root at the nodes when they touch the soil, making it an excellent ground cover. Its growth habit also makes it perfect for hanging baskets where the stems can cascade downward beautifully.
## Watering
- **Frequency:** Once a week during summer depending on other parameters, and once every two weeks during monsoon and winter depending on other parameters.
- **Tips:** Water thoroughly but allow the soil to dry out completely between waterings. This succulent stores water in its leaves, so it is more tolerant of underwatering than overwatering. Reduce watering during the monsoon season and in winter months. Always water in the morning so excess moisture can evaporate during the day.
## Sunlight
- **Hours per day:** 6 to 8 hours
- **Type:** Direct sunlight is best for abundant flowering. The plant can tolerate partial shade but will produce fewer flowers with less light. In extremely hot regions of India (above 40Â°C), provide some afternoon shade to prevent leaf scorch.
## Care Tips
- Baby Sun Rose is very low-maintenance and perfect for busy gardeners
- The plant thrives in hot Indian summers and does not require special protection
- Deadhead spent flowers to encourage more blooms throughout the season
- Trim back leggy or overgrown stems to maintain a compact, bushy shape
- This plant is drought-tolerant once established, making it ideal for water-wise gardens
- Protect from heavy monsoon rains as excessive moisture can cause root rot
- Can tolerate light frost but should be protected if temperatures drop below 10Â°C
- Works well as a living mulch around taller plants or as edging along pathways
## Growth Tips
- Use well-draining soil mix with sand or perlite. A cactus or succulent potting mix works perfectly
- Add compost or organic matter to improve soil structure but ensure good drainage
- Fertilize lightly once a month during the growing season (spring and summer) with a balanced liquid fertilizer diluted to half strength
- Avoid over-fertilizing as this can lead to excessive foliage growth with fewer flowers
- Repot every 2 to 3 years in spring if the plant becomes root-bound
- Propagation is very easy through stem cuttings. Simply place cuttings in moist soil and they will root within 2 to 3 weeks
- For ground cover, space plants 30 to 40 cm apart as they will quickly fill in the gaps
## Common Problems
- **Root rot:** Caused by overwatering or poorly draining soil. Ensure pots have drainage holes and water only when soil is dry
- **Aphids and mealybugs:** These pests can attack new growth and flower buds. Remove with a strong water spray or use neem oil spray
- **Leaf drop:** Usually due to underwatering in extreme heat or overwatering during monsoon. Adjust watering schedule accordingly
- **Fewer flowers:** Insufficient sunlight is the most common cause. Move the plant to a brighter location
- **Leggy growth:** Lack of adequate light causes stems to stretch. Prune back and move to a sunnier spot
- **Yellow leaves:** Can indicate overwatering or nutrient deficiency. Check soil moisture and consider light fertilization</t>
        </is>
      </c>
      <c r="V290" s="98">
        <f>HYPERLINK("https://rosaryplanthouse.com/plant/"&amp;A290&amp;"-"&amp;SUBSTITUTE(LOWER(E290), " ", "-"))</f>
        <v/>
      </c>
      <c r="W290" t="inlineStr">
        <is>
          <t>🟢 Aptenia Cordifolia (ID: 289)  
🌼 Bring a splash of color to your garden with our stunning Baby Sun Rose! This delightful succulent is not only a feast for the eyes but also a low-maintenance beauty that thrives in sunny spots. 🌞✨  
With its vibrant pink or magenta daisy-like flowers and lush, fleshy green leaves, the Baby Sun Rose is perfect for adding charm to your outdoor space or hanging baskets. It’s a fast-growing plant that spreads quickly, making it an excellent ground cover that will bloom throughout the year!  
🌟 **Key Details:**  
- **Origin:** Native to South Africa  
- **Sunlight:** Requires 6-8 hours of direct sunlight  
- **Watering:** Low; water weekly in summer and bi-weekly in winter  
- **Care:** Drought-tolerant and perfect for busy gardeners!  
🌿 Ready to brighten up your garden? Tap the link in bio to add the Baby Sun Rose to your collection today!  
#BabySunRose #ApteniaCordifolia #SucculentLove #GardenGoals #PlantParenthood #LowMaintenancePlants #Echeveria #SucculentCare #SunshineInABloom #RosaryPlantHouse</t>
        </is>
      </c>
    </row>
    <row r="291" ht="99.5" customHeight="1">
      <c r="A291" s="94" t="n">
        <v>290</v>
      </c>
      <c r="B291" s="66" t="inlineStr">
        <is>
          <t>Panda Plant</t>
        </is>
      </c>
      <c r="C291" s="74">
        <f>IF(Local!H291,"1","0")</f>
        <v/>
      </c>
      <c r="D291" s="75" t="n">
        <v>79</v>
      </c>
      <c r="E291" s="66" t="inlineStr">
        <is>
          <t>Kalanchoe tomentosa</t>
        </is>
      </c>
      <c r="F291" s="76">
        <f>"public/sale_plants/"&amp;A291&amp;".jpg"</f>
        <v/>
      </c>
      <c r="G291" s="77" t="inlineStr">
        <is>
          <t>(2"-3")</t>
        </is>
      </c>
      <c r="H291" s="95" t="inlineStr">
        <is>
          <t>Low</t>
        </is>
      </c>
      <c r="I291" s="66" t="inlineStr">
        <is>
          <t>Low</t>
        </is>
      </c>
      <c r="J291" s="66" t="inlineStr">
        <is>
          <t>Medium</t>
        </is>
      </c>
      <c r="K291" s="85" t="n">
        <v>120</v>
      </c>
      <c r="L291" s="81" t="inlineStr">
        <is>
          <t>Echeveria</t>
        </is>
      </c>
      <c r="M291" s="81" t="n">
        <v>0</v>
      </c>
      <c r="N291" s="80" t="n">
        <v>0</v>
      </c>
      <c r="O291" s="81" t="n">
        <v>0</v>
      </c>
      <c r="P291" s="80" t="n">
        <v>0</v>
      </c>
      <c r="Q291" s="81">
        <f>IF(Local!I291=TRUE,1,0)</f>
        <v/>
      </c>
      <c r="R291" s="81">
        <f>Local!D291</f>
        <v/>
      </c>
      <c r="S291" s="81">
        <f>Local!F291</f>
        <v/>
      </c>
      <c r="T291" s="81">
        <f>Local!G291</f>
        <v/>
      </c>
      <c r="U291" s="83" t="inlineStr">
        <is>
          <t>## About
The Panda Plant is a charming succulent with soft, fuzzy leaves that feel like velvet. The leaves are covered with fine white hairs and have dark brown or reddish edges, making them look like panda ears. This plant is very popular among beginners because it is easy to care for and looks adorable.
## Origin
The Panda Plant comes from Madagascar, a large island off the coast of Africa. It grows naturally in dry, rocky areas where there is not much rain. This is why it has adapted to survive with very little water and can handle drought conditions very well.
## Temperature &amp; Humidity
- **Temperature Range:** 15Â°C to 35Â°C
- **Humidity:** This plant prefers low to moderate humidity levels, around 30% to 50%. It can handle the dry conditions found in most Indian homes. High humidity can cause problems like fungal infections, so avoid keeping it in very damp places.
## Growth
The Panda Plant is a slow-growing succulent that can reach about 30 to 45 cm in height when fully grown. It grows upright with thick, fleshy leaves arranged in a rosette pattern. The plant spreads slowly and stays compact, making it perfect for small pots and table displays. Over time, it may develop a woody stem at the base.
## Watering
- **Frequency:** Once every 10-14 days depending on season and weather conditions. Water less in winter and monsoon.
- **Tips:** Always check if the soil is completely dry before watering again. Stick your finger about 2-3 cm into the soil - if it feels dry, you can water. Use the soak and dry method - water thoroughly until it drains out from the bottom, then wait until the soil dries completely before the next watering. Never let the plant sit in water as this will cause root rot.
## Sunlight
- **Hours per day:** 4 to 6 hours
- **Type:** Bright indirect light or filtered morning sunlight. Avoid harsh afternoon sun as it can burn the fuzzy leaves and turn them brown. East-facing windows work best in Indian homes.
## Care Tips
- Keep the plant in a well-ventilated area to prevent fungal problems, especially during monsoon season.
- Avoid getting water on the fuzzy leaves as they can trap moisture and develop spots or rot.
- During Indian summers, move the plant to a slightly shadier spot to protect it from extreme heat above 40Â°C.
- Clean dust from the leaves gently using a soft, dry brush - do not wipe with wet cloth.
- Keep the plant away from areas with high humidity like bathrooms or near water tanks.
- In winter, reduce watering significantly as the plant goes into a rest period.
## Growth Tips
- Use well-draining cactus or succulent potting mix. You can make your own by mixing regular potting soil with cocopeat and perlite or sand in equal parts.
- Fertilize very lightly once every 2-3 months during the growing season (spring and early summer) with diluted succulent fertilizer.
- Repot only when the plant becomes root-bound, usually every 2-3 years. Choose a pot that is only slightly larger than the current one.
- Use terracotta or clay pots as they allow better air circulation and help the soil dry faster.
- The plant can be easily propagated from leaf cuttings - just let the leaf dry for a day and place it on dry soil.
## Common Problems
- **Brown or black leaf tips:** Caused by overwatering or too much humidity. Reduce watering frequency.
- **Leaf drop:** Usually happens when the plant is overwatered or exposed to cold temperatures below 10Â°C.
- **Pale or stretched growth:** Not getting enough sunlight. Move to a brighter location.
- **Mealybugs:** Small white cottony pests that hide between leaves. Wipe them off with cotton dipped in rubbing alcohol.
- **Root rot:** Caused by overwatering or poor drainage. The plant becomes soft and mushy at the base. Reduce watering and ensure good drainage.
- **Leaf burn or brown patches:** Too much direct harsh sunlight. Move to filtered light or provide shade during peak afternoon hours.</t>
        </is>
      </c>
      <c r="V291" s="98">
        <f>HYPERLINK("https://rosaryplanthouse.com/plant/"&amp;A291&amp;"-"&amp;SUBSTITUTE(LOWER(E291), " ", "-"))</f>
        <v/>
      </c>
      <c r="W291" t="inlineStr">
        <is>
          <t>🟢 Panda Plant (ID: 290)
🌿 Meet the adorable Kalanchoe tomentosa, affectionately known as the Panda Plant! With its delightful fuzzy leaves resembling panda ears, this charming succulent will steal your heart! 🐼💚
✨ **About:** This low-maintenance beauty hails from the dry landscapes of Madagascar, thriving in low watering and moderate sunlight. Its unique texture and compact growth make it perfect for any space, from window sills to cozy corners!
🌟 **Key Details:**
- 🌞 **Sunlight:** Prefers bright indirect light (4-6 hours daily)
- 💧 **Watering:** Once every 10-14 days; let the soil dry completely between watering
- 🌱 **Growth:** Slow-growing, compact rosettes, perfect for small displays
👉 Ready to add some cuteness to your plant collection? Check out the **Link in bio** for more info!
#PandaPlant #KalanchoeTomentosa #SucculentLove #PlantParenthood #IndoorPlants #Houseplants #PlantCare #GreenThumb #RosaryPlantHouse #PlantAddict #SucculentCollection #HomeDecor #NatureLovers #PlantInstagram #FuzzyFriends #MadagascarPlants</t>
        </is>
      </c>
    </row>
    <row r="292" ht="99.5" customHeight="1">
      <c r="A292" s="94" t="n">
        <v>291</v>
      </c>
      <c r="B292" s="66" t="inlineStr">
        <is>
          <t>Ladyfinger Cactus</t>
        </is>
      </c>
      <c r="C292" s="74">
        <f>IF(Local!H292,"1","0")</f>
        <v/>
      </c>
      <c r="D292" s="75" t="n">
        <v>79</v>
      </c>
      <c r="E292" s="66" t="inlineStr">
        <is>
          <t>Mammillaria elongata</t>
        </is>
      </c>
      <c r="F292" s="76">
        <f>"public/sale_plants/"&amp;A292&amp;".jpg"</f>
        <v/>
      </c>
      <c r="G292" s="77" t="inlineStr">
        <is>
          <t>(2"-3")</t>
        </is>
      </c>
      <c r="H292" s="95" t="inlineStr">
        <is>
          <t>Low</t>
        </is>
      </c>
      <c r="I292" s="66" t="inlineStr">
        <is>
          <t>Low</t>
        </is>
      </c>
      <c r="J292" s="66" t="inlineStr">
        <is>
          <t>High</t>
        </is>
      </c>
      <c r="K292" s="85" t="n">
        <v>120</v>
      </c>
      <c r="L292" s="81" t="inlineStr">
        <is>
          <t>Echeveria</t>
        </is>
      </c>
      <c r="M292" s="81" t="n">
        <v>0</v>
      </c>
      <c r="N292" s="80" t="n">
        <v>0</v>
      </c>
      <c r="O292" s="81" t="n">
        <v>0</v>
      </c>
      <c r="P292" s="80" t="n">
        <v>0</v>
      </c>
      <c r="Q292" s="81">
        <f>IF(Local!I292=TRUE,1,0)</f>
        <v/>
      </c>
      <c r="R292" s="81">
        <f>Local!D292</f>
        <v/>
      </c>
      <c r="S292" s="81">
        <f>Local!F292</f>
        <v/>
      </c>
      <c r="T292" s="81">
        <f>Local!G292</f>
        <v/>
      </c>
      <c r="U292" s="83" t="inlineStr">
        <is>
          <t>## About
The Ladyfinger Cactus is a popular small cactus with finger-like stems covered in golden-yellow or white spines. It grows in clusters and is loved by beginners because it is very easy to care for and can survive with minimal attention.
## Origin
This cactus originally comes from central Mexico, where it grows in rocky, dry areas with lots of sunlight. It is adapted to hot, arid conditions and can handle drought very well.
## Temperature &amp; Humidity
- **Temperature Range:** 15Â°C to 35Â°C
- **Humidity:** Low to moderate (30% to 50%). This cactus prefers dry air and does not need high humidity. Indian climate suits it well, especially in drier regions.
## Growth
The Ladyfinger Cactus grows slowly and forms clumps of cylindrical stems that look like fingers. Each stem can grow up to 10-15 cm long and about 2-3 cm thick. The plant spreads outward as it produces new stems from the base, creating a cluster effect. It stays compact and is perfect for small pots and tabletop displays.
## Watering
- **Frequency:** Water once every two weeks depending on season and weather conditions. In summer, you may water once a week if the soil dries out completely. In monsoon and winter, reduce watering to once every 3-4 weeks.
- **Tips:** Always check if the soil is completely dry before watering. Overwatering is the most common mistake with cacti. Water at the base and avoid wetting the cactus body. Use pots with drainage holes to prevent water from sitting at the bottom.
## Sunlight
- **Hours per day:** 4 to 6 hours
- **Type:** Direct sunlight is best. Place it on a sunny windowsill, balcony, or terrace where it gets bright morning or evening sun. It can tolerate indirect bright light indoors but grows best with some direct sun.
## Care Tips
- Keep the cactus in a well-ventilated spot to prevent fungal issues during humid Indian monsoons.
- Avoid placing it in areas with heavy rain or waterlogging during monsoon season.
- If kept indoors, rotate the pot every few weeks so all sides get equal sunlight.
- Handle with care because the spines can prick. Use folded newspaper or thick gloves when repotting.
- This cactus is pet-safe but the spines can still hurt pets if they try to chew it.
## Growth Tips
- Use a cactus or succulent potting mix that drains quickly. You can mix regular soil with coarse sand and perlite in equal parts.
- Fertilize lightly once in spring and once in summer with a diluted cactus fertilizer or any balanced liquid fertilizer at half strength.
- Repot every 2-3 years in spring when the plant outgrows its pot. Choose a pot only slightly larger than the current one.
- Propagation is easyâ€”gently separate offset stems and plant them in dry soil. Water lightly after a few days.
## Common Problems
- **Rotting stems:** Caused by overwatering or poor drainage. Reduce watering and ensure the pot has drainage holes.
- **Yellowing or soft stems:** Sign of too much water or fungal infection. Cut away affected parts and let the soil dry out completely.
- **Shriveling:** Means the plant is too dry. Water thoroughly and it should bounce back.
- **Pests like mealybugs or scale insects:** These can hide between spines. Remove with a cotton swab dipped in rubbing alcohol.
- **Slow or no growth:** Usually due to lack of sunlight or nutrients. Move to a brighter spot and fertilize during the growing season.</t>
        </is>
      </c>
      <c r="V292" s="98">
        <f>HYPERLINK("https://rosaryplanthouse.com/plant/"&amp;A292&amp;"-"&amp;SUBSTITUTE(LOWER(E292), " ", "-"))</f>
        <v/>
      </c>
      <c r="W292" t="inlineStr">
        <is>
          <t>🟢 Ladyfinger Cactus (ID: 291)
🌵 Ready to elevate your plant game? Meet the stunning Ladyfinger Cactus, a delightful cluster of finger-like stems that not only adds charm to your space but is also incredibly easy to care for!
🌞 This resilient cactus hails from the sun-soaked landscapes of central Mexico. With its golden-yellow spines and low maintenance needs, it’s perfect for both seasoned plant lovers and beginners alike! 
🔑 **Key Details:**
- **Watering:** Low – just once every two weeks!
- **Sunlight:** High – thrives in bright, direct sunlight.
- **Growth:** Forms beautiful clusters, perfect for small pots.
👉 Want to bring this beauty home? Link in bio!
#LadyfingerCactus #CactusLove #PlantParent #IndoorPlants #Succulent #EasyCarePlants #PlantAddict #RosaryPlantHouse #GreenThumb #HomeDecor #PlantGoals 🌿🌟</t>
        </is>
      </c>
    </row>
    <row r="293" ht="99.5" customHeight="1">
      <c r="A293" s="94" t="n">
        <v>292</v>
      </c>
      <c r="B293" s="66" t="inlineStr">
        <is>
          <t>Pearl of Nuremberg</t>
        </is>
      </c>
      <c r="C293" s="74">
        <f>IF(Local!H293,"1","0")</f>
        <v/>
      </c>
      <c r="D293" s="75" t="n">
        <v>79</v>
      </c>
      <c r="E293" s="66" t="inlineStr">
        <is>
          <t>Echeveria 'Perle von Nurnberg'</t>
        </is>
      </c>
      <c r="F293" s="76">
        <f>"public/sale_plants/"&amp;A293&amp;".jpg"</f>
        <v/>
      </c>
      <c r="G293" s="77" t="inlineStr">
        <is>
          <t>(2"-3")</t>
        </is>
      </c>
      <c r="H293" s="95" t="inlineStr">
        <is>
          <t>Low</t>
        </is>
      </c>
      <c r="I293" s="66" t="inlineStr">
        <is>
          <t>Low</t>
        </is>
      </c>
      <c r="J293" s="66" t="inlineStr">
        <is>
          <t>High</t>
        </is>
      </c>
      <c r="K293" s="85" t="n">
        <v>120</v>
      </c>
      <c r="L293" s="81" t="inlineStr">
        <is>
          <t>Echeveria</t>
        </is>
      </c>
      <c r="M293" s="81" t="n">
        <v>0</v>
      </c>
      <c r="N293" s="80" t="n">
        <v>0</v>
      </c>
      <c r="O293" s="81" t="n">
        <v>0</v>
      </c>
      <c r="P293" s="80" t="n">
        <v>0</v>
      </c>
      <c r="Q293" s="81">
        <f>IF(Local!I293=TRUE,1,0)</f>
        <v/>
      </c>
      <c r="R293" s="81">
        <f>Local!D293</f>
        <v/>
      </c>
      <c r="S293" s="81">
        <f>Local!F293</f>
        <v/>
      </c>
      <c r="T293" s="81">
        <f>Local!G293</f>
        <v/>
      </c>
      <c r="U293" s="83" t="inlineStr">
        <is>
          <t>## About
This is a stunning succulent with beautiful grey-pink to purple leaves that form a perfect rosette shape. The Pearl of Nuremberg is one of the most popular Echeveria varieties loved by plant collectors for its unique dusty pastel coloring and elegant rose-like appearance.
## Origin
Originally bred in Germany, this Echeveria is a hybrid cultivar. It belongs to the Crassulaceae family and shares characteristics with other Mexican succulents. Echeverias naturally grow in semi-desert areas with rocky terrain and bright sunlight.
## Temperature &amp; Humidity
- **Temperature Range:** 15Â°C to 35Â°C
- **Humidity:** Prefers low to moderate humidity (30% to 50%). This plant handles dry conditions well and does not require high humidity like tropical plants. It can tolerate the hot, dry summers common in most parts of India.
## Growth
This succulent grows slowly and stays compact, typically reaching 10-15 cm in height and width when mature. It forms a single rosette that can produce offsets (baby plants) around the base over time. The growth is neat and symmetrical, making it perfect for small pots and container gardens. During the growing season (spring and autumn), new leaves emerge from the center while older outer leaves gradually dry up.
## Watering
- **Frequency:** Once every 10-14 days depending on season and weather conditions. Water less during monsoon and winter, more during hot summer months.
- **Tips:** Always water at the soil level, never from above on the leaves as water trapped between leaves can cause rot. Allow the soil to dry out completely between waterings. The "soak and dry" method works best - water thoroughly until it drains out from the bottom, then wait until soil is bone dry before watering again. Reduce watering significantly during monsoon season.
## Sunlight
- **Hours per day:** 4 to 6 hours
- **Type:** Direct morning sunlight is ideal. In very hot regions, provide filtered light during harsh afternoon sun (12 PM to 4 PM) to prevent leaf burn. The beautiful pink-purple color develops best with adequate bright light. If kept in too much shade, the plant will lose its color and become pale green.
## Care Tips
- Keep in a bright spot like a sunny windowsill or balcony where it gets morning sun
- The powdery coating (farina) on the leaves is natural - avoid touching or wiping it as it protects the plant
- Remove dried bottom leaves regularly to keep the plant healthy and prevent pest hiding spots
- During Indian summers (April-June), move to a spot with bright indirect light during peak afternoon hours
- Monsoon season requires extra care - keep under shelter and reduce watering drastically
- This plant can handle the winter cold in most Indian cities but protect from frost in North India
## Growth Tips
- Use well-draining succulent or cactus soil mix. You can make your own by mixing regular potting soil with coarse sand and perlite (1:1:1 ratio)
- Add a layer of small pebbles or gravel on top of soil to prevent stem rot and improve drainage
- Fertilize once a month during spring and autumn with diluted succulent fertilizer (half the recommended strength)
- Repot every 2-3 years in spring when the plant outgrows its pot
- Use terracotta or clay pots with drainage holes - they help soil dry faster than plastic pots
- Propagate by gently removing offsets from the base or using leaf cuttings
## Common Problems
- **Stretching (etiolation):** Long gaps between leaves and plant leaning toward light - caused by insufficient sunlight
- **Root rot:** Mushy, translucent leaves and blackened stem base - caused by overwatering or poor drainage
- **Mealybugs:** White cottony spots between leaves - common in humid conditions, remove with cotton swab dipped in rubbing alcohol
- **Shriveled leaves:** Normal for bottom leaves to dry, but if top leaves shrivel, plant needs water
- **Brown/black spots:** Usually from fungal infection due to water sitting on leaves or excessive humidity during monsoons
- **Pale or green color:** Not getting enough sunlight - move to brighter location
- **Sunburn:** Brown, crispy patches on leaves from too much harsh afternoon sun - provide shade during peak hours</t>
        </is>
      </c>
      <c r="V293" s="98">
        <f>HYPERLINK("https://rosaryplanthouse.com/plant/"&amp;A293&amp;"-"&amp;SUBSTITUTE(LOWER(E293), " ", "-"))</f>
        <v/>
      </c>
      <c r="W293" t="inlineStr">
        <is>
          <t>🟢 Echeveria 'Perle von Nurnberg' (ID: 292)
✨ Meet the stunning Pearl of Nuremberg! This enchanting succulent is a must-have for plant lovers, boasting beautiful grey-pink to purple leaves that form a perfect rosette shape. Its unique dusty pastel coloring and elegant rose-like appearance will surely steal the spotlight in your plant collection! 🌸💕
🌱 **About:** Originally bred in Germany, this charming Echeveria thrives in bright sunlight and is perfect for those who appreciate low-maintenance beauty. Enjoy its slow yet graceful growth as it adapts beautifully to your indoor or outdoor spaces.
🌞 **Key Details:** 
- **Light:** Prefers 4-6 hours of direct morning sunlight
- **Watering:** Low frequency, every 10-14 days
- **Humidity:** Tolerates dry conditions beautifully
👉 Ready to elevate your plant game? Discover the Pearl of Nuremberg today! Link in bio.
#Echeveria #SucculentLove #PearlOfNuremberg #PlantCollector #IndoorPlants #SucculentCare #GreenThumb #PlantAddict #RosaryPlantHouse #HomeDecor #PlantLovers #GardeningJoy #NatureInspires #PlantParents</t>
        </is>
      </c>
    </row>
    <row r="294" ht="99.5" customHeight="1">
      <c r="A294" s="94" t="n">
        <v>293</v>
      </c>
      <c r="B294" s="66" t="inlineStr">
        <is>
          <t>Burro's Tail</t>
        </is>
      </c>
      <c r="C294" s="74">
        <f>IF(Local!H294,"1","0")</f>
        <v/>
      </c>
      <c r="D294" s="75" t="n">
        <v>79</v>
      </c>
      <c r="E294" s="66" t="inlineStr">
        <is>
          <t>Sedum morganianum</t>
        </is>
      </c>
      <c r="F294" s="76">
        <f>"public/sale_plants/"&amp;A294&amp;".jpg"</f>
        <v/>
      </c>
      <c r="G294" s="77" t="inlineStr">
        <is>
          <t>(2"-3")</t>
        </is>
      </c>
      <c r="H294" s="95" t="inlineStr">
        <is>
          <t>Low</t>
        </is>
      </c>
      <c r="I294" s="66" t="inlineStr">
        <is>
          <t>Low</t>
        </is>
      </c>
      <c r="J294" s="66" t="inlineStr">
        <is>
          <t>Medium</t>
        </is>
      </c>
      <c r="K294" s="85" t="n">
        <v>120</v>
      </c>
      <c r="L294" s="81" t="inlineStr">
        <is>
          <t>Echeveria</t>
        </is>
      </c>
      <c r="M294" s="81" t="n">
        <v>0</v>
      </c>
      <c r="N294" s="80" t="n">
        <v>0</v>
      </c>
      <c r="O294" s="81" t="n">
        <v>0</v>
      </c>
      <c r="P294" s="80" t="n">
        <v>0</v>
      </c>
      <c r="Q294" s="81">
        <f>IF(Local!I294=TRUE,1,0)</f>
        <v/>
      </c>
      <c r="R294" s="81">
        <f>Local!D294</f>
        <v/>
      </c>
      <c r="S294" s="81">
        <f>Local!F294</f>
        <v/>
      </c>
      <c r="T294" s="81">
        <f>Local!G294</f>
        <v/>
      </c>
      <c r="U294" s="83" t="inlineStr">
        <is>
          <t>## About
Burro's Tail is a beautiful trailing succulent with thick, fleshy leaves that overlap each other like braided hair or a donkey's tail. This plant is native to Mexico and is loved by plant collectors for its unique appearance and easy care requirements.
## Origin
This plant comes from southern Mexico and Honduras, where it grows naturally in rocky areas and cliff sides. It is well adapted to dry conditions and thrives in warm climates similar to many parts of India.
## Temperature &amp; Humidity
- **Temperature Range:** 15Â°C to 35Â°C
- **Humidity:** Low to moderate humidity (30% to 50%). This plant does not need high humidity and can tolerate dry indoor air very well. It performs excellently in Indian climate conditions.
## Growth
Burro's Tail is a slow-growing succulent that produces long, trailing stems that can grow up to 60-90 cm in length over several years. The stems are covered with plump, blue-green leaves that are tightly packed together. The plant grows in a cascading manner, making it perfect for hanging baskets or tall pots where the stems can drape down beautifully. Growth is slower during winter months and picks up during warm weather.
## Watering
- **Frequency:** Once every 10-14 days depending on season and weather conditions. Water less frequently during monsoon and winter, and slightly more during hot summer months.
- **Tips:** Always let the soil dry out completely between waterings. Water thoroughly until water drains from the bottom, then empty the saucer. Reduce watering significantly during winter and rainy season. Overwatering is the biggest threat to this plant. The leaves store water, so the plant can survive drought better than excess moisture.
## Sunlight
- **Hours per day:** 4 to 6 hours
- **Type:** Bright indirect light or filtered morning sunlight. Direct afternoon sun in Indian summer can burn the leaves, so provide shade during peak hours (12 PM to 4 PM). A spot with morning sun and afternoon shade is ideal.
## Care Tips
- Handle the plant gently as the leaves fall off very easily when touched
- Keep in a location where it won't be bumped or disturbed frequently
- During Indian summers, move to a spot with filtered light to prevent leaf burn
- Protect from heavy monsoon rains - bring indoors or under cover
- In winter, reduce watering drastically as the plant goes semi-dormant
- Use a pot with drainage holes - waterlogging will kill this plant quickly
- Clean dust from leaves occasionally with a soft brush
## Growth Tips
- **Soil:** Use a well-draining cactus or succulent mix. You can make your own by mixing regular potting soil with coarse sand and perlite in equal parts
- **Fertilizer:** Feed with diluted liquid succulent fertilizer once every 2-3 months during growing season (March to October). Avoid fertilizing in winter
- **Repotting:** Repot every 2-3 years in spring. Use a shallow, wide pot as roots are not very deep. Be extra careful as leaves drop easily
- **Propagation:** Very easy to propagate from stem cuttings or even individual leaves. Let cuttings dry for 2-3 days before planting
## Common Problems
- **Leaves falling off:** This is natural if leaves are touched or bumped. Also happens with overwatering or underwatering extremes
- **Shriveled leaves:** Sign of underwatering. The plant needs a good soak
- **Mushy, translucent leaves:** Overwatering or root rot. Stop watering immediately and check roots
- **Stretched stems with gaps between leaves:** Not enough light. Move to a brighter location
- **Brown or scorched leaves:** Too much direct harsh sunlight, especially afternoon sun
- **Mealybugs:** Small white cottony pests that hide between leaves. Treat with neem oil or isopropyl alcohol
- **Stem rot:** Caused by overwatering or poor drainage. Remove affected parts and improve drainage</t>
        </is>
      </c>
      <c r="V294" s="98">
        <f>HYPERLINK("https://rosaryplanthouse.com/plant/"&amp;A294&amp;"-"&amp;SUBSTITUTE(LOWER(E294), " ", "-"))</f>
        <v/>
      </c>
      <c r="W294" t="inlineStr">
        <is>
          <t>🟢 Burro's Tail (ID: 293)  
🌿 Dive into the world of succulents with the enchanting Burro's Tail! This unique trailing beauty is perfect for adding a touch of green to your space. 🌱💚
🌍 **About**: Native to the rocky landscapes of Mexico, the Burro's Tail (Sedum morganianum) flaunts its thick, fleshy leaves that cascade down gracefully, resembling a braided tail. Perfect for hanging baskets or tall pots, this plant thrives in warm climates and is low-maintenance, making it ideal for both seasoned plant parents and beginners alike!
✨ **Key Details**:  
- **Watering**: Low (Once every 10-14 days)  
- **Sunlight**: Medium (4-6 hours of bright indirect light)  
- **Care**: Handle gently; thrives in low to moderate humidity  
- **Propagation**: Easy from cuttings or leaves  
👉 Ready to bring home this gorgeous succulent? Check the 'Link in bio' to shop now! 🌸
#BurrosTail #SedumMorganianum #SucculentLove #PlantParent #IndoorPlants #PlantCare #SucculentCare #GreenThumb #RosaryPlantHouse #PlantAddict #HangingPlants #HomeDecor #PlantGoals #PlantCommunity</t>
        </is>
      </c>
    </row>
    <row r="295" ht="99.5" customHeight="1">
      <c r="A295" s="94" t="n">
        <v>294</v>
      </c>
      <c r="B295" s="66" t="inlineStr">
        <is>
          <t>Fairy Washboard</t>
        </is>
      </c>
      <c r="C295" s="74">
        <f>IF(Local!H295,"1","0")</f>
        <v/>
      </c>
      <c r="D295" s="75" t="n">
        <v>79</v>
      </c>
      <c r="E295" s="66" t="inlineStr">
        <is>
          <t>Haworthia limifolia</t>
        </is>
      </c>
      <c r="F295" s="76">
        <f>"public/sale_plants/"&amp;A295&amp;".jpg"</f>
        <v/>
      </c>
      <c r="G295" s="77" t="inlineStr">
        <is>
          <t>(2"-3")</t>
        </is>
      </c>
      <c r="H295" s="95" t="inlineStr">
        <is>
          <t>Low</t>
        </is>
      </c>
      <c r="I295" s="66" t="inlineStr">
        <is>
          <t>Low</t>
        </is>
      </c>
      <c r="J295" s="66" t="inlineStr">
        <is>
          <t>Medium</t>
        </is>
      </c>
      <c r="K295" s="85" t="n">
        <v>120</v>
      </c>
      <c r="L295" s="81" t="inlineStr">
        <is>
          <t>Echeveria</t>
        </is>
      </c>
      <c r="M295" s="81" t="n">
        <v>0</v>
      </c>
      <c r="N295" s="80" t="n">
        <v>0</v>
      </c>
      <c r="O295" s="81" t="n">
        <v>0</v>
      </c>
      <c r="P295" s="80" t="n">
        <v>0</v>
      </c>
      <c r="Q295" s="81">
        <f>IF(Local!I295=TRUE,1,0)</f>
        <v/>
      </c>
      <c r="R295" s="81">
        <f>Local!D295</f>
        <v/>
      </c>
      <c r="S295" s="81">
        <f>Local!F295</f>
        <v/>
      </c>
      <c r="T295" s="81">
        <f>Local!G295</f>
        <v/>
      </c>
      <c r="U295" s="83" t="inlineStr">
        <is>
          <t>## About
The Fairy Washboard is a beautiful small succulent with dark green leaves that have raised horizontal ridges, giving it a unique textured appearance like a washboard. This attractive plant forms a neat rosette shape and is perfect for beginners and experienced plant lovers alike.
## Origin
This plant originally comes from South Africa, particularly from the rocky areas and grasslands of the Eastern Cape province. It naturally grows in partially shaded areas under bushes and rocks, which makes it well-adapted to indoor conditions.
## Temperature &amp; Humidity
- **Temperature Range:** 15Â°C to 35Â°C (can tolerate up to 40Â°C in Indian summers if kept in shade)
- **Humidity:** 30% to 50% - adapts well to normal indoor humidity levels. Does not need high humidity and can handle dry air conditions common in most Indian homes.
## Growth
This is a slow-growing compact succulent that typically reaches 8 to 10 cm in height and spreads about 10 to 12 cm wide. It forms tight rosettes and produces offsets (baby plants) around the base, creating small clusters over time. The growth is steady but not fast, making it easy to manage in small pots.
## Watering
- **Frequency:** Once every 10-15 days depending on season and weather conditions. In monsoon, reduce watering significantly. In peak summer, you may need to water once a week depending on other parameters.
- **Tips:** Always check if the soil is completely dry before watering. Water thoroughly until it drains from the bottom, but never let the plant sit in water. Reduce watering during winter months. The leaves will start to wrinkle slightly when the plant needs water. Overwatering is the biggest enemy of this plant.
## Sunlight
- **Hours per day:** 3 to 4 hours
- **Type:** Bright indirect light or filtered morning sunlight. Avoid harsh direct afternoon sun which can burn the leaves and turn them brown. Works perfectly near east or north-facing windows.
## Care Tips
- Keep away from intense afternoon sun during Indian summers (April-June) as it can cause leaf burn
- Works excellent as a desk plant or windowsill plant indoors
- During monsoon season (June-September), reduce watering frequency and ensure good air circulation
- Protect from heavy rains if kept outdoors as continuous moisture can cause root rot
- Can handle AC rooms well, making it ideal for offices
- Wipe dust from leaves gently with a soft brush every few weeks
- The plant can handle Indian winters well if kept indoors
## Growth Tips
- Use well-draining cactus or succulent potting mix. You can make your own by mixing regular soil with cocopeat and sand in equal parts
- Add perlite or small pieces of charcoal to improve drainage
- Feed with diluted liquid succulent fertilizer once every 2-3 months during growing season (spring and early summer)
- Repot every 2-3 years or when the plant becomes root-bound
- Use terracotta or clay pots as they allow better air circulation and prevent waterlogging
- Separate offsets carefully when they develop their own roots and pot them separately to grow new plants
## Common Problems
- **Brown or black leaves:** Usually caused by overwatering or fungal infection due to excess moisture
- **Pale or yellowish leaves:** Too much direct sunlight causing sunburn. Move to a shadier spot
- **Stretched or elongated growth:** Not getting enough light. Move closer to a bright window
- **Soft mushy leaves:** Root rot from overwatering. Reduce watering immediately and check roots
- **Mealybugs (white cotton-like insects):** Common in Indian conditions. Remove with cotton swab dipped in rubbing alcohol
- **Shriveled leaves:** Underwatering. The plant needs water when leaves look deflated
- **Slow or no growth:** Normal during winter months. Also check if the plant is root-bound and needs repotting</t>
        </is>
      </c>
      <c r="V295" s="98">
        <f>HYPERLINK("https://rosaryplanthouse.com/plant/"&amp;A295&amp;"-"&amp;SUBSTITUTE(LOWER(E295), " ", "-"))</f>
        <v/>
      </c>
      <c r="W295" t="inlineStr">
        <is>
          <t>🟢 Haworthia limifolia (ID: 294)
🌿 Meet the enchanting Fairy Washboard, your new favorite succulent! Its unique textured leaves will add a touch of elegance to any space. 
✨ This compact beauty thrives in low maintenance environments, making it perfect for both beginners and seasoned plant lovers. Originating from the rocky terrains of South Africa, it adapts wonderfully to indoor conditions, requiring just the right amount of love and care. 
🌱 **Key Details:**
- **Watering:** Low; water every 10-15 days
- **Sunlight:** Medium; enjoys bright indirect light
- **Growth:** Slow-growing with charming rosettes!
Ready to bring the Fairy Washboard home? 🌟 Click the "Link in bio" to explore more!
#FairyWashboard #Haworthia #SucculentLove #PlantParents #IndoorPlants #GreenThumb #RosaryPlantHouse #PlantCare #HousePlants #SucculentCollection #BotanicalBeauty #PlantAddict #EcoFriendlyLiving #HomeDecor #NatureLovers</t>
        </is>
      </c>
    </row>
    <row r="296" ht="99.5" customHeight="1">
      <c r="A296" s="94" t="n">
        <v>295</v>
      </c>
      <c r="B296" s="66" t="inlineStr">
        <is>
          <t>Zebra Haworthia</t>
        </is>
      </c>
      <c r="C296" s="74">
        <f>IF(Local!H296,"1","0")</f>
        <v/>
      </c>
      <c r="D296" s="75" t="n">
        <v>79</v>
      </c>
      <c r="E296" s="66" t="inlineStr">
        <is>
          <t>Haworthia fasciata</t>
        </is>
      </c>
      <c r="F296" s="76">
        <f>"public/sale_plants/"&amp;A296&amp;".jpg"</f>
        <v/>
      </c>
      <c r="G296" s="77" t="inlineStr">
        <is>
          <t>(2"-3")</t>
        </is>
      </c>
      <c r="H296" s="95" t="inlineStr">
        <is>
          <t>Low</t>
        </is>
      </c>
      <c r="I296" s="66" t="inlineStr">
        <is>
          <t>Low</t>
        </is>
      </c>
      <c r="J296" s="66" t="inlineStr">
        <is>
          <t>Medium</t>
        </is>
      </c>
      <c r="K296" s="85" t="n">
        <v>120</v>
      </c>
      <c r="L296" s="81" t="inlineStr">
        <is>
          <t>Echeveria</t>
        </is>
      </c>
      <c r="M296" s="81" t="n">
        <v>0</v>
      </c>
      <c r="N296" s="80" t="n">
        <v>0</v>
      </c>
      <c r="O296" s="81" t="n">
        <v>0</v>
      </c>
      <c r="P296" s="80" t="n">
        <v>0</v>
      </c>
      <c r="Q296" s="81">
        <f>IF(Local!I296=TRUE,1,0)</f>
        <v/>
      </c>
      <c r="R296" s="81">
        <f>Local!D296</f>
        <v/>
      </c>
      <c r="S296" s="81">
        <f>Local!F296</f>
        <v/>
      </c>
      <c r="T296" s="81">
        <f>Local!G296</f>
        <v/>
      </c>
      <c r="U296" s="83" t="inlineStr">
        <is>
          <t>## About
The Zebra Haworthia is a small, attractive succulent plant with beautiful white stripes on its dark green leaves. It is a popular houseplant that is perfect for beginners because it is very easy to care for and can survive with minimal attention.
## Origin
This plant originally comes from South Africa, where it grows naturally in rocky areas and grasslands. In its native habitat, it often grows in partial shade under bushes and rocks, which makes it well-suited for indoor growing.
## Temperature &amp; Humidity
- **Temperature Range:** 15Â°C to 35Â°C
- **Humidity:** Low to moderate humidity (30% to 50%). This plant does well in typical Indian household humidity levels and does not require any special humidity adjustments.
## Growth
Zebra Haworthia is a slow-growing plant that stays compact and small. It typically grows to about 10-15 cm in height and width. The plant forms a rosette shape with thick, pointed leaves that have distinctive white horizontal stripes or bumps on the outer surface. It may produce small offsets (baby plants) around the base, which can be separated and replanted to grow new plants.
## Watering
- **Frequency:** Once every 10-15 days depending on season and weather conditions. Water less during monsoon and winter, and slightly more during hot summer months.
- **Tips:** Always let the soil dry out completely between waterings. Water the soil directly and avoid getting water on the leaves or in the center of the rosette, as this can cause rot. During winter months, you can reduce watering to once every 3 weeks. It's better to underwater than overwater this plant.
## Sunlight
- **Hours per day:** 3 to 4 hours
- **Type:** Bright indirect light or filtered morning sunlight. Avoid harsh afternoon sun which can burn the leaves and turn them brown or red. A bright windowsill with curtains or a spot that gets gentle morning sun is ideal.
## Care Tips
- Keep the plant in a well-ventilated area to prevent fungal issues, especially during monsoon season
- Rotate the pot every few weeks to ensure even growth on all sides
- Wipe the leaves gently with a soft cloth once a month to remove dust
- During hot Indian summers, move the plant away from windows where it might get too hot
- This plant can tolerate air conditioning and indoor environments very well
- Remove any dead or dried leaves from the base to keep the plant healthy
## Growth Tips
- Use a well-draining succulent or cactus soil mix. You can add extra perlite or coarse sand to regular potting soil to improve drainage
- Use a pot with drainage holes to prevent waterlogging
- Fertilize sparingly - only once every 2-3 months during the growing season (spring and summer) with a diluted succulent fertilizer
- Repot only when the plant has outgrown its pot or produced many offsets, typically every 2-3 years
- Use a shallow pot rather than a deep one, as the roots are not very deep
- Propagate easily by separating the offsets that grow around the mother plant
## Common Problems
- **Brown or red leaves:** Too much direct sunlight. Move to a shadier location with filtered light
- **Soft, mushy leaves:** Overwatering or root rot. Reduce watering frequency and check if the pot has proper drainage
- **Elongated, stretched leaves:** Not enough light. Move the plant to a brighter location
- **Shriveled, dried leaves:** Underwatering. Increase watering frequency slightly
- **Mealybugs or scale insects:** Common pests that appear as white cottony spots. Remove with cotton swabs dipped in rubbing alcohol
- **Slow or no growth:** Normal for this plant, but can also indicate poor soil or lack of nutrients. Consider repotting or light fertilizing</t>
        </is>
      </c>
      <c r="V296" s="98">
        <f>HYPERLINK("https://rosaryplanthouse.com/plant/"&amp;A296&amp;"-"&amp;SUBSTITUTE(LOWER(E296), " ", "-"))</f>
        <v/>
      </c>
      <c r="W296" t="inlineStr">
        <is>
          <t>🟢 Haworthia fasciata (ID: 295)
🌿 Meet the stunning Zebra Haworthia, your new favorite succulent! This beauty is not just a feast for the eyes with its striking white stripes on dark green leaves, but it's also a breeze to care for—perfect for both plant enthusiasts and beginners alike! 
✨ **About:** Originally hailing from the rocky terrains of South Africa, this compact plant thrives with minimal attention. Its rosette shape and slow growth make it an ideal indoor companion, adding a touch of greenery to any space.
🌞 **Key Details:**
- **Watering:** Once every 10-15 days; let the soil dry out completely between waterings.
- **Sunlight:** Prefers 3-4 hours of bright indirect light—avoid harsh afternoon sun!
- **Growth:** Compact and small, it may produce adorable offsets for propagation.
👉 Ready to add this resilient beauty to your collection? 🌱 **Link in bio!**
#ZebraHaworthia #HaworthiaFasciata #SucculentLove #PlantParent #IndoorPlants #EasyCarePlants #HouseplantJoy #RosaryPlantHouse #GreenThumb #PlantAddict #SucculentCollection #PlantGoals #HomeDecor #PlantLovers</t>
        </is>
      </c>
    </row>
    <row r="297" ht="99.5" customHeight="1">
      <c r="A297" s="94" t="n">
        <v>296</v>
      </c>
      <c r="B297" s="66" t="inlineStr">
        <is>
          <t>Pincushion Cactus</t>
        </is>
      </c>
      <c r="C297" s="74">
        <f>IF(Local!H297,"1","0")</f>
        <v/>
      </c>
      <c r="D297" s="75" t="n">
        <v>79</v>
      </c>
      <c r="E297" s="66" t="inlineStr">
        <is>
          <t>Mammillaria species</t>
        </is>
      </c>
      <c r="F297" s="76">
        <f>"public/sale_plants/"&amp;A297&amp;".jpg"</f>
        <v/>
      </c>
      <c r="G297" s="77" t="inlineStr">
        <is>
          <t>(2"-3")</t>
        </is>
      </c>
      <c r="H297" s="95" t="inlineStr">
        <is>
          <t>Low</t>
        </is>
      </c>
      <c r="I297" s="66" t="inlineStr">
        <is>
          <t>Low</t>
        </is>
      </c>
      <c r="J297" s="66" t="inlineStr">
        <is>
          <t>High</t>
        </is>
      </c>
      <c r="K297" s="85" t="n">
        <v>120</v>
      </c>
      <c r="L297" s="81" t="inlineStr">
        <is>
          <t>Echeveria</t>
        </is>
      </c>
      <c r="M297" s="81" t="n">
        <v>0</v>
      </c>
      <c r="N297" s="80" t="n">
        <v>0</v>
      </c>
      <c r="O297" s="81" t="n">
        <v>0</v>
      </c>
      <c r="P297" s="80" t="n">
        <v>0</v>
      </c>
      <c r="Q297" s="81">
        <f>IF(Local!I297=TRUE,1,0)</f>
        <v/>
      </c>
      <c r="R297" s="81">
        <f>Local!D297</f>
        <v/>
      </c>
      <c r="S297" s="81">
        <f>Local!F297</f>
        <v/>
      </c>
      <c r="T297" s="81">
        <f>Local!G297</f>
        <v/>
      </c>
      <c r="U297" s="83" t="inlineStr">
        <is>
          <t>## About
The Pincushion Cactus is a small, charming cactus with a round shape covered in spines that look like pins stuck in a cushion. This easy-to-care-for plant is perfect for beginners and adds a unique touch to any indoor or outdoor collection.
## Origin
Pincushion Cactus belongs to the Mammillaria genus and comes from Mexico and the southwestern United States. In its natural habitat, it grows in desert and semi-desert areas where the climate is hot and dry. These cacti are adapted to survive in harsh conditions with very little water.
## Temperature &amp; Humidity
- **Temperature Range:** 15Â°C to 35Â°C
- **Humidity:** Low humidity is preferred, around 20% to 40%. This cactus thrives in dry conditions typical of Indian summers and does not need high humidity at all.
## Growth
Pincushion Cactus is a slow-growing plant that stays compact and small. It typically grows to about 5 to 15 centimeters in height and width, making it perfect for small pots and desk displays. The cactus forms a rounded or cylindrical shape and often grows in clusters over time. Some varieties may produce offsets or baby plants around the base. Growth is slowest during winter months and picks up during the warm growing season from March to October.
## Watering
- **Frequency:** Once every two to three weeks depending on season and weather conditions. Water less in monsoon and winter, slightly more during hot summer months.
- **Tips:** Always let the soil dry out completely between waterings. Water deeply but infrequently. During winter months (December to February), reduce watering to once a month or even less. Overwatering is the biggest enemy of this cactus. Use the soak-and-dry method and ensure excess water drains out completely.
## Sunlight
- **Hours per day:** 4 to 6 hours of direct sunlight
- **Type:** Direct bright sunlight is best. Morning sun is ideal in hot Indian summers. Can tolerate bright indirect light indoors near a sunny window, but flowering may reduce without enough direct sun.
## Care Tips
- Place the cactus in the brightest spot available, preferably where it gets morning sunlight
- Protect from heavy monsoon rains by moving potted plants under shelter, as too much water can cause root rot
- During extreme summer heat above 40Â°C, provide some afternoon shade to prevent sunburn
- Keep the plant in a well-ventilated area to prevent fungal infections
- Avoid misting or spraying water on the plant body
- Handle carefully with thick gloves or folded newspaper as the spines can be sharp
## Growth Tips
- Use a well-draining cactus or succulent potting mix. You can make your own by mixing regular soil with coarse sand and perlite in equal parts
- Add a layer of gravel or small stones at the bottom of the pot for extra drainage
- Feed with a diluted cactus fertilizer once during the growing season (April to September)
- Repot only when the plant outgrows its pot, usually every 2 to 3 years
- Use clay or terracotta pots as they allow soil to dry faster than plastic pots
- Top-dress with decorative pebbles to keep the base dry and prevent rot
## Common Problems
- **Root rot:** Caused by overwatering or poorly draining soil. Roots turn black and mushy.
- **Shriveling:** Usually means the plant needs water. Check if soil is bone dry before watering.
- **Brown or yellow spots:** Sign of sunburn during very intense afternoon sun or fungal infection from excess moisture.
- **Soft or mushy base:** Indicates rot from sitting in water. This is often fatal if not caught early.
- **No flowers:** Usually due to insufficient sunlight or lack of a cool winter rest period.
- **Mealybugs:** Small white cottony pests that hide between spines. Remove with cotton swabs dipped in rubbing alcohol.
- **Stretching or elongation:** Happens when the plant doesn't get enough light and starts growing tall and thin instead of compact.</t>
        </is>
      </c>
      <c r="V297" s="98">
        <f>HYPERLINK("https://rosaryplanthouse.com/plant/"&amp;A297&amp;"-"&amp;SUBSTITUTE(LOWER(E297), " ", "-"))</f>
        <v/>
      </c>
      <c r="W297" t="inlineStr">
        <is>
          <t>🟢 Pincushion Cactus (ID: 296)
🌵 Add a touch of desert charm to your space with the delightful Pincushion Cactus! This little beauty is the perfect companion for beginners and seasoned plant lovers alike. 
With its round shape and spiky appearance, the Pincushion Cactus is not only low-maintenance but also a stunning statement piece for any indoor or outdoor collection. Originating from the arid landscapes of Mexico and the southwestern United States, it thrives in bright sunlight and requires minimal watering—making it an ideal choice for those with a busy lifestyle!
✨ **Key Details:**
- 🌞 Sunlight: Prefers 4 to 6 hours of direct sunlight daily
- 💧 Watering: Water every 2-3 weeks; let the soil dry out completely
- 🌵 Growth: Compact and slow-growing, perfect for small spaces
Ready to bring home this charming cactus? 🌿 Check the 'Link in bio' for more details!
#PincushionCactus #CactusLove #SucculentLife #PlantParent #IndoorPlants #DesertBeauty #LowMaintenancePlants #RosaryPlantHouse #PlantAddict #GreenThumb #HomeDecor #CactusCollection #PlantLovers #NatureAtHome</t>
        </is>
      </c>
    </row>
    <row r="298" ht="99.5" customHeight="1">
      <c r="A298" s="94" t="n">
        <v>297</v>
      </c>
      <c r="B298" s="66" t="inlineStr">
        <is>
          <t>Blue Chalksticks</t>
        </is>
      </c>
      <c r="C298" s="74">
        <f>IF(Local!H298,"1","0")</f>
        <v/>
      </c>
      <c r="D298" s="75" t="n">
        <v>79</v>
      </c>
      <c r="E298" s="66" t="inlineStr">
        <is>
          <t>Senecio serpens (Blue Chalksticks)</t>
        </is>
      </c>
      <c r="F298" s="76">
        <f>"public/sale_plants/"&amp;A298&amp;".jpg"</f>
        <v/>
      </c>
      <c r="G298" s="77" t="inlineStr">
        <is>
          <t>(2"-3")</t>
        </is>
      </c>
      <c r="H298" s="95" t="inlineStr">
        <is>
          <t>Low</t>
        </is>
      </c>
      <c r="I298" s="66" t="inlineStr">
        <is>
          <t>Low</t>
        </is>
      </c>
      <c r="J298" s="66" t="inlineStr">
        <is>
          <t>High</t>
        </is>
      </c>
      <c r="K298" s="85" t="n">
        <v>120</v>
      </c>
      <c r="L298" s="81" t="inlineStr">
        <is>
          <t>Echeveria</t>
        </is>
      </c>
      <c r="M298" s="81" t="n">
        <v>0</v>
      </c>
      <c r="N298" s="80" t="n">
        <v>0</v>
      </c>
      <c r="O298" s="81" t="n">
        <v>0</v>
      </c>
      <c r="P298" s="80" t="n">
        <v>0</v>
      </c>
      <c r="Q298" s="81">
        <f>IF(Local!I298=TRUE,1,0)</f>
        <v/>
      </c>
      <c r="R298" s="81">
        <f>Local!D298</f>
        <v/>
      </c>
      <c r="S298" s="81">
        <f>Local!F298</f>
        <v/>
      </c>
      <c r="T298" s="81">
        <f>Local!G298</f>
        <v/>
      </c>
      <c r="U298" s="83" t="inlineStr">
        <is>
          <t>## About
Blue Chalksticks is a beautiful succulent with finger-like blue-green leaves that grow in a dense, upright pattern. This plant is loved for its unique color and interesting texture that adds a modern touch to any garden or indoor space.
## Origin
This plant originally comes from South Africa, where it grows naturally in dry, rocky areas. It is well adapted to hot and dry conditions, making it perfect for Indian climate especially in areas with less rainfall.
## Temperature &amp; Humidity
- **Temperature Range:** 15Â°C to 40Â°C
- **Humidity:** Prefers low to moderate humidity (30% to 50%). This plant does very well in dry conditions and does not need high humidity to thrive.
## Growth
Blue Chalksticks grows into a compact bush that can reach about 30 to 45 cm in height and spread up to 60 cm wide. It has a moderate growth rate and forms dense clusters of cylindrical leaves. The plant grows upright and branches out from the base, creating a full, rounded appearance. Each stem produces multiple finger-like leaves that point upward and outward.
## Watering
- **Frequency:** Once every 10-15 days depending on season and weather conditions. Water less frequently during monsoon and winter months.
- **Tips:** Always allow the soil to dry completely between waterings. Overwatering is the main cause of problems with this plant. Water at the base of the plant and avoid wetting the leaves. In summer months, you may need to water slightly more often, while in winter reduce watering significantly.
## Sunlight
- **Hours per day:** 4 to 6 hours
- **Type:** Direct sunlight is best. This plant loves bright, direct sun which helps maintain its beautiful blue color. It can tolerate partial shade but may lose its vibrant color and become more green.
## Care Tips
- Keep the plant in a bright, sunny location for best color and health
- Protect from heavy monsoon rains as too much water can damage the plant
- In very hot Indian summers (above 40Â°C), provide some afternoon shade to prevent leaf burn
- Remove dead or damaged leaves from the base to keep the plant looking neat
- During winter months (December to February), reduce watering significantly as the plant goes into a rest period
- Good air circulation is important to prevent fungal issues during humid weather
## Growth Tips
- Use well-draining soil mix made with equal parts regular potting soil, coarse sand, and perlite or pumice
- Add some compost or organic matter to enrich the soil
- Feed with diluted liquid succulent fertilizer once every 2-3 months during growing season (spring and summer)
- Repot every 2-3 years in spring when the plant outgrows its container
- Use terracotta or clay pots which allow better drainage and air circulation
- Propagate easily from stem cuttings - just let the cut end dry for 2-3 days before planting
## Common Problems
- **Yellowing or mushy leaves:** Usually caused by overwatering or poor drainage. Reduce watering immediately and check if pot has proper drainage holes.
- **Stretching or leggy growth:** Not enough sunlight. Move plant to a brighter location with more direct sun exposure.
- **Leaf drop:** Can happen due to sudden temperature changes or overwatering. Maintain consistent conditions.
- **White powdery coating loss:** Natural blue coating may fade if plant is not getting enough light or is overwatered.
- **Mealybugs:** Small white cotton-like pests may appear at leaf joints. Remove with cotton swab dipped in rubbing alcohol.
- **Root rot:** Caused by waterlogged soil. Always ensure proper drainage and avoid keeping soil constantly wet.
- **Brown tips:** May indicate sunburn in extreme heat or fertilizer burn. Provide afternoon shade during peak summer and use diluted fertilizer only.</t>
        </is>
      </c>
      <c r="V298" s="98">
        <f>HYPERLINK("https://rosaryplanthouse.com/plant/"&amp;A298&amp;"-"&amp;SUBSTITUTE(LOWER(E298), " ", "-"))</f>
        <v/>
      </c>
      <c r="W298" t="inlineStr">
        <is>
          <t>🟢 Senecio serpens (Blue Chalksticks) (ID: 297)  
🌵 Brighten up your space with the stunning Blue Chalksticks! This succulent is not just a plant; it’s a statement piece that adds a modern touch to any garden or indoor area.  
With its unique finger-like blue-green leaves and upright growth pattern, Blue Chalksticks thrives in hot and dry conditions, making it a perfect companion for your indoor oasis or outdoor garden. Originally from South Africa, this resilient beauty is designed to flourish with minimal care!  
**Key Details:**  
✨ **Watering:** Low – water every 10-15 days  
☀️ **Sunlight:** High – loves 4-6 hours of direct sunlight  
🌬️ **Humidity:** Prefers low to moderate humidity  
Ready to elevate your plant game? 🌱 Check out our collection! Link in bio.  
#BlueChalksticks #SenecioSerpens #SucculentLove #PlantParent #IndoorGarden #PlantCare #GreenThumb #RosaryPlantHouse #Echeveria #SucculentCollection #PlantGoals #GardenInspiration #Houseplants #PlantAddict</t>
        </is>
      </c>
    </row>
    <row r="299" ht="99.5" customHeight="1">
      <c r="A299" s="94" t="n">
        <v>298</v>
      </c>
      <c r="B299" s="66" t="inlineStr">
        <is>
          <t>Pearl of Nuremberg</t>
        </is>
      </c>
      <c r="C299" s="74">
        <f>IF(Local!H299,"1","0")</f>
        <v/>
      </c>
      <c r="D299" s="75" t="n">
        <v>79</v>
      </c>
      <c r="E299" s="66" t="inlineStr">
        <is>
          <t>Echeveria 'Perle von Nurnberg'</t>
        </is>
      </c>
      <c r="F299" s="76">
        <f>"public/sale_plants/"&amp;A299&amp;".jpg"</f>
        <v/>
      </c>
      <c r="G299" s="77" t="inlineStr">
        <is>
          <t>(2"-3")</t>
        </is>
      </c>
      <c r="H299" s="95" t="inlineStr">
        <is>
          <t>Low</t>
        </is>
      </c>
      <c r="I299" s="66" t="inlineStr">
        <is>
          <t>Low</t>
        </is>
      </c>
      <c r="J299" s="66" t="inlineStr">
        <is>
          <t>High</t>
        </is>
      </c>
      <c r="K299" s="85" t="n">
        <v>120</v>
      </c>
      <c r="L299" s="81" t="inlineStr">
        <is>
          <t>Echeveria</t>
        </is>
      </c>
      <c r="M299" s="81" t="n">
        <v>0</v>
      </c>
      <c r="N299" s="80" t="n">
        <v>0</v>
      </c>
      <c r="O299" s="81" t="n">
        <v>0</v>
      </c>
      <c r="P299" s="80" t="n">
        <v>0</v>
      </c>
      <c r="Q299" s="81">
        <f>IF(Local!I299=TRUE,1,0)</f>
        <v/>
      </c>
      <c r="R299" s="81">
        <f>Local!D299</f>
        <v/>
      </c>
      <c r="S299" s="81">
        <f>Local!F299</f>
        <v/>
      </c>
      <c r="T299" s="81">
        <f>Local!G299</f>
        <v/>
      </c>
      <c r="U299" s="83" t="inlineStr">
        <is>
          <t>## About
The Pearl of Nuremberg is a stunning succulent with beautiful rose-shaped rosettes that display gorgeous dusty pink and purple tones with a powdery coating. This popular hybrid echeveria is loved by plant collectors for its unique coloring and compact growth habit, making it perfect for small pots and succulent arrangements.
## Origin
This plant is a hybrid created by crossing Echeveria gibbiflora and Echeveria elegans. While the parent species originate from Mexico and Central America, this particular hybrid was developed in cultivation. It thrives in warm, dry climates similar to its desert origins.
## Temperature &amp; Humidity
- **Temperature Range:** 15Â°C to 35Â°C
- **Humidity:** Low humidity preferred, around 30% to 50%. This plant does well in dry conditions and can tolerate the dry seasons common in many parts of India. It may struggle during extremely humid monsoon periods if not given proper air circulation.
## Growth
This echeveria grows in a compact rosette form, typically reaching 15 to 20 centimeters in diameter. It grows slowly and stays relatively small, making it ideal for container gardening. The plant produces offsets (baby plants) around the base, which can be separated to create new plants. During active growing seasons, it can produce multiple rosettes that cluster together beautifully.
## Watering
- **Frequency:** Once every two weeks depending on season and weather conditions. Water less during monsoon and winter months, slightly more during hot summer months.
- **Tips:** Always water deeply but allow the soil to dry completely between waterings. Water at the base of the plant, avoiding the leaves to prevent the powdery coating from washing off. Never let water sit in the rosette center as this can cause rot. During Indian monsoons, reduce watering significantly and ensure excellent drainage.
## Sunlight
- **Hours per day:** 4 to 6 hours
- **Type:** Direct morning sunlight is ideal. In extremely hot Indian summers (above 40Â°C), provide some afternoon shade to prevent leaf burn. The beautiful pink-purple coloring becomes more intense with adequate sunlight. If kept indoors, place near a bright south or west-facing window.
## Care Tips
- **Protect the powdery coating:** Avoid touching the leaves as they have a natural protective coating that gives them their dusty appearance.
- **Monsoon care:** Move to a covered area during heavy rains to prevent overwatering and fungal issues.
- **Summer stress:** The colors become more vibrant during mild temperature stress, but avoid extreme heat above 40Â°C.
- **Winter protection:** In northern India where temperatures drop below 10Â°C, bring plants indoors or provide frost protection.
- **Air circulation:** Ensure good airflow around the plant, especially during humid months to prevent fungal problems.
## Growth Tips
- **Soil:** Use a well-draining cactus or succulent mix. You can make your own by mixing regular potting soil with coarse sand and perlite in equal parts.
- **Fertilizer:** Feed once during spring and once in early autumn with a diluted succulent fertilizer (half strength). Avoid fertilizing during monsoon and winter.
- **Repotting:** Repot every 2 to 3 years in spring. Choose a pot only slightly larger than the current one, as these plants prefer being slightly root-bound.
- **Propagation:** Easily propagated from leaf cuttings or offsets. Allow cut ends to dry for a day before planting.
## Common Problems
- **Stretching and loss of color:** Caused by insufficient sunlight. Move to a brighter location.
- **Root rot and mushy leaves:** Result of overwatering or poor drainage, especially common during monsoons. Reduce watering and improve soil drainage.
- **Mealybugs:** White cottony pests that hide between leaves. Remove with cotton swabs dipped in rubbing alcohol.
- **Leaf drop:** Natural process for lower leaves, but excessive dropping indicates stress from overwatering or underwatering.
- **Brown or black spots:** Fungal infection from high humidity and poor air circulation. Remove affected leaves and improve ventilation.
- **Shriveled leaves:** Sign of underwatering. Increase watering frequency slightly during hot, dry periods.</t>
        </is>
      </c>
      <c r="V299" s="98">
        <f>HYPERLINK("https://rosaryplanthouse.com/plant/"&amp;A299&amp;"-"&amp;SUBSTITUTE(LOWER(E299), " ", "-"))</f>
        <v/>
      </c>
      <c r="W299" t="inlineStr">
        <is>
          <t>🟢 Echeveria 'Perle von Nurnberg' (ID: 298)
✨ Meet the stunning Pearl of Nuremberg! 🌸 This mesmerizing succulent is a must-have for your plant collection, boasting beautiful rose-shaped rosettes in delightful dusty pink and purple hues. 
🌿 **About**: The Pearl of Nuremberg is a hybrid beauty, thriving in warm, dry climates. With its compact growth, it’s perfect for small pots and succulent arrangements, making it a favorite among plant lovers!
🌞 **Key Details**:
- **Sunlight**: Loves 4-6 hours of direct morning light. 
- **Watering**: Keep it low and let the soil dry out between drinks! 
- **Care Tips**: Protect its charming powdery coating and ensure good air circulation to prevent any issues!
💖 Don’t miss out on adding this beauty to your home! Check out the rest of our collection. Link in bio!
#Echeveria #PearlOfNuremberg #SucculentLove #PlantGoals #IndoorPlants #PlantCollecting #GreenThumb #HousePlantClub #SucculentArrangement #RosaryPlantHouse #PlantParent #SucculentCare #HomeDecor #BotanicalBeauty</t>
        </is>
      </c>
    </row>
    <row r="300" ht="99.5" customHeight="1">
      <c r="A300" s="94" t="n">
        <v>299</v>
      </c>
      <c r="B300" s="66" t="inlineStr">
        <is>
          <t>Mexican Snowball</t>
        </is>
      </c>
      <c r="C300" s="74">
        <f>IF(Local!H300,"1","0")</f>
        <v/>
      </c>
      <c r="D300" s="75" t="n">
        <v>79</v>
      </c>
      <c r="E300" s="66" t="inlineStr">
        <is>
          <t>Echeveria elegans</t>
        </is>
      </c>
      <c r="F300" s="76">
        <f>"public/sale_plants/"&amp;A300&amp;".jpg"</f>
        <v/>
      </c>
      <c r="G300" s="77" t="inlineStr">
        <is>
          <t>(2"-3")</t>
        </is>
      </c>
      <c r="H300" s="95" t="inlineStr">
        <is>
          <t>Low</t>
        </is>
      </c>
      <c r="I300" s="66" t="inlineStr">
        <is>
          <t>Low</t>
        </is>
      </c>
      <c r="J300" s="66" t="inlineStr">
        <is>
          <t>High</t>
        </is>
      </c>
      <c r="K300" s="85" t="n">
        <v>120</v>
      </c>
      <c r="L300" s="81" t="inlineStr">
        <is>
          <t>Echeveria</t>
        </is>
      </c>
      <c r="M300" s="81" t="n">
        <v>0</v>
      </c>
      <c r="N300" s="80" t="n">
        <v>0</v>
      </c>
      <c r="O300" s="81" t="n">
        <v>0</v>
      </c>
      <c r="P300" s="80" t="n">
        <v>0</v>
      </c>
      <c r="Q300" s="81">
        <f>IF(Local!I300=TRUE,1,0)</f>
        <v/>
      </c>
      <c r="R300" s="81">
        <f>Local!D300</f>
        <v/>
      </c>
      <c r="S300" s="81">
        <f>Local!F300</f>
        <v/>
      </c>
      <c r="T300" s="81">
        <f>Local!G300</f>
        <v/>
      </c>
      <c r="U300" s="83" t="inlineStr">
        <is>
          <t>## About
The Mexican Snowball is a beautiful succulent with pale blue-green leaves arranged in a perfect rosette pattern that looks like a blooming flower. This popular houseplant is loved for its compact size, stunning symmetry, and easy care requirements, making it perfect for both beginners and experienced plant lovers.
## Origin
This succulent is native to Mexico, where it grows naturally in rocky, semi-desert areas with plenty of sunlight. It belongs to the Crassulaceae family and thrives in dry, warm conditions similar to its natural habitat.
## Temperature &amp; Humidity
- **Temperature Range:** 18Â°C to 35Â°C (can tolerate up to 40Â°C in Indian summers)
- **Humidity:** Low to moderate humidity (30% to 50%). This plant does well in dry conditions and doesn't need high humidity. It can easily adapt to most Indian climates, both in the dry northern regions and more humid coastal areas.
## Growth
The Mexican Snowball grows as a compact rosette, typically reaching 10-15 cm in diameter and about 5-8 cm in height. It is a slow-growing plant but can produce offsets (baby plants) around the base, which can spread to form small clusters over time. The plant remains compact and doesn't spread aggressively, making it perfect for small pots and indoor spaces.
## Watering
- **Frequency:** Once every 10-14 days depending on season and weather conditions. During the hot Indian summer months, you may need to water once a week depending on other parameters. In monsoon and winter, reduce to once every 2-3 weeks depending on other parameters.
- **Tips:** Always allow the soil to dry out completely between waterings. Water directly into the soil, avoiding the leaves and center of the rosette to prevent rot. Use the "soak and dry" method - water thoroughly until it drains out, then don't water again until soil is completely dry. Reduce watering significantly during monsoon season.
## Sunlight
- **Hours per day:** 4 to 6 hours
- **Type:** Bright direct sunlight is best, especially morning sun. Can tolerate some afternoon shade during peak summer (May-June) when temperatures exceed 40Â°C. Indoors, place near a south or west-facing window. The plant will maintain its compact shape and beautiful color with adequate sunlight. Too little light will cause the rosette to stretch and lose its tight form.
## Care Tips
- Protect from heavy monsoon rains as excessive moisture can cause root rot
- During extreme Indian summer heat (above 42Â°C), provide some afternoon shade
- Keep the rosette clean by gently blowing off dust; avoid getting water in the center
- Good air circulation is important, especially in humid climates
- The plant may develop a powdery white coating (farina) on leaves - this is natural and protective, so avoid touching the leaves
- Can be grown outdoors year-round in most parts of India except during heavy monsoon
## Growth Tips
- Use well-draining cactus or succulent mix; you can make your own by mixing regular potting soil with coarse sand and perlite in equal parts
- Add small pieces of charcoal to the soil to prevent fungal growth
- Fertilize sparingly - once every 2-3 months during the growing season (spring and autumn) with diluted liquid fertilizer
- Repot every 2-3 years or when the plant outgrows its container
- Use terracotta or clay pots as they allow better drainage and air circulation
- Propagate easily from offsets or leaf cuttings during spring
## Common Problems
- **Stretching (etiolation):** Caused by insufficient sunlight; move to a brighter location
- **Root rot:** Occurs due to overwatering or poor drainage; reduce watering frequency and ensure proper drainage holes
- **Mealybugs:** White cottony pests that hide between leaves; remove with cotton swabs dipped in rubbing alcohol
- **Shriveled leaves:** Sign of underwatering; increase watering slightly
- **Brown or black spots:** Usually caused by fungal infection from water sitting on leaves; ensure better air circulation
- **Leaf drop:** Natural in older bottom leaves, but if excessive, check for root rot or pest issues</t>
        </is>
      </c>
      <c r="V300" s="98">
        <f>HYPERLINK("https://rosaryplanthouse.com/plant/"&amp;A300&amp;"-"&amp;SUBSTITUTE(LOWER(E300), " ", "-"))</f>
        <v/>
      </c>
      <c r="W300" t="inlineStr">
        <is>
          <t>🟢 Echeveria Elegans (ID: 299)  
🌟 Meet the stunning Mexican Snowball! This delightful succulent is not just a plant; it's a piece of art for your home! 🌿✨  
With its captivating pale blue-green leaves arranged in a perfect rosette, the Mexican Snowball is a showstopper that thrives on love and sunlight. Perfect for both plant newbies and seasoned enthusiasts, this beauty is as low-maintenance as it is gorgeous!  
🌱 **Key Details:**  
- **Watering:** Low; water every 10-14 days 🌧️  
- **Sunlight:** Loves 4-6 hours of bright direct sun ☀️  
- **Growth:** Compact rosette that may produce adorable offsets 🌼  
Ready to bring home this charming succulent? Tap the **Link in bio** and make the Mexican Snowball part of your collection today!  
#EcheveriaElegans #MexicanSnowball #SucculentLove #PlantParent #HomeDecor #IndoorPlants #PlantCare #SucculentAddict #GreenThumb #RosaryPlantHouse #PlantOfTheDay #PlantGoals #CactusAndSucculents #SucculentGarden #Houseplants #PottedPlants</t>
        </is>
      </c>
    </row>
    <row r="301" ht="99.5" customHeight="1">
      <c r="A301" s="94" t="n">
        <v>300</v>
      </c>
      <c r="B301" s="66" t="inlineStr">
        <is>
          <t>Pearl of Nuremberg</t>
        </is>
      </c>
      <c r="C301" s="74">
        <f>IF(Local!H301,"1","0")</f>
        <v/>
      </c>
      <c r="D301" s="75" t="n">
        <v>79</v>
      </c>
      <c r="E301" s="66" t="inlineStr">
        <is>
          <t>Echeveria 'Perle von Nurnberg'</t>
        </is>
      </c>
      <c r="F301" s="76">
        <f>"public/sale_plants/"&amp;A301&amp;".jpg"</f>
        <v/>
      </c>
      <c r="G301" s="77" t="inlineStr">
        <is>
          <t>(2"-3")</t>
        </is>
      </c>
      <c r="H301" s="95" t="inlineStr">
        <is>
          <t>Low</t>
        </is>
      </c>
      <c r="I301" s="66" t="inlineStr">
        <is>
          <t>Low</t>
        </is>
      </c>
      <c r="J301" s="66" t="inlineStr">
        <is>
          <t>High</t>
        </is>
      </c>
      <c r="K301" s="85" t="n">
        <v>120</v>
      </c>
      <c r="L301" s="81" t="inlineStr">
        <is>
          <t>Echeveria</t>
        </is>
      </c>
      <c r="M301" s="81" t="n">
        <v>0</v>
      </c>
      <c r="N301" s="80" t="n">
        <v>0</v>
      </c>
      <c r="O301" s="81" t="n">
        <v>0</v>
      </c>
      <c r="P301" s="80" t="n">
        <v>0</v>
      </c>
      <c r="Q301" s="81">
        <f>IF(Local!I301=TRUE,1,0)</f>
        <v/>
      </c>
      <c r="R301" s="81">
        <f>Local!D301</f>
        <v/>
      </c>
      <c r="S301" s="81">
        <f>Local!F301</f>
        <v/>
      </c>
      <c r="T301" s="81">
        <f>Local!G301</f>
        <v/>
      </c>
      <c r="U301" s="83" t="inlineStr">
        <is>
          <t>## About
The Pearl of Nuremberg is a stunning succulent that looks like a perfect rose made of leaves. This beautiful plant has thick, fleshy leaves arranged in a tight rosette pattern with lovely pink and purple tones mixed with soft green and blue-grey colors. It is one of the most popular and easily recognizable succulents in the world.
## Origin
This plant is a hybrid succulent that was created in Germany. It comes from the Echeveria family, which originally comes from Mexico and Central America. The parent plants are naturally found in rocky, mountainous areas where water is scarce and sunlight is abundant.
## Temperature &amp; Humidity
- **Temperature Range:** 15Â°C to 35Â°C (ideal range is 18Â°C to 28Â°C)
- **Humidity:** This plant prefers low to moderate humidity levels, around 30% to 50%. It does not like high humidity or damp conditions. It can handle the dry Indian climate very well, especially during summer months.
## Growth
This succulent grows slowly and stays compact. A mature plant typically reaches 10 to 15 cm in height and about 15 to 20 cm in width. It forms a single rosette that sits close to the soil surface. Over time, it may produce small offsets (baby plants) around the base of the main rosette. The growth is very slow and steady, making it perfect for small pots and indoor spaces.
## Watering
- **Frequency:** Once every 10-14 days depending on season and weather conditions. Water less frequently during monsoon and winter months.
- **Tips:** Always let the soil dry out completely between waterings. Water deeply but infrequently. Pour water directly onto the soil, avoiding the leaves and the center of the rosette to prevent rot. Reduce watering significantly during the rainy season and winter. If leaves start to look wrinkled or soft, it may need water. During hot Indian summers, you may need to water once a week depending on other parameters.
## Sunlight
- **Hours per day:** 4 to 6 hours
- **Type:** Bright direct sunlight, especially morning sun. Can tolerate some afternoon sun but protect from harsh midday sun during peak Indian summer (April-June) to prevent leaf burn. The beautiful pink and purple colors develop best with plenty of sunlight. Indirect bright light is acceptable but colors may fade to more green.
## Care Tips
- Place the plant near a sunny window or balcony where it gets morning sunlight
- During extreme Indian summer heat (above 40Â°C), provide some shade during afternoon hours
- Use a well-draining pot with drainage holes to prevent waterlogging
- Remove dried or dead bottom leaves regularly to keep the plant healthy
- During monsoon season, move the plant under cover to avoid excessive rain and humidity
- Avoid touching the leaves frequently as the powdery coating (farina) protects the plant and doesn't grow back
- Keep the plant in a location with good air circulation
## Growth Tips
- Use a cactus or succulent potting mix, or make your own by mixing regular soil with coarse sand and perlite in equal parts
- Add small pieces of brick or pumice to improve drainage
- Fertilize only once every 2-3 months during the growing season (spring and early summer) with a diluted succulent fertilizer
- Repot only when the plant outgrows its pot, typically every 2-3 years
- Choose a pot only slightly larger than the previous one
- The best time to repot is during early spring or autumn
## Common Problems
- **Leaf rot or mushy leaves:** Caused by overwatering or water trapped in the rosette center
- **Stretched or elongated growth:** Not enough sunlight; the plant is reaching for light
- **Fading colors:** Insufficient sunlight; move to a brighter location
- **Shriveled, wrinkled leaves:** Underwatering; increase watering frequency slightly
- **Black spots on leaves:** Fungal infection due to excess moisture and poor air circulation
- **Mealybugs:** White cottony pests on leaves; wipe with alcohol-soaked cotton or neem oil solution
- **Brown, crispy leaf tips:** Sunburn from too much harsh direct sun; provide afternoon shade during summer</t>
        </is>
      </c>
      <c r="V301" s="98">
        <f>HYPERLINK("https://rosaryplanthouse.com/plant/"&amp;A301&amp;"-"&amp;SUBSTITUTE(LOWER(E301), " ", "-"))</f>
        <v/>
      </c>
      <c r="W301" t="inlineStr">
        <is>
          <t>🟢 Echeveria 'Perle von Nurnberg' (ID: 300)
🌹 Ready to add a touch of elegance to your space? Meet the mesmerizing Pearl of Nuremberg! This stunning succulent captures the beauty of a perfect rose with its vibrant pink and purple tones, making it a must-have for any plant lover. 
✨ **About the Plant:** The Pearl of Nuremberg is a hybrid succulent that thrives in bright sunlight and is as low-maintenance as it is beautiful! Its compact rosette formation and slow growth make it a perfect fit for indoor spaces and small pots.
🌞 **Key Details:**
- **Watering:** Low, every 10-14 days
- **Sunlight:** 4-6 hours of bright direct sunlight
- **Humidity:** Prefers low to moderate levels
- **Care Tips:** Keep near a sunny window, avoid overwatering, and provide good air circulation.
🌱 Elevate your plant game with this gorgeous succulent! 🌼 
👉 **Link in bio** to bring home your very own Pearl of Nuremberg!
#Echeveria #SucculentLove #PlantParenthood #IndoorPlants #PlantCollection #SucculentCare #HomeDecor #GreenThumb #RosaryPlantHouse #PlantAddict</t>
        </is>
      </c>
    </row>
    <row r="302" ht="99.5" customHeight="1">
      <c r="A302" s="94" t="n">
        <v>301</v>
      </c>
      <c r="B302" s="66" t="inlineStr">
        <is>
          <t>Mexican Snowball</t>
        </is>
      </c>
      <c r="C302" s="74">
        <f>IF(Local!H302,"1","0")</f>
        <v/>
      </c>
      <c r="D302" s="75" t="n">
        <v>79</v>
      </c>
      <c r="E302" s="66" t="inlineStr">
        <is>
          <t>Echeveria elegans</t>
        </is>
      </c>
      <c r="F302" s="76">
        <f>"public/sale_plants/"&amp;A302&amp;".jpg"</f>
        <v/>
      </c>
      <c r="G302" s="77" t="inlineStr">
        <is>
          <t>(2"-3")</t>
        </is>
      </c>
      <c r="H302" s="95" t="inlineStr">
        <is>
          <t>Low</t>
        </is>
      </c>
      <c r="I302" s="66" t="inlineStr">
        <is>
          <t>Low</t>
        </is>
      </c>
      <c r="J302" s="66" t="inlineStr">
        <is>
          <t>High</t>
        </is>
      </c>
      <c r="K302" s="85" t="n">
        <v>120</v>
      </c>
      <c r="L302" s="81" t="inlineStr">
        <is>
          <t>Echeveria</t>
        </is>
      </c>
      <c r="M302" s="81" t="n">
        <v>0</v>
      </c>
      <c r="N302" s="80" t="n">
        <v>0</v>
      </c>
      <c r="O302" s="81" t="n">
        <v>0</v>
      </c>
      <c r="P302" s="80" t="n">
        <v>0</v>
      </c>
      <c r="Q302" s="81">
        <f>IF(Local!I302=TRUE,1,0)</f>
        <v/>
      </c>
      <c r="R302" s="81">
        <f>Local!D302</f>
        <v/>
      </c>
      <c r="S302" s="81">
        <f>Local!F302</f>
        <v/>
      </c>
      <c r="T302" s="81">
        <f>Local!G302</f>
        <v/>
      </c>
      <c r="U302" s="83" t="inlineStr">
        <is>
          <t>## About
The Mexican Snowball is a beautiful rosette-forming succulent with pale blue-green leaves that look like a perfect flower. This compact plant is popular among succulent lovers for its stunning symmetrical shape and easy care requirements, making it ideal for beginners and experienced gardeners alike.
## Origin
This succulent is native to Mexico, where it grows naturally in rocky, semi-desert areas. It thrives in dry conditions with plenty of sunlight and well-draining soil.
## Temperature &amp; Humidity
- **Temperature Range:** 15Â°C to 35Â°C
- **Humidity:** Low to moderate humidity (30% to 50%). This plant does well in typical Indian household conditions and doesn't need high humidity. It can tolerate the dry indoor air common in air-conditioned rooms.
## Growth
The Mexican Snowball grows as a compact rosette, typically reaching 10 to 15 cm in diameter. It grows slowly but steadily, and can produce offsets (baby plants) around the base, forming small clusters over time. The plant stays low to the ground, rarely exceeding 15 cm in height. In good conditions, it may produce tall flower stalks with pink or coral-colored flowers.
## Watering
- **Frequency:** Water once every 10-14 days depending on season and weather conditions. In monsoon season or during winter, reduce watering to once every 2-3 weeks.
- **Tips:** Always check if the soil is completely dry before watering. Water thoroughly until water drains from the bottom, but never let the plant sit in water. Avoid getting water on the leaves as this can cause rot or remove the powdery coating. Water less frequently in winter and more in hot summer months, but never overwater.
## Sunlight
- **Hours per day:** 4 to 6 hours
- **Type:** Bright direct sunlight is best. Morning sun is ideal for Indian climate. Can tolerate bright indirect light indoors near a sunny window, but colors will be more vibrant with direct sun exposure.
## Care Tips
- Place near a south or east-facing window for best light in Indian homes
- Protect from harsh afternoon summer sun in very hot regions (above 40Â°C) to prevent leaf burn
- The white powdery coating on leaves is natural - avoid touching or wiping it
- During monsoon, keep in a covered area or indoors to prevent overwatering from rain
- Good air circulation is important to prevent fungal issues
- Can be kept outdoors year-round in most Indian cities except in extreme cold
## Growth Tips
- Use well-draining cactus or succulent soil mix, or make your own with regular soil, cocopeat, and sand in equal parts
- Add perlite or small stones for extra drainage
- Fertilize once every 2-3 months during growing season (spring and summer) with diluted liquid fertilizer
- Repot every 2-3 years in spring using a pot only slightly larger than the current one
- Clay or terracotta pots work better than plastic as they allow soil to dry faster
- Propagate easily from offsets or individual leaves placed on dry soil
## Common Problems
- **Stretching (etiolation):** Caused by insufficient light; plant becomes tall and leggy with gaps between leaves
- **Root rot:** From overwatering or poor drainage; leaves become soft, mushy, and may turn black
- **Shriveled leaves:** Usually means the plant needs water, but check if roots are healthy first
- **Brown or black spots:** Can be sunburn from sudden exposure to intense sun, or fungal infection from excess moisture
- **Mealybugs:** White cotton-like pests in leaf crevices; remove with cotton swab dipped in rubbing alcohol
- **Lost powdery coating:** From handling or water spray; new growth will have coating but old leaves won't recover
- **Yellowing lower leaves:** Normal aging process if only bottom leaves are affected; gently remove them</t>
        </is>
      </c>
      <c r="V302" s="98">
        <f>HYPERLINK("https://rosaryplanthouse.com/plant/"&amp;A302&amp;"-"&amp;SUBSTITUTE(LOWER(E302), " ", "-"))</f>
        <v/>
      </c>
      <c r="W302" t="inlineStr">
        <is>
          <t>🟢 Echeveria Elegans (ID: 301)  
🌵 Meet the enchanting Mexican Snowball, your new favorite succulent! This stunning rosette forms a perfect flower-like shape with its pale blue-green leaves, making it a must-have for any plant lover!  
✨ **About:** Originating from the rocky terrains of Mexico, this compact beauty thrives in dry conditions and loves basking in the sun. Perfect for both beginners and seasoned gardeners, the Mexican Snowball is not just a plant; it’s a statement piece!  
🌞 **Key Details:**  
- **Watering:** Low frequency (every 10-14 days)  
- **Sunlight:** Prefers 4-6 hours of bright direct sunlight  
- **Humidity:** Thrives in low to moderate humidity  
👉 Ready to elevate your plant game? Discover the Mexican Snowball! **Link in bio**  
#Echeveria #MexicanSnowball #SucculentLove #PlantParent #IndoorPlants #SucculentCare #PlantCollection #GreenThumb #Houseplants #RosaryPlantHouse</t>
        </is>
      </c>
    </row>
    <row r="303" ht="99.5" customHeight="1">
      <c r="A303" s="94" t="n">
        <v>302</v>
      </c>
      <c r="B303" s="66" t="inlineStr">
        <is>
          <t>Pearl of Nuremberg</t>
        </is>
      </c>
      <c r="C303" s="74">
        <f>IF(Local!H303,"1","0")</f>
        <v/>
      </c>
      <c r="D303" s="75" t="n">
        <v>79</v>
      </c>
      <c r="E303" s="66" t="inlineStr">
        <is>
          <t>Echeveria 'Perle von Nurnberg'</t>
        </is>
      </c>
      <c r="F303" s="76">
        <f>"public/sale_plants/"&amp;A303&amp;".jpg"</f>
        <v/>
      </c>
      <c r="G303" s="77" t="inlineStr">
        <is>
          <t>(2"-3")</t>
        </is>
      </c>
      <c r="H303" s="95" t="inlineStr">
        <is>
          <t>Low</t>
        </is>
      </c>
      <c r="I303" s="66" t="inlineStr">
        <is>
          <t>Low</t>
        </is>
      </c>
      <c r="J303" s="66" t="inlineStr">
        <is>
          <t>High</t>
        </is>
      </c>
      <c r="K303" s="85" t="n">
        <v>120</v>
      </c>
      <c r="L303" s="81" t="inlineStr">
        <is>
          <t>Echeveria</t>
        </is>
      </c>
      <c r="M303" s="81" t="n">
        <v>0</v>
      </c>
      <c r="N303" s="80" t="n">
        <v>0</v>
      </c>
      <c r="O303" s="81" t="n">
        <v>0</v>
      </c>
      <c r="P303" s="80" t="n">
        <v>0</v>
      </c>
      <c r="Q303" s="81">
        <f>IF(Local!I303=TRUE,1,0)</f>
        <v/>
      </c>
      <c r="R303" s="81">
        <f>Local!D303</f>
        <v/>
      </c>
      <c r="S303" s="81">
        <f>Local!F303</f>
        <v/>
      </c>
      <c r="T303" s="81">
        <f>Local!G303</f>
        <v/>
      </c>
      <c r="U303" s="83" t="inlineStr">
        <is>
          <t>## About
This beautiful succulent is called Echeveria 'Perle von Nurnberg' or Pearl of Nuremberg. It is famous for its stunning rosette shape with grey-green leaves that have beautiful pink to red edges. This plant is a hybrid succulent that is easy to care for and perfect for Indian homes.
## Origin
This Echeveria is a hybrid variety created by crossing different Echeveria species. While the exact parent species originated from Mexico and Central America, this particular hybrid was developed in Germany. Echeverias naturally grow in rocky, mountainous areas where drainage is excellent.
## Temperature &amp; Humidity
- **Temperature Range:** 15Â°C to 35Â°C
- **Humidity:** This plant prefers low to moderate humidity levels, typically 30% to 50%. It can tolerate the dry conditions common in many Indian homes. During monsoon season, ensure good air circulation to prevent fungal issues.
## Growth
Pearl of Nuremberg forms a compact rosette that typically grows to about 10-15 cm in diameter. The plant stays relatively small and grows slowly, making it perfect for small pots and indoor displays. It produces offsets (baby plants) around the base which can be used for propagation. The plant maintains its beautiful shape when given proper light, with leaves arranged in a perfect spiral pattern.
## Watering
- **Frequency:** Water once every 10-14 days depending on season and weather conditions. In summer, you may need to water once a week, while in winter, once every 2-3 weeks is enough.
- **Tips:** Always check if the soil is completely dry before watering. Water thoroughly until water drains from the bottom holes, then allow the soil to dry completely. Avoid getting water on the leaves as this can wash away the beautiful powdery coating. During monsoon, reduce watering significantly as humidity is high. Yellow or translucent leaves mean you are overwatering.
## Sunlight
- **Hours per day:** 4 to 6 hours
- **Type:** Bright direct sunlight or very bright indirect light. Morning sun is ideal for Indian conditions. The pink-red coloring on the leaf edges becomes more intense with good sunlight exposure.
## Care Tips
- Place the plant in a bright south or east-facing window where it gets morning sun
- Protect from harsh afternoon sun during peak summer months (April-June) to prevent sunburn
- The white powdery coating on leaves (called farina) is natural and protects the plant - avoid touching the leaves
- During monsoon season, move the plant to a covered area or reduce watering drastically
- If kept outdoors, bring inside during heavy rains
- Use a well-draining pot with drainage holes - this is essential
- Clean around the base regularly to prevent pests
- In very hot Indian summers above 40Â°C, provide some afternoon shade
## Growth Tips
- Use a cactus and succulent potting mix or make your own by mixing regular potting soil with 50% coarse sand or perlite
- Add small pieces of brick or pumice to improve drainage
- Fertilize only once every 2-3 months during the growing season (spring and autumn) with a diluted succulent fertilizer
- Do not fertilize in winter or during monsoon
- Repot every 2-3 years in spring, or when the plant outgrows its pot
- Use shallow, wide pots rather than deep ones as roots are shallow
- Allow the plant to rest in winter with minimal water and no fertilizer
## Common Problems
- **Stretched or leggy growth:** Not enough sunlight - move to a brighter location
- **Leaves turning yellow and mushy:** Overwatering or poor drainage - reduce watering frequency
- **Brown dry tips:** Underwatering or too much direct harsh sun - adjust watering or provide light shade
- **White fuzzy patches:** Mealybugs - wipe off with cotton dipped in rubbing alcohol
- **Black spots on leaves:** Fungal infection due to excess moisture - improve air circulation and reduce watering
- **Leaves falling off easily:** Root rot from overwatering - let soil dry out completely
- **Loss of pink color:** Insufficient light - move to a brighter spot
- **Shriveled leaves:** Underwatering - water thoroughly and establish a regular schedule</t>
        </is>
      </c>
      <c r="V303" s="98">
        <f>HYPERLINK("https://rosaryplanthouse.com/plant/"&amp;A303&amp;"-"&amp;SUBSTITUTE(LOWER(E303), " ", "-"))</f>
        <v/>
      </c>
      <c r="W303" t="inlineStr">
        <is>
          <t>🟢 Echeveria 'Perle von Nurnberg' (ID: 302)  
🌟 Meet the stunning Pearl of Nuremberg, the perfect addition to your plant collection! This charming succulent is known for its exquisite rosette shape and beautiful grey-green leaves adorned with pink to red edges. 🌿✨  
💚 **About:** This hybrid succulent is not only visually striking but also easy to care for, making it ideal for both beginners and seasoned plant lovers alike. With the right conditions, it flourishes beautifully in Indian homes!  
🌞 **Key Details:**  
- **Light:** Thrives in bright direct or very bright indirect sunlight for 4-6 hours daily.  
- **Watering:** Low maintenance, water every 10-14 days; ensure the soil is completely dry before watering.  
- **Growth:** Compact rosette that produces offsets, perfect for propagation!  
👉 For more details, check the link in bio!  
#Echeveria #PearlOfNuremberg #SucculentLove #PlantParent #IndoorPlants #SucculentCare #PlantOfTheDay #GreenThumb #PlantAddict #RosaryPlantHouse 🌱💖</t>
        </is>
      </c>
    </row>
    <row r="304" ht="99.5" customHeight="1">
      <c r="A304" s="94" t="n">
        <v>303</v>
      </c>
      <c r="B304" s="66" t="inlineStr">
        <is>
          <t>Lipstick Echeveria</t>
        </is>
      </c>
      <c r="C304" s="74">
        <f>IF(Local!H304,"1","0")</f>
        <v/>
      </c>
      <c r="D304" s="75" t="n">
        <v>79</v>
      </c>
      <c r="E304" s="66" t="inlineStr">
        <is>
          <t>Echeveria agavoides</t>
        </is>
      </c>
      <c r="F304" s="76">
        <f>"public/sale_plants/"&amp;A304&amp;".jpg"</f>
        <v/>
      </c>
      <c r="G304" s="77" t="inlineStr">
        <is>
          <t>(2"-3")</t>
        </is>
      </c>
      <c r="H304" s="95" t="inlineStr">
        <is>
          <t>Low</t>
        </is>
      </c>
      <c r="I304" s="66" t="inlineStr">
        <is>
          <t>Low</t>
        </is>
      </c>
      <c r="J304" s="66" t="inlineStr">
        <is>
          <t>High</t>
        </is>
      </c>
      <c r="K304" s="85" t="n">
        <v>120</v>
      </c>
      <c r="L304" s="81" t="inlineStr">
        <is>
          <t>Echeveria</t>
        </is>
      </c>
      <c r="M304" s="81" t="n">
        <v>0</v>
      </c>
      <c r="N304" s="80" t="n">
        <v>0</v>
      </c>
      <c r="O304" s="81" t="n">
        <v>0</v>
      </c>
      <c r="P304" s="80" t="n">
        <v>0</v>
      </c>
      <c r="Q304" s="81">
        <f>IF(Local!I304=TRUE,1,0)</f>
        <v/>
      </c>
      <c r="R304" s="81">
        <f>Local!D304</f>
        <v/>
      </c>
      <c r="S304" s="81">
        <f>Local!F304</f>
        <v/>
      </c>
      <c r="T304" s="81">
        <f>Local!G304</f>
        <v/>
      </c>
      <c r="U304" s="83" t="inlineStr">
        <is>
          <t>## About
The Lipstick Echeveria is a beautiful succulent plant known for its triangular, pointed leaves with bright red edges that look like they've been painted with lipstick. This compact rosette-forming plant is very popular among succulent lovers in India because it is easy to care for and looks stunning on windowsills and balconies.
## Origin
This plant comes from rocky areas of Mexico, where it grows naturally in dry, sunny conditions. It is used to growing in poor soil with very little water, which makes it perfect for low-maintenance gardening.
## Temperature &amp; Humidity
- **Temperature Range:** 15Â°C to 35Â°C
- **Humidity:** Low to moderate humidity (30% to 50%). This plant does not like high humidity and can handle dry indoor conditions very well. During Indian monsoons, protect it from excessive moisture.
## Growth
The Lipstick Echeveria grows slowly and forms a tight rosette that can reach about 10 to 15 cm in diameter. It stays compact and doesn't spread much, making it perfect for small pots and containers. The plant may produce offsets (baby plants) around the base as it matures, which you can separate and grow as new plants.
## Watering
- **Frequency:** Once every 10 to 14 days depending on season and weather conditions. In summer, you may need to water slightly more often, while in winter and monsoon, reduce watering significantly.
- **Tips:** Always let the soil dry out completely between waterings. Water deeply but less frequently. Avoid getting water on the leaves, as this can cause rot. In Indian monsoon season, move the plant to a sheltered spot and reduce watering to once every 3 weeks or even less.
## Sunlight
- **Hours per day:** 4 to 6 hours
- **Type:** Direct bright sunlight is best. Morning sunlight is ideal for Indian climate. The red edges become more vibrant with more sun exposure. Can tolerate bright indirect light indoors near a sunny window, but colors may fade slightly.
## Care Tips
- Keep the plant in a bright spot where it gets plenty of morning or evening sun
- During peak Indian summer (April-June), provide some afternoon shade to prevent leaf burn
- In winter, the plant may go dormant and need even less water
- Remove dried or dead lower leaves to keep the plant healthy and attractive
- Good air circulation is important to prevent fungal issues, especially during humid months
- Protect from heavy rain during monsoon as too much water can cause root rot
## Growth Tips
- Use well-draining cactus or succulent soil mix. You can make your own by mixing regular potting soil with coarse sand and perlite in equal parts
- Add a layer of small stones or pebbles at the bottom of the pot for extra drainage
- Feed with diluted liquid succulent fertilizer once every 2 months during growing season (spring and autumn)
- Repot every 2 to 3 years in spring, using a slightly larger pot
- Use terracotta or clay pots as they allow soil to dry faster than plastic pots
- Propagate easily from leaf cuttings or offsets during spring season
## Common Problems
- **Stretched, leggy growth:** Not enough sunlight. Move to a brighter location
- **Leaves turning brown or black:** Overwatering or fungal rot. Reduce watering immediately and check roots
- **Leaves losing red color:** Insufficient sunlight. Increase sun exposure gradually
- **Shriveled leaves:** Underwatering. Give the plant a good soak
- **Mealybugs (white cottony spots):** Common pest in India. Remove with cotton swab dipped in rubbing alcohol
- **Soft, mushy leaves:** Root rot from too much water. Stop watering and let soil dry completely
- **Sunburn (brown patches):** Too much harsh afternoon sun. Provide some shade during hottest hours</t>
        </is>
      </c>
      <c r="V304" s="98">
        <f>HYPERLINK("https://rosaryplanthouse.com/plant/"&amp;A304&amp;"-"&amp;SUBSTITUTE(LOWER(E304), " ", "-"))</f>
        <v/>
      </c>
      <c r="W304" t="inlineStr">
        <is>
          <t>🟢 Lipstick Echeveria (ID: 303)
🌺 Elevate your indoor garden with the stunning Lipstick Echeveria! This enchanting succulent features striking triangular leaves adorned with vibrant red edges, reminiscent of a kiss of color. Perfect for plant lovers seeking a low-maintenance beauty that thrives in sunny spots! 
🌿 **About the Plant:** The Lipstick Echeveria hails from Mexico's rocky terrains, flourishing in sunny, dry conditions. With its compact rosette growth, it fits beautifully in small pots, making it a fantastic choice for windowsills and balconies.
✨ **Care Tips:**
- Thrives in 4-6 hours of direct sunlight 🌞
- Water every 10-14 days, letting the soil dry out completely between waterings 💧
- Protect from excess moisture during the monsoon season 🌧️
💖 Don't miss out on bringing this lovely succulent into your home! Link in bio.
#LipstickEcheveria #EcheveriaAgavoides #SucculentLove #IndoorPlants #PlantParent #PlantAddict #GreenThumb #LowMaintenancePlants #RosaryPlantHouse #SucculentCare #HomeDecor #PlantLovers #GardeningTips #SucculentCollection #NatureLovers 🌱✨</t>
        </is>
      </c>
    </row>
    <row r="305" ht="99.5" customHeight="1">
      <c r="A305" s="94" t="n">
        <v>304</v>
      </c>
      <c r="B305" s="66" t="inlineStr">
        <is>
          <t>Campfire Crassula</t>
        </is>
      </c>
      <c r="C305" s="74">
        <f>IF(Local!H305,"1","0")</f>
        <v/>
      </c>
      <c r="D305" s="75" t="n">
        <v>79</v>
      </c>
      <c r="E305" s="66" t="inlineStr">
        <is>
          <t>Crassula capitella 'Campfire'</t>
        </is>
      </c>
      <c r="F305" s="76">
        <f>"public/sale_plants/"&amp;A305&amp;".jpg"</f>
        <v/>
      </c>
      <c r="G305" s="77" t="inlineStr">
        <is>
          <t>(2"-3")</t>
        </is>
      </c>
      <c r="H305" s="95" t="inlineStr">
        <is>
          <t>Low</t>
        </is>
      </c>
      <c r="I305" s="66" t="inlineStr">
        <is>
          <t>Low</t>
        </is>
      </c>
      <c r="J305" s="66" t="inlineStr">
        <is>
          <t>High</t>
        </is>
      </c>
      <c r="K305" s="85" t="n">
        <v>120</v>
      </c>
      <c r="L305" s="81" t="inlineStr">
        <is>
          <t>Echeveria</t>
        </is>
      </c>
      <c r="M305" s="81" t="n">
        <v>0</v>
      </c>
      <c r="N305" s="80" t="n">
        <v>0</v>
      </c>
      <c r="O305" s="81" t="n">
        <v>0</v>
      </c>
      <c r="P305" s="80" t="n">
        <v>0</v>
      </c>
      <c r="Q305" s="81">
        <f>IF(Local!I305=TRUE,1,0)</f>
        <v/>
      </c>
      <c r="R305" s="81">
        <f>Local!D305</f>
        <v/>
      </c>
      <c r="S305" s="81">
        <f>Local!F305</f>
        <v/>
      </c>
      <c r="T305" s="81">
        <f>Local!G305</f>
        <v/>
      </c>
      <c r="U305" s="83" t="inlineStr">
        <is>
          <t>## About
The Campfire Crassula is a stunning succulent that gets its name from the bright red and orange colors that appear on its leaves, especially when it gets plenty of sunlight. This beautiful plant forms a rosette shape with stacked, propeller-like leaves that create an attractive spiral pattern. It is a popular choice among succulent lovers in India because it is easy to care for and adds a splash of vibrant color to any collection.
## Origin
This plant originally comes from South Africa, where it grows in rocky areas and dry regions. It belongs to the Crassula family, which includes many popular succulent varieties. The plant has adapted to survive in harsh, dry conditions with minimal water and lots of sunlight.
## Temperature &amp; Humidity
- **Temperature Range:** 15Â°C to 35Â°C
- **Humidity:** Low to moderate humidity (30% to 50%). This plant prefers dry conditions and does not need high humidity. It can tolerate the hot and dry climate found in many parts of India, making it suitable for most Indian homes and gardens.
## Growth
The Campfire Crassula is a compact plant that typically grows to about 15 to 20 centimeters in height and can spread up to 30 centimeters wide. It grows at a moderate pace and forms clumps over time as it produces offsets. The plant has a branching habit, and each stem develops into a rosette of tightly packed leaves. With proper sunlight, the leaves turn from green to brilliant shades of red, orange, and pink, creating the campfire effect that gives the plant its name.
## Watering
- **Frequency:** Once every 10 to 14 days depending on season and weather conditions. Water less frequently during the monsoon season and winter months.
- **Tips:** Always allow the soil to dry out completely between waterings. Overwatering is the most common mistake with this plant and can cause root rot. Water directly into the soil, avoiding the leaves to prevent fungal issues. During the hot summer months in India, you may need to water slightly more often, but always check the soil first. Reduce watering significantly during winter when the plant goes into a rest period.
## Sunlight
- **Hours per day:** 4 to 6 hours
- **Type:** Direct sunlight is best. The plant needs strong, direct sunlight to develop its beautiful red and orange colors. Without enough sun, the leaves will stay green and the plant will not show its characteristic campfire coloring. In extremely hot regions of India where temperatures exceed 40Â°C, provide some afternoon shade to prevent leaf burn.
## Care Tips
- Place the plant in the brightest spot available, such as a south-facing windowsill or balcony
- In Indian summers, monitor for signs of sunburn (brown crispy patches) and provide light shade if needed during peak afternoon hours
- During monsoon season, protect the plant from continuous rain exposure as too much water can harm it
- Keep the plant in a well-ventilated area to prevent fungal issues in humid conditions
- Clean the leaves gently with a soft brush to remove dust and allow better light absorption
- This plant is perfect for beginners as it forgives occasional neglect
## Growth Tips
- Use a well-draining succulent or cactus soil mix. You can make your own by mixing regular potting soil with coarse sand and perlite in equal parts
- Fertilize sparingly, only once during the growing season (spring or early summer) with a diluted liquid succulent fertilizer
- Repot every 2 to 3 years in spring, using a slightly larger pot with drainage holes
- Propagation is very easy through stem cuttings or leaf cuttings. Simply let the cutting dry for a day or two, then place it on well-draining soil
- Terracotta pots work best as they allow excess moisture to evaporate quickly
## Common Problems
- **Root rot:** caused by overwatering or poor drainage. Signs include soft, mushy stems and yellowing leaves
- **Pale or green leaves:** insufficient sunlight. Move the plant to a brighter location to restore its red coloring
- **Stretched, leggy growth:** too little light causes the plant to stretch toward the light source
- **Shriveled leaves:** underwatering. Give the plant a thorough drink when the leaves start to wrinkle
- **Mealybugs and aphids:** small white cotton-like bugs or tiny insects on leaves. Treat with neem oil spray or isopropyl alcohol
- **Leaf drop:** can occur due to sudden temperature changes or overwatering
- **Brown crispy tips:** too much direct intense sunlight or heat stress, especially during peak Indian summer</t>
        </is>
      </c>
      <c r="V305" s="98">
        <f>HYPERLINK("https://rosaryplanthouse.com/plant/"&amp;A305&amp;"-"&amp;SUBSTITUTE(LOWER(E305), " ", "-"))</f>
        <v/>
      </c>
      <c r="W305" t="inlineStr">
        <is>
          <t>🟢 Campfire Crassula (ID: 304)  
🔥 Light up your plant collection with the stunning Campfire Crassula! 🌿 This vibrant succulent boasts fiery red and orange hues that transform under the sun, creating a mesmerizing display that will catch anyone's eye. Perfect for both seasoned collectors and beginners alike! 
✨ **About the Campfire Crassula:**  
Originating from the rocky landscapes of South Africa, this hardy succulent thrives in low humidity and requires minimal watering. With its unique rosette shape and stacked, propeller-like leaves, it’s not just a plant; it’s a statement piece! 
🌞 **Key Details:**  
- **Sunlight:** Thrives in 4-6 hours of direct sunlight daily  
- **Watering:** Allow soil to dry completely between waterings (once every 10-14 days)  
- **Growth:** Moderate growth rate; forms attractive clumps over time  
👉 Ready to add a splash of color to your home? Check out the Campfire Crassula and more on our website! Link in bio. 
#CampfireCrassula #SucculentLove #PlantGoals #IndoorGarden #Echeveria #PlantCare #GreenThumb #RosaryPlantHouse #PlantParent #SucculentCollection #Houseplants #GardeningJoy #PlantLovers #SouthAfricanFlora</t>
        </is>
      </c>
    </row>
    <row r="306" ht="99.5" customHeight="1">
      <c r="A306" s="94" t="n">
        <v>305</v>
      </c>
      <c r="B306" s="66" t="inlineStr">
        <is>
          <t>Hens and Chicks</t>
        </is>
      </c>
      <c r="C306" s="74">
        <f>IF(Local!H306,"1","0")</f>
        <v/>
      </c>
      <c r="D306" s="75" t="n">
        <v>79</v>
      </c>
      <c r="E306" s="66" t="inlineStr">
        <is>
          <t>Sempervivum tectorum</t>
        </is>
      </c>
      <c r="F306" s="76">
        <f>"public/sale_plants/"&amp;A306&amp;".jpg"</f>
        <v/>
      </c>
      <c r="G306" s="77" t="inlineStr">
        <is>
          <t>(2"-3")</t>
        </is>
      </c>
      <c r="H306" s="95" t="inlineStr">
        <is>
          <t>Low</t>
        </is>
      </c>
      <c r="I306" s="66" t="inlineStr">
        <is>
          <t>Low</t>
        </is>
      </c>
      <c r="J306" s="66" t="inlineStr">
        <is>
          <t>High</t>
        </is>
      </c>
      <c r="K306" s="85" t="n">
        <v>120</v>
      </c>
      <c r="L306" s="81" t="inlineStr">
        <is>
          <t>Echeveria</t>
        </is>
      </c>
      <c r="M306" s="81" t="n">
        <v>0</v>
      </c>
      <c r="N306" s="80" t="n">
        <v>0</v>
      </c>
      <c r="O306" s="81" t="n">
        <v>0</v>
      </c>
      <c r="P306" s="80" t="n">
        <v>0</v>
      </c>
      <c r="Q306" s="81">
        <f>IF(Local!I306=TRUE,1,0)</f>
        <v/>
      </c>
      <c r="R306" s="81">
        <f>Local!D306</f>
        <v/>
      </c>
      <c r="S306" s="81">
        <f>Local!F306</f>
        <v/>
      </c>
      <c r="T306" s="81">
        <f>Local!G306</f>
        <v/>
      </c>
      <c r="U306" s="83" t="inlineStr">
        <is>
          <t>## About
This is a beautiful rosette-forming succulent with thick, fleshy leaves that display stunning green and burgundy red coloring. The plant gets its common name from the way it produces many small offsets (chicks) around the mother plant (hen), making it a fast-spreading and attractive ground cover.
## Origin
Native to the mountains of Southern Europe, particularly found in the Alps and Pyrenees. In its natural habitat, it grows on rocky slopes, walls, and rooftops, which is why it's also called "Houseleek" (tectorum means "of the roofs" in Latin).
## Temperature &amp; Humidity
- **Temperature Range:** 15Â°C to 30Â°C (can tolerate higher temperatures in Indian summers with proper care)
- **Humidity:** Low to moderate humidity, around 30% to 50%. This plant prefers dry conditions and does not like high humidity typical of monsoon season.
## Growth
This succulent grows in compact rosettes that can reach 7-15 cm in diameter. It spreads by producing offsets (baby plants) that grow around the base of the mother plant. Growth is slow to moderate, and the plant stays low to the ground, making it perfect for rock gardens, containers, and small pots. The rosette pattern is very symmetrical and ornamental.
## Watering
- **Frequency:** Once every 10-14 days depending on season and weather conditions. In summer, you may need to water once a week, while in winter, once every 2-3 weeks is sufficient.
- **Tips:** Always water deeply but allow the soil to dry out completely between waterings. Water at the base of the plant, avoiding the rosette center to prevent rot. Reduce watering significantly during monsoon and winter months. Overwatering is the biggest enemy of this plant.
## Sunlight
- **Hours per day:** 6 to 8 hours
- **Type:** Direct sunlight is best. The beautiful red and burgundy coloring develops when the plant receives plenty of direct sun. Can tolerate partial shade but colors will be less vibrant and more green.
## Care Tips
- Keep the plant in a well-ventilated area to prevent fungal issues during humid monsoon months
- In extremely hot Indian summers (above 40Â°C), provide some afternoon shade to prevent leaf burn
- Remove dried lower leaves regularly to keep the plant healthy and attractive
- During monsoons, move the plant under a covered area or reduce outdoor exposure to prevent overwatering from rain
- The plant is very cold-hardy but doesn't need special winter protection in most parts of India
- Clean the rosette gently with a soft brush to remove dust and debris
## Growth Tips
- Use a well-draining succulent or cactus mix; add extra perlite or cocopeat for better drainage
- A mix of 50% regular potting soil, 30% sand, and 20% perlite works well
- Fertilize sparingly â€“ once every 2-3 months during growing season (spring and early autumn) with diluted succulent fertilizer
- Repot only when the plant becomes too crowded, typically every 2-3 years
- You can separate the offsets and plant them individually to create new plants
- Use shallow pots with drainage holes as the plant has a shallow root system
- Add a top layer of small pebbles or gravel for aesthetic appeal and to prevent soil splash
## Common Problems
- **Root rot:** Caused by overwatering or poor drainage, especially during monsoon. Leaves become mushy and transparent.
- **Stretching (etiolation):** Happens when the plant doesn't get enough sunlight. The rosette becomes loose and elongated.
- **Faded colors:** Lack of direct sunlight causes the plant to lose its beautiful red-burgundy tones and become mostly green.
- **Mealy bugs:** White cottony pests that hide between leaves. Treat with neem oil or isopropyl alcohol.
- **Leaf drop:** Old lower leaves naturally dry and fall off, but excessive leaf drop indicates stress from overwatering or underwatering.
- **Fungal infections:** High humidity and poor air circulation during monsoons can cause fungal spots on leaves. Ensure good ventilation and avoid overhead watering.</t>
        </is>
      </c>
      <c r="V306" s="98">
        <f>HYPERLINK("https://rosaryplanthouse.com/plant/"&amp;A306&amp;"-"&amp;SUBSTITUTE(LOWER(E306), " ", "-"))</f>
        <v/>
      </c>
      <c r="W306" t="inlineStr">
        <is>
          <t>🟢 Sempervivum tectorum (ID: 305)  
🌿 Meet the stunning Hens and Chicks! 🌿
This beautiful rosette-forming succulent is a true showstopper with its thick, fleshy leaves flaunting vibrant green and burgundy hues. Known for producing charming offsets, or "chicks," around the mother plant, it makes for an eye-catching ground cover that spreads quickly!
✨ **Key Details:**  
- 🌞 **Sunlight:** Thrives in 6-8 hours of direct sunlight for those vibrant colors!  
- 💧 **Watering:** Low maintenance! Water every 10-14 days, ensuring the soil dries out completely.  
- 🌡️ **Temperature:** Prefers a range of 15°C to 30°C, making it a hardy companion for your home!  
Ready to bring home this delightful succulent? 🌱 Check out the link in bio!  
#HensAndChicks #Sempervivum #SucculentLove #PlantParent #IndoorPlants #GardeningJoy #PlantCollection #RosaryPlantHouse #GreenThumb #Echeveria #HomeDecor #SucculentCare #PlantGoals</t>
        </is>
      </c>
    </row>
    <row r="307" ht="99.5" customHeight="1">
      <c r="A307" s="94" t="n">
        <v>306</v>
      </c>
      <c r="B307" s="66" t="inlineStr">
        <is>
          <t>Hen and Chicks</t>
        </is>
      </c>
      <c r="C307" s="74">
        <f>IF(Local!H307,"1","0")</f>
        <v/>
      </c>
      <c r="D307" s="75" t="n">
        <v>79</v>
      </c>
      <c r="E307" s="66" t="inlineStr">
        <is>
          <t>Sempervivum tectorum</t>
        </is>
      </c>
      <c r="F307" s="76">
        <f>"public/sale_plants/"&amp;A307&amp;".jpg"</f>
        <v/>
      </c>
      <c r="G307" s="77" t="inlineStr">
        <is>
          <t>(2"-3")</t>
        </is>
      </c>
      <c r="H307" s="95" t="inlineStr">
        <is>
          <t>Low</t>
        </is>
      </c>
      <c r="I307" s="66" t="inlineStr">
        <is>
          <t>Low</t>
        </is>
      </c>
      <c r="J307" s="66" t="inlineStr">
        <is>
          <t>High</t>
        </is>
      </c>
      <c r="K307" s="85" t="n">
        <v>120</v>
      </c>
      <c r="L307" s="81" t="inlineStr">
        <is>
          <t>Echeveria</t>
        </is>
      </c>
      <c r="M307" s="81" t="n">
        <v>0</v>
      </c>
      <c r="N307" s="80" t="n">
        <v>0</v>
      </c>
      <c r="O307" s="81" t="n">
        <v>0</v>
      </c>
      <c r="P307" s="80" t="n">
        <v>0</v>
      </c>
      <c r="Q307" s="81">
        <f>IF(Local!I307=TRUE,1,0)</f>
        <v/>
      </c>
      <c r="R307" s="81">
        <f>Local!D307</f>
        <v/>
      </c>
      <c r="S307" s="81">
        <f>Local!F307</f>
        <v/>
      </c>
      <c r="T307" s="81">
        <f>Local!G307</f>
        <v/>
      </c>
      <c r="U307" s="83" t="inlineStr">
        <is>
          <t>## About
Hen and Chicks is a beautiful rosette-forming succulent that gets its charming name from the way it grows - the mother plant (hen) produces many smaller baby plants (chicks) around it. This hardy succulent is loved for its geometric spiral pattern and thick, fleshy green leaves that form a perfect rose-like shape.
## Origin
This plant originally comes from the mountainous regions of Southern Europe, particularly the Alps and Pyrenees mountains. It naturally grows in rocky areas, on stone walls, and in poor soil conditions, which makes it very tough and adaptable.
## Temperature &amp; Humidity
- **Temperature Range:** 15Â°C to 35Â°C (can tolerate higher temperatures in Indian summers)
- **Humidity:** Prefers low to moderate humidity levels (30% to 50%). Does well in dry conditions and doesn't need high humidity like tropical plants.
## Growth
Hen and Chicks is a compact, slow-growing succulent that typically reaches 5 to 10 cm in height and can spread up to 15 to 20 cm wide. The mother plant produces offsets (baby plants) on stolons that create a beautiful clustered mat over time. Growth is moderate during cooler months and slows down during extreme summer heat.
## Watering
- **Frequency:** Once every 10-14 days depending on season and weather conditions. In monsoon, reduce watering significantly or stop completely.
- **Tips:** Always check if the soil is completely dry before watering. Water at the base of the plant, never from the top onto the rosette as this can cause rot. During Indian summers, water early morning or evening. In winter, water even less frequently, perhaps once every 3 weeks.
## Sunlight
- **Hours per day:** 4 to 6 hours
- **Type:** Direct sunlight is best. Can handle bright indirect light indoors but colors will be more vibrant in direct sun. Morning sun is ideal in hot Indian climates.
## Care Tips
- Place in a location with good air circulation to prevent fungal issues during humid monsoon months
- Remove dead lower leaves regularly to keep the plant healthy and prevent pest hiding spots
- During extreme Indian summer (above 40Â°C), provide some afternoon shade to prevent leaf burn
- Use a well-draining pot with drainage holes - never let the plant sit in water
- Can be kept outdoors year-round in most Indian cities except during heavy monsoon rains
- The plant may change color (pinkish or reddish tips) in strong sunlight, which is normal and attractive
## Growth Tips
- Use a cactus and succulent potting mix or create your own with 50% regular soil, 30% sand, and 20% perlite or pumice
- Fertilize very lightly once during spring (February-March) with diluted liquid succulent fertilizer - too much fertilizer can harm the plant
- Repot only when the plant becomes overcrowded, usually every 2-3 years
- When repotting, gently separate the baby plants (chicks) and plant them separately to create more plants
- Add a thin layer of small stones or gravel on top of the soil for better drainage and aesthetic look
- The plant prefers being slightly root-bound, so don't use a pot that's too large
## Common Problems
- **Rotting rosette or mushy leaves:** Caused by overwatering or water sitting in the center of the rosette. Always water at soil level.
- **Stretching and losing compact shape:** Not getting enough sunlight. Move to a brighter location with more direct sun.
- **Brown, crispy leaf tips:** Underwatering or too much harsh afternoon sun in peak summer. Adjust watering slightly and provide some afternoon shade.
- **Mealybugs (white cottony bugs):** Common in Indian climate, especially during humid months. Remove with cotton swabs dipped in rubbing alcohol.
- **Root rot:** Poor drainage or sitting in waterlogged soil during monsoon. Ensure excellent drainage and reduce watering.
- **Plant dying after flowering:** This is natural - the mother rosette dies after flowering but leaves behind many baby plants to continue growing.</t>
        </is>
      </c>
      <c r="V307" s="98">
        <f>HYPERLINK("https://rosaryplanthouse.com/plant/"&amp;A307&amp;"-"&amp;SUBSTITUTE(LOWER(E307), " ", "-"))</f>
        <v/>
      </c>
      <c r="W307" t="inlineStr">
        <is>
          <t>🟢 Sempervivum Tectorum (ID: 306)  
🌿 Meet the charming Hen and Chicks! 🌿 This delightful rosette-forming succulent is perfect for any plant lover's collection. With its stunning geometric spiral pattern and thick, fleshy leaves, it’s not just a plant; it’s a statement piece!
✨ **About:**  
Hen and Chicks, named for its mother plant that produces adorable baby plants around it, thrives in rocky terrains of Southern Europe. It’s known for being hardy and adaptable, making it a fantastic choice for both beginners and seasoned gardeners.
🌞 **Key Details:**  
- **Watering:** Low maintenance, water every 10-14 days!  
- **Sunlight:** Loves bright direct sunlight for 4-6 hours a day!  
- **Temperature:** Thrives in 15°C to 35°C – perfect for the Indian climate!  
🌱 Ready to add some charm to your home? Check out the Hen and Chicks at Rosary Plant House! Link in bio.  
#HenAndChicks #Sempervivum #SucculentLove #PlantParent #GreenThumb #IndoorPlants #GardeningLife #RosaryPlantHouse #PlantCollection #HomeDecor #SucculentsOfInstagram #PlantAddict #Echeveria #NatureLovers</t>
        </is>
      </c>
    </row>
    <row r="308" ht="99.5" customHeight="1">
      <c r="A308" s="94" t="n">
        <v>307</v>
      </c>
      <c r="B308" s="66" t="inlineStr">
        <is>
          <t>Pink Pearl Echeveria</t>
        </is>
      </c>
      <c r="C308" s="74">
        <f>IF(Local!H308,"1","0")</f>
        <v/>
      </c>
      <c r="D308" s="75" t="n">
        <v>79</v>
      </c>
      <c r="E308" s="66" t="inlineStr">
        <is>
          <t>Echeveria 'Perle von Nurnberg'</t>
        </is>
      </c>
      <c r="F308" s="76">
        <f>"public/sale_plants/"&amp;A308&amp;".jpg"</f>
        <v/>
      </c>
      <c r="G308" s="77" t="inlineStr">
        <is>
          <t>(2"-3")</t>
        </is>
      </c>
      <c r="H308" s="95" t="inlineStr">
        <is>
          <t>Low</t>
        </is>
      </c>
      <c r="I308" s="66" t="inlineStr">
        <is>
          <t>Low</t>
        </is>
      </c>
      <c r="J308" s="66" t="inlineStr">
        <is>
          <t>High</t>
        </is>
      </c>
      <c r="K308" s="85" t="n">
        <v>120</v>
      </c>
      <c r="L308" s="81" t="inlineStr">
        <is>
          <t>Echeveria</t>
        </is>
      </c>
      <c r="M308" s="81" t="n">
        <v>0</v>
      </c>
      <c r="N308" s="80" t="n">
        <v>0</v>
      </c>
      <c r="O308" s="81" t="n">
        <v>0</v>
      </c>
      <c r="P308" s="80" t="n">
        <v>0</v>
      </c>
      <c r="Q308" s="81">
        <f>IF(Local!I308=TRUE,1,0)</f>
        <v/>
      </c>
      <c r="R308" s="81">
        <f>Local!D308</f>
        <v/>
      </c>
      <c r="S308" s="81">
        <f>Local!F308</f>
        <v/>
      </c>
      <c r="T308" s="81">
        <f>Local!G308</f>
        <v/>
      </c>
      <c r="U308" s="83" t="inlineStr">
        <is>
          <t>## About
Pink Pearl Echeveria is a stunning succulent with beautiful rosette-shaped leaves that display a gorgeous mix of soft gray-green color with pink to red edges. This popular ornamental plant is loved by gardeners for its compact size and eye-catching appearance that looks like a perfect flower.
## Origin
This plant is a hybrid variety that was developed in Germany. It belongs to the Echeveria family, which originally comes from Mexico and Central America. Echeverias naturally grow in rocky, mountainous regions where they receive plenty of sunlight and have excellent drainage.
## Temperature &amp; Humidity
- **Temperature Range:** 15Â°C to 35Â°C (can tolerate up to 40Â°C in Indian summers)
- **Humidity:** Low to moderate humidity (30% to 50%). This plant prefers dry conditions and does well in the typical Indian climate. It can handle low humidity very well, making it perfect for most Indian homes.
## Growth
Pink Pearl Echeveria grows in a tight rosette pattern, typically reaching 10-15 cm in diameter and 10-12 cm in height. It is a slow to moderate grower. The plant remains compact and maintains its beautiful rose-like shape throughout its life. With proper care, it may produce small offsets (baby plants) around the base, which can be separated to grow new plants. During flowering season, it sends up a tall flower stalk from the center.
## Watering
- **Frequency:** Once every 10-14 days depending on season and weather conditions. During Indian monsoons, reduce watering significantly or stop completely. In hot summers, you may need to water once a week depending on how quickly the soil dries.
- **Tips:** Always water the soil directly, never pour water on the leaves or center of the rosette as this can cause rot. Make sure the soil is completely dry before watering again. Use the "soak and dry" method - water thoroughly until it drains out, then wait until soil is bone dry. Overwatering is the biggest killer of this plant.
## Sunlight
- **Hours per day:** 4 to 6 hours
- **Type:** Direct sunlight is best, especially morning sun. In extremely hot Indian summers (above 40Â°C), provide some afternoon shade to prevent leaf burn. The plant develops its best pink and red coloring when it receives adequate direct sunlight. Indirect bright light will keep it alive but it may lose its vibrant colors and become more green.
## Care Tips
- Place in the brightest spot available, preferably on a sunny windowsill or balcony
- In North India, bring indoors during winter if temperature drops below 10Â°C
- During monsoon season in India, keep under cover to avoid excess moisture
- Remove dead or dried lower leaves regularly to prevent pest problems
- The plant's color becomes more intense with sun exposure - if it's looking too green, it needs more light
- Avoid misting or spraying water on leaves as this can damage the natural protective coating
- Use a well-draining pot with drainage holes - terracotta pots work excellently
- Rotate the pot every few weeks for even growth and coloring
## Growth Tips
- **Soil:** Use a cactus/succulent mix or make your own with 60% regular potting soil, 30% coarse sand, and 10% perlite for excellent drainage
- **Fertilizer:** Feed very lightly once every 2-3 months during growing season (spring and autumn) with diluted liquid fertilizer (half the recommended strength). Avoid fertilizing in summer and winter
- **Repotting:** Repot once every 2-3 years in spring. Choose a pot only slightly larger than the current one
- Propagate easily through leaf cuttings or offsets - just let the cutting dry for 2-3 days before planting
- In Indian climate, the plant grows most actively during spring (February-April) and autumn (September-November)
## Common Problems
- **Leaves turning brown or black:** Overwatering or fungal rot - reduce watering immediately and improve drainage
- **Leaves becoming pale green:** Not enough sunlight - move to brighter location
- **Leaves shriveling:** Underwatering - increase watering frequency slightly
- **Stretched or elongated growth:** Insufficient light causing the plant to stretch toward light source
- **Mealybugs (white cottony spots):** Common pest - remove with cotton swab dipped in rubbing alcohol
- **Root rot:** Caused by overwatering or poor drainage - may need to remove plant, cut away rotted roots, and replant in fresh dry soil
- **Leaves falling off easily:** Sign of overwatering - allow soil to dry completely before next watering</t>
        </is>
      </c>
      <c r="V308" s="98">
        <f>HYPERLINK("https://rosaryplanthouse.com/plant/"&amp;A308&amp;"-"&amp;SUBSTITUTE(LOWER(E308), " ", "-"))</f>
        <v/>
      </c>
      <c r="W308" t="inlineStr">
        <is>
          <t>🟢 Echeveria 'Pink Pearl' (ID: 307)  
🌸 Add a touch of elegance to your plant collection with the stunning Pink Pearl Echeveria! This succulent's beautiful rosette-shaped leaves showcase a captivating blend of soft gray-green hues with delightful pink to red edges. 🌿✨  
🌼 **About the Plant:**  
Originally developed in Germany, this hybrid beauty belongs to the Echeveria family, thriving in dry, rocky terrains. It’s not just a pretty face; the Pink Pearl Echeveria is also designed to flourish in your home with minimal care!  
📝 **Key Details:**  
- **Watering:** Low frequency, every 10-14 days  
- **Sunlight:** Prefers 4-6 hours of direct sunlight for vibrant colors  
- **Humidity:** Thrives in low to moderate humidity  
🌱 Want to bring this beauty home? Check the 'Link in bio'!  
#Echeveria #PinkPearl #SucculentLove #PlantParenthood #HomeDecor #IndoorPlants #GreenThumb #PlantGoals #RosaryPlantHouse #SucculentCollection #PlantLovers #GardeningLife #HousePlants #UrbanJungle #PlantAddict 🌿💖</t>
        </is>
      </c>
    </row>
    <row r="309" ht="99.5" customHeight="1">
      <c r="A309" s="94" t="n">
        <v>308</v>
      </c>
      <c r="B309" s="66" t="inlineStr">
        <is>
          <t>Ladyfinger Cactus</t>
        </is>
      </c>
      <c r="C309" s="74">
        <f>IF(Local!H309,"1","0")</f>
        <v/>
      </c>
      <c r="D309" s="75" t="n">
        <v>79</v>
      </c>
      <c r="E309" s="66" t="inlineStr">
        <is>
          <t>Mammillaria elongata</t>
        </is>
      </c>
      <c r="F309" s="76">
        <f>"public/sale_plants/"&amp;A309&amp;".jpg"</f>
        <v/>
      </c>
      <c r="G309" s="77" t="inlineStr">
        <is>
          <t>(2"-3")</t>
        </is>
      </c>
      <c r="H309" s="95" t="inlineStr">
        <is>
          <t>Low</t>
        </is>
      </c>
      <c r="I309" s="66" t="inlineStr">
        <is>
          <t>Low</t>
        </is>
      </c>
      <c r="J309" s="66" t="inlineStr">
        <is>
          <t>High</t>
        </is>
      </c>
      <c r="K309" s="85" t="n">
        <v>120</v>
      </c>
      <c r="L309" s="81" t="inlineStr">
        <is>
          <t>Echeveria</t>
        </is>
      </c>
      <c r="M309" s="81" t="n">
        <v>0</v>
      </c>
      <c r="N309" s="80" t="n">
        <v>0</v>
      </c>
      <c r="O309" s="81" t="n">
        <v>0</v>
      </c>
      <c r="P309" s="80" t="n">
        <v>0</v>
      </c>
      <c r="Q309" s="81">
        <f>IF(Local!I309=TRUE,1,0)</f>
        <v/>
      </c>
      <c r="R309" s="81">
        <f>Local!D309</f>
        <v/>
      </c>
      <c r="S309" s="81">
        <f>Local!F309</f>
        <v/>
      </c>
      <c r="T309" s="81">
        <f>Local!G309</f>
        <v/>
      </c>
      <c r="U309" s="83" t="inlineStr">
        <is>
          <t>## About
The Ladyfinger Cactus is a charming, small cactus with cylindrical stems covered in soft white or golden spines. It grows in clusters and is popular among cactus collectors for its easy care and beautiful appearance. This cactus produces lovely small flowers in spring, adding a delicate touch to its spiny character.
## Origin
The Ladyfinger Cactus is native to central Mexico, where it grows in rocky, arid regions. It is naturally adapted to hot, dry climates with intense sunlight and minimal rainfall. This makes it an excellent choice for Indian homes, especially in hot and dry regions.
## Temperature &amp; Humidity
- **Temperature Range:** 15Â°C to 35Â°C
- **Humidity:** Prefers low to moderate humidity levels (30% to 50%). This cactus thrives in dry conditions and does not require high humidity. It can tolerate the hot, dry summers common in many parts of India.
## Growth
The Ladyfinger Cactus is a slow-growing plant that typically reaches 10 to 15 cm in height and spreads about 15 to 20 cm wide as it forms clusters. Each stem is finger-like, hence the common name. Over time, the plant will produce offsets (baby plants) that grow around the base, creating a fuller, bushier appearance. Growth is most active during the warmer months.
## Watering
- **Frequency:** Once every two weeks depending on season and weather conditions. In monsoon or cooler months, reduce watering to once every three to four weeks.
- **Tips:** Always allow the soil to dry out completely between waterings. Overwatering is the most common cause of problems with cacti. Water less in winter when the plant is dormant. Use the soak-and-dry method: water thoroughly until it drains out, then wait until the soil is bone dry before watering again. Avoid getting water on the plant body to prevent rot.
## Sunlight
- **Hours per day:** 4 to 6 hours
- **Type:** Direct sunlight. This cactus loves bright, direct sunlight. Place it on a sunny windowsill, balcony, or terrace where it can receive morning or late afternoon sun. In extremely hot regions (above 40Â°C), provide some light shade during peak afternoon hours to prevent sunburn.
## Care Tips
- Keep the plant in a well-ventilated area to prevent fungal issues, especially during humid monsoon months.
- Rotate the pot every few weeks so all sides receive equal sunlight and the plant grows evenly.
- Avoid placing it in air-conditioned rooms for long periods, as sudden temperature changes can stress the plant.
- During the monsoon season, reduce watering significantly or stop altogether if the plant is outdoors and receiving rain.
- Clean dust off the spines gently with a soft brush to keep the plant healthy and looking its best.
## Growth Tips
- Use a well-draining cactus or succulent potting mix. You can make your own by mixing regular soil with coarse sand and perlite in a 1:1:1 ratio.
- Add a layer of small stones or gravel at the bottom of the pot to improve drainage.
- Fertilize sparinglyâ€”once during the growing season (spring or early summer) with a diluted cactus fertilizer or half-strength balanced liquid fertilizer.
- Repot every 2 to 3 years in spring, or when the plant has outgrown its pot. Use a slightly larger pot with drainage holes.
- The plant produces offsets that can be gently removed and replanted to propagate new plants.
## Common Problems
- **Soft, mushy stems:** Caused by overwatering or poor drainage. Reduce watering immediately and ensure the pot has good drainage.
- **Yellowing or browning:** May indicate too much water, root rot, or lack of sunlight. Check roots for rot and adjust care accordingly.
- **Shriveling or wrinkling:** Usually a sign of underwatering. Give the plant a good soak and resume regular watering schedule.
- **Pests:** Watch for mealybugs and scale insects, which appear as white cottony masses or brown bumps. Remove with a cotton swab dipped in rubbing alcohol.
- **Sunburn:** Brown or white patches on the skin indicate too much intense direct sun. Move to a location with filtered light during the hottest part of the day.
- **No flowers:** Lack of sunlight or insufficient cold period in winter can prevent blooming. Ensure the plant gets enough light and a cooler rest period in winter.</t>
        </is>
      </c>
      <c r="V309" s="98">
        <f>HYPERLINK("https://rosaryplanthouse.com/plant/"&amp;A309&amp;"-"&amp;SUBSTITUTE(LOWER(E309), " ", "-"))</f>
        <v/>
      </c>
      <c r="W309" t="inlineStr">
        <is>
          <t>🟢 Ladyfinger Cactus (ID: 308)
🌵 Meet the charming Ladyfinger Cactus, your new green companion! With its unique cylindrical stems and soft spines, this beauty will steal the spotlight in any space. 
✨ About: Native to the rocky terrains of central Mexico, the Ladyfinger Cactus flourishes in bright sunlight and low humidity. It’s not just stunning; it's also incredibly easy to care for! Watch as it produces delightful small flowers in spring, adding a splash of color to its spiny silhouette.
🌞 Key Details:
- 🌿 **Watering:** Low; water every two weeks, allowing soil to dry completely.
- ☀️ **Sunlight:** Thrives in direct sunlight (4-6 hours daily).
- 🌡️ **Temperature:** Prefers 15°C to 35°C, ideal for warm environments.
Ready to bring this resilient beauty home? 🌱 Link in bio!
#LadyfingerCactus #MammillariaElongata #CactusLover #PlantParent #GreenThumb #Succulent #HomeDecor #IndoorJungle #PlantAddict #RosaryPlantHouse #PlantsOfInstagram #NatureLovers #CactusCollection</t>
        </is>
      </c>
    </row>
    <row r="310" ht="99.5" customHeight="1">
      <c r="A310" s="94" t="n">
        <v>309</v>
      </c>
      <c r="B310" s="66" t="inlineStr">
        <is>
          <t>Watch Chain Succulent</t>
        </is>
      </c>
      <c r="C310" s="74">
        <f>IF(Local!H310,"1","0")</f>
        <v/>
      </c>
      <c r="D310" s="75" t="n">
        <v>79</v>
      </c>
      <c r="E310" s="66" t="inlineStr">
        <is>
          <t>Crassula muscosa (Crassula lycopodioides)</t>
        </is>
      </c>
      <c r="F310" s="76">
        <f>"public/sale_plants/"&amp;A310&amp;".jpg"</f>
        <v/>
      </c>
      <c r="G310" s="77" t="inlineStr">
        <is>
          <t>(2"-3")</t>
        </is>
      </c>
      <c r="H310" s="95" t="inlineStr">
        <is>
          <t>Low</t>
        </is>
      </c>
      <c r="I310" s="66" t="inlineStr">
        <is>
          <t>Low</t>
        </is>
      </c>
      <c r="J310" s="66" t="inlineStr">
        <is>
          <t>Medium</t>
        </is>
      </c>
      <c r="K310" s="85" t="n">
        <v>120</v>
      </c>
      <c r="L310" s="81" t="inlineStr">
        <is>
          <t>Echeveria</t>
        </is>
      </c>
      <c r="M310" s="81" t="n">
        <v>0</v>
      </c>
      <c r="N310" s="80" t="n">
        <v>0</v>
      </c>
      <c r="O310" s="81" t="n">
        <v>0</v>
      </c>
      <c r="P310" s="80" t="n">
        <v>0</v>
      </c>
      <c r="Q310" s="81">
        <f>IF(Local!I310=TRUE,1,0)</f>
        <v/>
      </c>
      <c r="R310" s="81">
        <f>Local!D310</f>
        <v/>
      </c>
      <c r="S310" s="81">
        <f>Local!F310</f>
        <v/>
      </c>
      <c r="T310" s="81">
        <f>Local!G310</f>
        <v/>
      </c>
      <c r="U310" s="83" t="inlineStr">
        <is>
          <t>## About
The Watch Chain Succulent is a unique and attractive plant with tightly packed, scale-like leaves arranged in four neat rows along its stems. This small, branching succulent gets its common name from its resemblance to a watch chain or zipper, making it a popular choice among succulent collectors.
## Origin
This plant is native to South Africa and Namibia, where it grows naturally in rocky, dry areas. It belongs to the Crassula family, which includes many popular succulent varieties well-suited to warm climates like India.
## Temperature &amp; Humidity
- **Temperature Range:** 15Â°C to 35Â°C
- **Humidity:** Prefers low to moderate humidity levels (30% to 50%). This plant adapts well to Indian climate conditions and can tolerate both dry and slightly humid environments.
## Growth
Watch Chain Succulent is a slow to moderate grower that typically reaches 15 to 30 cm in height. It produces upright or slightly sprawling stems that branch out as the plant matures. The compact, dense foliage creates an interesting texture in any succulent arrangement. The plant stays relatively small, making it perfect for small pots and indoor displays.
## Watering
- **Frequency:** Once every two weeks depending on other parameters like season, temperature, and pot drainage. During Indian monsoon season, reduce watering significantly.
- **Tips:** Always let the soil dry out completely between waterings. Water less in winter months (once every 3-4 weeks). Check soil moisture by inserting your finger 2-3 cm deep - if dry, then water. Overwatering is the biggest threat to this plant. Use the "soak and dry" method - water thoroughly until water drains from the bottom, then wait until soil is completely dry before watering again.
## Sunlight
- **Hours per day:** 4 to 6 hours
- **Type:** Bright indirect light is ideal. Can tolerate 2-3 hours of direct morning sunlight, but protect from harsh afternoon sun which can scorch the leaves.
## Care Tips
- Place near an east-facing window for best results in Indian homes
- During hot Indian summers (April-June), provide shade during peak afternoon hours (12 PM to 4 PM)
- Good air circulation is important - avoid placing in closed, stuffy corners
- The plant can stay outdoors in covered balconies or verandas where it gets filtered light
- Dust the stems gently with a soft brush occasionally to keep them clean
- In winter months, reduce watering drastically as the plant enters a semi-dormant phase
- Use terracotta pots as they allow better air circulation and faster soil drying
## Growth Tips
- Use well-draining cactus or succulent soil mix. You can make your own by mixing regular potting soil with coarse sand and perlite in equal parts
- Add small pieces of brick or pumice to improve drainage further
- Fertilize very sparingly - once every 2-3 months during growing season (spring and early monsoon) with diluted liquid succulent fertilizer at half strength
- Repot every 2-3 years in spring when the plant outgrows its pot
- Choose a pot only slightly larger than the current one, with drainage holes at the bottom
- Propagation is easy through stem cuttings - let cuttings dry for 2-3 days before planting in dry soil
## Common Problems
- **Yellow, mushy stems:** Caused by overwatering or poor drainage. Reduce watering immediately and check if pot has proper drainage
- **Brown, crispy leaf tips:** Too much direct sunlight or heat stress. Move to a shadier location with filtered light
- **Stretched, leggy growth:** Insufficient light. Move the plant to a brighter location
- **No growth or slow growth:** Normal for this species, but can also indicate nutrient deficiency. Apply diluted fertilizer during growing season
- **Root rot:** Black or brown mushy roots caused by overwatering or sitting in waterlogged soil. Remove affected parts and repot in fresh, dry soil
- **Mealybugs:** White cottony pests in leaf joints. Remove with cotton swab dipped in rubbing alcohol
- **Stem becoming soft at base:** Sign of rot from excessive moisture. Cut healthy portions and propagate, discard affected parts</t>
        </is>
      </c>
      <c r="V310" s="98">
        <f>HYPERLINK("https://rosaryplanthouse.com/plant/"&amp;A310&amp;"-"&amp;SUBSTITUTE(LOWER(E310), " ", "-"))</f>
        <v/>
      </c>
      <c r="W310" t="inlineStr">
        <is>
          <t>🟢 Crassula muscosa (ID: 309)
🌿 Meet the stunning Watch Chain Succulent! This unique beauty, with its tightly packed, scale-like leaves, is perfect for adding texture and charm to your plant collection. 
✨ Native to the rocky terrains of South Africa and Namibia, this branching succulent closely resembles a watch chain or zipper, making it a favorite among succulent enthusiasts. 
🌞 **Key Details:**
- **Watering:** Low – Water every two weeks; let soil dry completely between watering.
- **Sunlight:** Medium – Prefers bright indirect light; can handle a bit of morning sun.
- **Growth:** Slow to moderate – Stays compact, perfect for small spaces.
💚 Ready to elevate your plant game? Check out the Watch Chain Succulent – link in bio!
#WatchChainSucculent #CrassulaMuscosa #SucculentLove #IndoorPlants #PlantParent #GreenThumb #PlantCollection #Houseplants #Echeveria #RosaryPlantHouse #PlantLovers #SucculentCare #HomeDecor #NatureInspo</t>
        </is>
      </c>
    </row>
    <row r="311" ht="99.5" customHeight="1">
      <c r="A311" s="94" t="n">
        <v>310</v>
      </c>
      <c r="B311" s="66" t="inlineStr">
        <is>
          <t>Zebra Haworthia</t>
        </is>
      </c>
      <c r="C311" s="74">
        <f>IF(Local!H311,"1","0")</f>
        <v/>
      </c>
      <c r="D311" s="75" t="n">
        <v>79</v>
      </c>
      <c r="E311" s="66" t="inlineStr">
        <is>
          <t>Haworthiopsis attenuata</t>
        </is>
      </c>
      <c r="F311" s="76">
        <f>"public/sale_plants/"&amp;A311&amp;".jpg"</f>
        <v/>
      </c>
      <c r="G311" s="77" t="inlineStr">
        <is>
          <t>(2"-3")</t>
        </is>
      </c>
      <c r="H311" s="95" t="inlineStr">
        <is>
          <t>Low</t>
        </is>
      </c>
      <c r="I311" s="66" t="inlineStr">
        <is>
          <t>Low</t>
        </is>
      </c>
      <c r="J311" s="66" t="inlineStr">
        <is>
          <t>Medium</t>
        </is>
      </c>
      <c r="K311" s="85" t="n">
        <v>120</v>
      </c>
      <c r="L311" s="81" t="inlineStr">
        <is>
          <t>Echeveria</t>
        </is>
      </c>
      <c r="M311" s="81" t="n">
        <v>0</v>
      </c>
      <c r="N311" s="80" t="n">
        <v>0</v>
      </c>
      <c r="O311" s="81" t="n">
        <v>0</v>
      </c>
      <c r="P311" s="80" t="n">
        <v>0</v>
      </c>
      <c r="Q311" s="81">
        <f>IF(Local!I311=TRUE,1,0)</f>
        <v/>
      </c>
      <c r="R311" s="81">
        <f>Local!D311</f>
        <v/>
      </c>
      <c r="S311" s="81">
        <f>Local!F311</f>
        <v/>
      </c>
      <c r="T311" s="81">
        <f>Local!G311</f>
        <v/>
      </c>
      <c r="U311" s="83" t="inlineStr">
        <is>
          <t>## About
The Zebra Haworthia is a small, attractive succulent with dark green leaves covered in white horizontal stripes that look like zebra patterns. This slow-growing plant is perfect for beginners and is one of the most popular indoor succulents in India due to its low maintenance needs and striking appearance.
## Origin
Native to South Africa, this plant grows naturally in rocky, semi-shaded areas. It is adapted to survive in dry conditions with minimal water, making it an excellent choice for Indian homes where forgetful watering is common.
## Temperature &amp; Humidity
- **Temperature Range:** 15Â°C to 35Â°C
- **Humidity:** Low to moderate humidity (30% to 50%). This plant is very adaptable and can handle the dry indoor air of air-conditioned rooms as well as the humid conditions during Indian monsoons.
## Growth
Zebra Haworthia is a compact plant that typically grows 10-15 cm tall and spreads about 10 cm wide. It grows slowly and produces offsets (baby plants) around the base over time. The rosette shape is tight and symmetrical, making it perfect for small pots and desk decoration. It stays small throughout its life, which is ideal for limited indoor spaces.
## Watering
- **Frequency:** Once every 10-14 days depending on season and weather conditions. During monsoon, reduce watering significantly. In summer, you may need to water once a week depending on other parameters.
- **Tips:** Water only when the soil is completely dry. Always check by inserting your finger 2-3 cm into the soil. Water less in winter and rainy season. Avoid getting water on the leaves to prevent rot. Use the soak-and-dry methodâ€”water thoroughly until it drains out, then wait until soil is dry again.
## Sunlight
- **Hours per day:** 3 to 4 hours
- **Type:** Bright indirect light or filtered morning sunlight. Avoid harsh afternoon sun which can burn the leaves and turn them brown or red. East-facing windowsills work perfectly in Indian homes.
## Care Tips
- Keep away from intense afternoon sun, especially during Indian summers (April-June)
- Protect from heavy rain during monsoonâ€”bring pots under shelter
- Clean dust off leaves gently with a soft brush every few weeks
- Ensure pots have drainage holes to prevent waterlogging
- This plant thrives on neglectâ€”don't fuss over it too much
- Perfect for air-conditioned offices and bedrooms
- Keep away from areas with constant dampness
## Growth Tips
- Use well-draining cactus or succulent soil mix. Add cocopeat, sand, and perlite for better drainage
- Fertilize sparinglyâ€”once every 2-3 months during growing season (spring and autumn) with diluted liquid fertilizer
- Repot only when the plant outgrows its pot, usually every 2-3 years
- Use terracotta or ceramic pots which allow soil to breathe and dry faster
- Remove offsets to propagate new plants or leave them to form a cluster
- Avoid heavy, water-retaining soils like garden soil
## Common Problems
- **Brown or red leaves:** Too much direct sunlight. Move to a shadier spot
- **Soft, mushy leaves:** Overwatering or root rot. Reduce watering immediately and check roots
- **Leaf tips turning brown:** Underwatering or too much fertilizer
- **Stretched, pale leaves:** Not enough light. Move closer to a window
- **Mealybugs (white cottony pests):** Common in Indian climate. Remove with cotton swab dipped in rubbing alcohol
- **Slow or no growth:** Normal for this plant. Be patient and avoid over-fertilizing
- **Leaves turning yellow:** Usually overwatering or poor drainage</t>
        </is>
      </c>
      <c r="V311" s="98">
        <f>HYPERLINK("https://rosaryplanthouse.com/plant/"&amp;A311&amp;"-"&amp;SUBSTITUTE(LOWER(E311), " ", "-"))</f>
        <v/>
      </c>
      <c r="W311" t="inlineStr">
        <is>
          <t>🟢 Haworthiopsis Attenuata (ID: 310)
🌿 Get ready to add a touch of unique beauty to your space with the stunning Zebra Haworthia! 🦓 This little gem is not just a feast for the eyes but also a breeze to care for. 
🏡 The Zebra Haworthia boasts striking dark green leaves adorned with captivating white stripes, reminiscent of a zebra's pattern. Native to the rocky landscapes of South Africa, this succulent thrives on neglect, making it the perfect choice for busy plant parents and beginners alike! 
✨ **Key Details:**
- 🌱 Low watering needs – just once every 10-14 days!
- ☀️ Loves bright, indirect light for 3-4 hours daily.
- 🌡️ Adapts well to a range of temperatures (15°C to 35°C).
Don’t miss out on bringing home this delightful plant! 🌱✨ Link in bio.
#ZebraHaworthia #HaworthiopsisAttenuata #SucculentLove #PlantParenthood #IndoorPlants #LowMaintenancePlants #PlantAddict #HouseplantClub #GreenThumb #RosaryPlantHouse</t>
        </is>
      </c>
    </row>
    <row r="312" ht="99.5" customHeight="1">
      <c r="A312" s="94" t="n">
        <v>311</v>
      </c>
      <c r="B312" s="66" t="inlineStr">
        <is>
          <t>Black Prince Succulent</t>
        </is>
      </c>
      <c r="C312" s="74">
        <f>IF(Local!H312,"1","0")</f>
        <v/>
      </c>
      <c r="D312" s="75" t="n">
        <v>79</v>
      </c>
      <c r="E312" s="66" t="inlineStr">
        <is>
          <t>Echeveria 'Black Prince'</t>
        </is>
      </c>
      <c r="F312" s="76">
        <f>"public/sale_plants/"&amp;A312&amp;".jpg"</f>
        <v/>
      </c>
      <c r="G312" s="77" t="inlineStr">
        <is>
          <t>(2"-3")</t>
        </is>
      </c>
      <c r="H312" s="95" t="inlineStr">
        <is>
          <t>Low</t>
        </is>
      </c>
      <c r="I312" s="66" t="inlineStr">
        <is>
          <t>Low</t>
        </is>
      </c>
      <c r="J312" s="66" t="inlineStr">
        <is>
          <t>High</t>
        </is>
      </c>
      <c r="K312" s="85" t="n">
        <v>120</v>
      </c>
      <c r="L312" s="81" t="inlineStr">
        <is>
          <t>Echeveria</t>
        </is>
      </c>
      <c r="M312" s="81" t="n">
        <v>0</v>
      </c>
      <c r="N312" s="80" t="n">
        <v>0</v>
      </c>
      <c r="O312" s="81" t="n">
        <v>0</v>
      </c>
      <c r="P312" s="80" t="n">
        <v>0</v>
      </c>
      <c r="Q312" s="81">
        <f>IF(Local!I312=TRUE,1,0)</f>
        <v/>
      </c>
      <c r="R312" s="81">
        <f>Local!D312</f>
        <v/>
      </c>
      <c r="S312" s="81">
        <f>Local!F312</f>
        <v/>
      </c>
      <c r="T312" s="81">
        <f>Local!G312</f>
        <v/>
      </c>
      <c r="U312" s="83" t="inlineStr">
        <is>
          <t>## About
The Black Prince is a stunning succulent with beautiful deep burgundy to almost black-colored leaves that form a rosette shape. This eye-catching plant is popular among succulent collectors for its dramatic dark coloring and compact growth habit. It's a hybrid Echeveria that adds a bold statement to any plant collection.
## Origin
The Black Prince Echeveria is a cultivated hybrid, originally developed through selective breeding of Echeveria species. While the parent plants are native to Mexico and Central America, this particular variety was created by plant breeders. The parent species naturally grow in rocky, dry regions with plenty of sunlight.
## Temperature &amp; Humidity
- **Temperature Range:** 15Â°C to 35Â°C (can tolerate brief drops to 10Â°C but not frost)
- **Humidity:** Low to moderate humidity (30% to 50%). This plant prefers dry conditions and does well in typical Indian household humidity levels. Avoid placing in overly humid areas.
## Growth
The Black Prince grows as a compact rosette, typically reaching 8-15 cm in height and width. It's a slow to moderate grower that maintains its neat rosette shape throughout its life. The plant may produce offsets (baby plants) around the base, which can be separated to propagate new plants. The leaves are thick, fleshy, and pointed, arranged in a beautiful symmetrical pattern. The darkest coloring develops when the plant receives plenty of bright light.
## Watering
- **Frequency:** Water once every 10-15 days depending on season and weather conditions. Water less in winter and monsoon, slightly more in hot summer months.
- **Tips:** Always allow the soil to dry out completely between waterings. Water thoroughly until water drains from the bottom, then empty the saucer. Avoid getting water on the leaves or in the center of the rosette as this can cause rot. During monsoon season, reduce watering significantly. The leaves will wrinkle slightly when the plant needs water.
## Sunlight
- **Hours per day:** 4 to 6 hours
- **Type:** Direct morning sunlight is best, with protection from harsh afternoon sun. In Indian conditions, provide bright direct light in winter, but some shade during peak summer afternoons (12 PM to 4 PM) to prevent leaf burn.
## Care Tips
- **Protect from monsoon rains** â€“ excess water can cause root rot very quickly
- **Move outdoors gradually** â€“ if shifting from indoor to outdoor, do it slowly to prevent sunburn
- **Best color develops in bright light** â€“ more sun means darker, richer coloring
- **Avoid overwatering in humid months** â€“ Indian summers and monsoons can be tricky; reduce watering frequency
- **Good air circulation** is important to prevent fungal issues
- **Keep away from frost** in North Indian winters if temperatures drop below 10Â°C
## Growth Tips
- **Soil:** Use a well-draining cactus or succulent mix. Add extra perlite, coarse sand, or pumice (30-40% of mix) to improve drainage
- **Pot:** Always use pots with drainage holes. Terracotta pots work best as they allow soil to dry faster
- **Fertilizer:** Feed once every 2-3 months during growing season (spring and autumn) with diluted liquid succulent fertilizer at half strength
- **Repotting:** Repot every 2-3 years in spring, or when the plant outgrows its pot
- **Propagation:** Easy to propagate from leaf cuttings or offsets
## Common Problems
- **Leaves turning green or losing dark color** â€“ Not enough sunlight; move to a brighter location
- **Soft, mushy leaves or stems** â€“ Overwatering or root rot; reduce watering immediately and check roots
- **Stretched, elongated growth (etiolation)** â€“ Insufficient light; the plant is reaching for more sun
- **Brown, crispy leaf tips** â€“ Sunburn from too much harsh direct light, especially afternoon sun
- **Mealybugs** â€“ White cottony pests in leaf crevices; treat with neem oil or isopropyl alcohol
- **Shriveled, wrinkled leaves** â€“ Underwatering; give the plant a thorough drink
- **Black spots on leaves** â€“ Fungal infection from excess moisture or humidity; improve air circulation</t>
        </is>
      </c>
      <c r="V312" s="98">
        <f>HYPERLINK("https://rosaryplanthouse.com/plant/"&amp;A312&amp;"-"&amp;SUBSTITUTE(LOWER(E312), " ", "-"))</f>
        <v/>
      </c>
      <c r="W312" t="inlineStr">
        <is>
          <t>🟢 Echeveria 'Black Prince' (ID: 311)
🌿 **Unleash the Dark Beauty!** 🌿
Step into the captivating world of the Black Prince Succulent! With its stunning deep burgundy to almost black leaves, this rosette-shaped beauty makes a bold statement in any plant collection. 🌑✨ Perfect for both seasoned collectors and novice plant parents, it thrives in bright light, adding an eye-catching touch to your space.
📝 **Key Details:**
- 🌞 **Sunlight:** Loves 4-6 hours of direct morning sun
- 💧 **Watering:** Low maintenance; every 10-15 days
- 🌬️ **Humidity:** Prefers low to moderate levels
Ready to elevate your plant game? 🌱 Click the **Link in bio** to explore more about the Black Prince and bring this stunning succulent home!
#Echeveria #BlackPrince #SucculentLove #PlantCollection #HomeDecor #IndoorPlants #PlantParent #SucculentCare #GreenThumb #RosaryPlantHouse #PlantAddict #PlantStyling 🌿✨</t>
        </is>
      </c>
    </row>
    <row r="313" ht="99.5" customHeight="1">
      <c r="A313" s="94" t="n">
        <v>312</v>
      </c>
      <c r="B313" s="66" t="inlineStr">
        <is>
          <t>Torch Aloe</t>
        </is>
      </c>
      <c r="C313" s="74">
        <f>IF(Local!H313,"1","0")</f>
        <v/>
      </c>
      <c r="D313" s="75" t="n">
        <v>79</v>
      </c>
      <c r="E313" s="66" t="inlineStr">
        <is>
          <t>Aloe aristata</t>
        </is>
      </c>
      <c r="F313" s="76">
        <f>"public/sale_plants/"&amp;A313&amp;".jpg"</f>
        <v/>
      </c>
      <c r="G313" s="77" t="inlineStr">
        <is>
          <t>(2"-3")</t>
        </is>
      </c>
      <c r="H313" s="95" t="inlineStr">
        <is>
          <t>Low</t>
        </is>
      </c>
      <c r="I313" s="66" t="inlineStr">
        <is>
          <t>Low</t>
        </is>
      </c>
      <c r="J313" s="66" t="inlineStr">
        <is>
          <t>Medium</t>
        </is>
      </c>
      <c r="K313" s="85" t="n">
        <v>120</v>
      </c>
      <c r="L313" s="81" t="inlineStr">
        <is>
          <t>Echeveria</t>
        </is>
      </c>
      <c r="M313" s="81" t="n">
        <v>0</v>
      </c>
      <c r="N313" s="80" t="n">
        <v>0</v>
      </c>
      <c r="O313" s="81" t="n">
        <v>0</v>
      </c>
      <c r="P313" s="80" t="n">
        <v>0</v>
      </c>
      <c r="Q313" s="81">
        <f>IF(Local!I313=TRUE,1,0)</f>
        <v/>
      </c>
      <c r="R313" s="81">
        <f>Local!D313</f>
        <v/>
      </c>
      <c r="S313" s="81">
        <f>Local!F313</f>
        <v/>
      </c>
      <c r="T313" s="81">
        <f>Local!G313</f>
        <v/>
      </c>
      <c r="U313" s="83" t="inlineStr">
        <is>
          <t>## About
Torch Aloe is a small, attractive succulent plant with thick triangular leaves arranged in a spiral rosette pattern. The leaves have white spots and soft white teeth along the edges, giving it a decorative appearance. This plant is popular among beginners because it is easy to grow and maintain.
## Origin
Torch Aloe is native to South Africa, where it grows naturally in rocky, mountainous areas. It is adapted to dry conditions and can survive in poor soil with minimal water. The plant has been cultivated worldwide as a popular ornamental succulent.
## Temperature &amp; Humidity
- **Temperature Range:** 15Â°C to 35Â°C
- **Humidity:** This plant prefers low to moderate humidity levels, typically between 30% to 50%. It can tolerate the varying humidity conditions found across different regions of India, from dry to moderately humid climates.
## Growth
Torch Aloe is a slow-growing plant that typically reaches 15 to 20 centimeters in height and spread. It forms compact rosettes that can produce offsets or "pups" around the base, creating small clusters over time. The plant maintains a neat, upright form and doesn't spread aggressively, making it perfect for small pots and indoor spaces.
## Watering
- **Frequency:** Once every two weeks depending on season and weather conditions. During monsoon or winter, water less frequently.
- **Tips:** Allow the soil to dry out completely between waterings. Overwatering is the most common cause of problems with this plant. Water less during winter months when the plant is dormant. Always water the soil directly and avoid getting water in the center of the rosette to prevent rot. Use the "soak and dry" method - water thoroughly until it drains from the bottom, then wait until soil is completely dry.
## Sunlight
- **Hours per day:** 4 to 6 hours
- **Type:** Bright indirect light or filtered morning sunlight. Can tolerate a few hours of direct morning sun, but protect from harsh afternoon sun which can cause the leaves to turn brown or red.
## Care Tips
- Place near a bright window if growing indoors, preferably an east-facing window for gentle morning light
- Protect from intense afternoon sun during Indian summers (March to June) as it can scorch the leaves
- During monsoon season, reduce watering significantly and ensure good air circulation to prevent fungal issues
- The plant is relatively pest-resistant but keep an eye out for mealybugs in leaf crevices
- Clean dust from leaves occasionally with a soft brush to help the plant photosynthesize better
- Can be grown outdoors in shaded areas or on covered balconies across most Indian cities
## Growth Tips
- Use a well-draining cactus or succulent potting mix, or make your own with regular soil, cocopeat, and sand in equal parts
- Add perlite or small stones to improve drainage
- Choose a pot with drainage holes to prevent water accumulation
- Fertilize once every 2-3 months during the growing season (spring and summer) with a diluted succulent fertilizer
- Repot every 2-3 years or when the plant becomes root-bound
- When repotting, gently separate and plant the offsets to propagate new plants
- Use terracotta pots as they allow soil to dry faster than plastic pots
## Common Problems
- **Brown or soft leaves:** Sign of overwatering or root rot. Reduce watering frequency and check if soil has proper drainage
- **Leaves turning red or brown:** Too much direct sunlight. Move to a location with filtered light
- **Stretched or elongated growth:** Not enough light. Move the plant to a brighter location
- **Mealybugs (white cottony clusters):** Common pest that hides between leaves. Remove with cotton swab dipped in rubbing alcohol
- **Shriveled leaves:** Underwatering. While the plant is drought-tolerant, it still needs water every couple of weeks
- **No growth or flowers:** May need more light or fertilizer. Ensure the plant gets adequate bright light to encourage blooming</t>
        </is>
      </c>
      <c r="V313" s="98">
        <f>HYPERLINK("https://rosaryplanthouse.com/plant/"&amp;A313&amp;"-"&amp;SUBSTITUTE(LOWER(E313), " ", "-"))</f>
        <v/>
      </c>
      <c r="W313" t="inlineStr">
        <is>
          <t>🟢 Torch Aloe (ID: 312)
🌿 Brighten up your space with the stunning Torch Aloe! This charming succulent is not just a feast for the eyes but also a breeze to care for. Perfect for both plant novices and seasoned collectors alike, it’s time to add this beauty to your indoor garden! 
🌱 **About the Plant:** 
The Torch Aloe features thick, triangular leaves that form a striking spiral rosette, complete with white spots and soft, tooth-like edges. Native to the rocky terrains of South Africa, it's designed to thrive in low-water conditions, making it an ideal choice for those with busy lifestyles. 
✨ **Key Details:**
- **Watering:** Low, every two weeks
- **Sunlight:** Prefers medium light for optimal growth
- **Growth:** Slow-growing, compact rosettes that can produce offsets over time
- **Care Tips:** Perfect for bright windows, protect from harsh afternoon sun
👉 Ready to bring home this low-maintenance gem? **Link in bio** to shop now! 
#TorchAloe #AloeAristata #SucculentLove #PlantParenthood #IndoorGardening #SucculentCare #RosaryPlantHouse #Houseplants #GreenThumb #PlantCollection #PlantAddict #SucculentsOfInstagram #HomeDecor #PlantGoals #BotanicalBeauty 🌿✨</t>
        </is>
      </c>
    </row>
    <row r="314" ht="99.5" customHeight="1">
      <c r="A314" s="94" t="n">
        <v>313</v>
      </c>
      <c r="B314" s="66" t="inlineStr">
        <is>
          <t>Jelly Bean Plant</t>
        </is>
      </c>
      <c r="C314" s="74">
        <f>IF(Local!H314,"1","0")</f>
        <v/>
      </c>
      <c r="D314" s="75" t="n">
        <v>79</v>
      </c>
      <c r="E314" s="66" t="inlineStr">
        <is>
          <t>Sedum rubrotinctum</t>
        </is>
      </c>
      <c r="F314" s="76">
        <f>"public/sale_plants/"&amp;A314&amp;".jpg"</f>
        <v/>
      </c>
      <c r="G314" s="77" t="inlineStr">
        <is>
          <t>(2"-3")</t>
        </is>
      </c>
      <c r="H314" s="95" t="inlineStr">
        <is>
          <t>Low</t>
        </is>
      </c>
      <c r="I314" s="66" t="inlineStr">
        <is>
          <t>Low</t>
        </is>
      </c>
      <c r="J314" s="66" t="inlineStr">
        <is>
          <t>High</t>
        </is>
      </c>
      <c r="K314" s="85" t="n">
        <v>120</v>
      </c>
      <c r="L314" s="81" t="inlineStr">
        <is>
          <t>Echeveria</t>
        </is>
      </c>
      <c r="M314" s="81" t="n">
        <v>0</v>
      </c>
      <c r="N314" s="80" t="n">
        <v>0</v>
      </c>
      <c r="O314" s="81" t="n">
        <v>0</v>
      </c>
      <c r="P314" s="80" t="n">
        <v>0</v>
      </c>
      <c r="Q314" s="81">
        <f>IF(Local!I314=TRUE,1,0)</f>
        <v/>
      </c>
      <c r="R314" s="81">
        <f>Local!D314</f>
        <v/>
      </c>
      <c r="S314" s="81">
        <f>Local!F314</f>
        <v/>
      </c>
      <c r="T314" s="81">
        <f>Local!G314</f>
        <v/>
      </c>
      <c r="U314" s="83" t="inlineStr">
        <is>
          <t>## About
The Jelly Bean Plant is a charming succulent with plump, bean-shaped leaves that look like colorful candies. This adorable plant gets its name from its chubby leaves that resemble jelly beans, turning beautiful shades of red, pink, and bronze when exposed to bright sunlight. The plant produces cheerful yellow star-shaped flowers, making it a delightful addition to any plant collection.
## Origin
The Jelly Bean Plant is native to Mexico, where it grows naturally in rocky, dry areas with plenty of sunshine. It belongs to the Crassulaceae family and thrives in warm climates similar to many parts of India.
## Temperature &amp; Humidity
- **Temperature Range:** 15Â°C to 35Â°C
- **Humidity:** Low to moderate humidity (30% to 50%). This plant prefers drier conditions and does not need high humidity. It adapts well to the dry seasons in most parts of India.
## Growth
This is a small, compact succulent that grows in a bushy, clustered form. Each stem grows upward and outward, reaching about 15-20 cm in height and spreading 20-30 cm wide. The plant is a slow to moderate grower and develops multiple stems that create a full, rounded appearance. The leaves are tightly packed along the stems, creating a beautiful rosette-like pattern at the tips.
## Watering
- **Frequency:** Once every 10-15 days depending on other parameters like season and temperature. Water less frequently during monsoon and winter.
- **Tips:** Always allow the soil to dry out completely between waterings. Water deeply but infrequently. During Indian summers (March-June), you may need to water once a week depending on your location. Reduce watering significantly during the monsoon and winter months. Overwatering is the biggest enemy of this plant, so it's better to underwater than overwater. The leaves will start to wrinkle slightly when the plant needs water.
## Sunlight
- **Hours per day:** 4 to 6 hours
- **Type:** Direct sunlight is best. The plant needs bright, direct sun to develop its beautiful red and pink coloring. Morning sunlight is ideal for Indian conditions. In extremely hot regions where temperatures exceed 40Â°C, provide some afternoon shade to prevent leaf burn.
## Care Tips
- The plant's color changes with sun exposure â€“ more sun means more red and pink tones
- Keep in a well-draining pot with drainage holes to prevent root rot
- This plant is very forgiving and great for beginners
- Protect from heavy monsoon rains as too much water can cause the leaves to fall off
- The leaves are very delicate and fall off easily, but don't worry â€“ each fallen leaf can grow into a new plant
- During hot Indian summers, watch for signs of sunburn (brown spots) and provide afternoon shade if needed
- In winter, protect from frost if you live in North India where temperatures drop below 10Â°C
## Growth Tips
- Use a cactus or succulent soil mix, or make your own by mixing regular potting soil with coarse sand and perlite in equal parts
- Ensure excellent drainage by adding small stones or broken clay pot pieces at the bottom of the pot
- Fertilize sparingly â€“ once every 2-3 months during the growing season (spring and early summer) with a diluted succulent fertilizer
- Repot every 2-3 years or when the plant outgrows its pot, preferably during spring
- Propagation is very easy â€“ just place fallen leaves on dry soil and they will root in 2-3 weeks
## Common Problems
- **Leaves falling off:** Usually caused by overwatering or physical disturbance. The leaves are naturally delicate
- **Stretching and pale color:** Not getting enough sunlight. Move to a brighter location
- **Mushy, translucent leaves:** Sign of overwatering and root rot. Reduce watering immediately
- **Wrinkled, shriveled leaves:** Plant is thirsty and needs water
- **White cottony spots:** Mealybugs are common pests. Remove with cotton dipped in rubbing alcohol
- **Brown/black spots:** Could be fungal infection from too much moisture or sunburn from extreme heat. Adjust watering and light accordingly</t>
        </is>
      </c>
      <c r="V314" s="98">
        <f>HYPERLINK("https://rosaryplanthouse.com/plant/"&amp;A314&amp;"-"&amp;SUBSTITUTE(LOWER(E314), " ", "-"))</f>
        <v/>
      </c>
      <c r="W314" t="inlineStr">
        <is>
          <t>🟢 Jelly Bean Plant (ID: 313)
🌱 Add a pop of color to your plant collection with the delightful Jelly Bean Plant! Its plump, bean-shaped leaves are reminiscent of colorful candy, bringing joy and charm to any space. 
✨ This adorable succulent thrives in bright sunlight, showcasing vibrant shades of red, pink, and bronze as it basks in the sun. Plus, enjoy cheerful yellow star-shaped flowers that make it a standout beauty!
🔑 **Key Details:**
- **Watering:** Low, every 10-15 days (let soil dry out completely)
- **Sunlight:** 4-6 hours of direct sunlight for best colors
- **Temperature:** Prefers a warm climate (15°C to 35°C)
- **Care Level:** Perfect for beginners and very forgiving!
🌼 Don't miss out on adding this charming succulent to your home. Experience the joy of easy plant care! 
👉 Link in bio
#JellyBeanPlant #SucculentLove #IndoorPlants #PlantCare #GreenThumb #HomeDecor #PlantLovers #RosaryPlantHouse #Echeveria #SucculentCollection #ColorfulPlants #PlantParenting #GardeningJoy 🌿💖</t>
        </is>
      </c>
    </row>
    <row r="315" ht="99.5" customHeight="1" thickBot="1">
      <c r="A315" s="26" t="n"/>
      <c r="B315" s="35" t="n"/>
      <c r="C315" s="35" t="n"/>
      <c r="D315" s="35" t="n"/>
      <c r="G315" s="36" t="n"/>
      <c r="H315" s="37" t="n"/>
      <c r="K315" s="39" t="n"/>
      <c r="L315" s="38" t="n"/>
      <c r="M315" s="38" t="n"/>
      <c r="N315" s="38" t="n"/>
      <c r="O315" s="38" t="n"/>
      <c r="P315" s="38" t="n"/>
      <c r="Q315" s="38" t="n"/>
      <c r="U315" s="64" t="n"/>
    </row>
    <row r="316" ht="99.5" customHeight="1" thickBot="1">
      <c r="A316" s="26" t="n"/>
      <c r="B316" s="35" t="n"/>
      <c r="C316" s="35" t="n"/>
      <c r="D316" s="35" t="n"/>
      <c r="G316" s="36" t="n"/>
      <c r="H316" s="35" t="n"/>
      <c r="K316" s="39" t="n"/>
      <c r="L316" s="38" t="n"/>
      <c r="M316" s="38" t="n"/>
      <c r="N316" s="38" t="n"/>
      <c r="O316" s="38" t="n"/>
      <c r="P316" s="38" t="n"/>
      <c r="Q316" s="38" t="n"/>
      <c r="U316" s="63" t="n"/>
    </row>
    <row r="317" ht="99.5" customHeight="1" thickBot="1">
      <c r="A317" s="26" t="n"/>
      <c r="B317" s="35" t="n"/>
      <c r="C317" s="35" t="n"/>
      <c r="D317" s="35" t="n"/>
      <c r="G317" s="36" t="n"/>
      <c r="H317" s="35" t="n"/>
      <c r="K317" s="39" t="n"/>
      <c r="L317" s="38" t="n"/>
      <c r="M317" s="38" t="n"/>
      <c r="N317" s="38" t="n"/>
      <c r="O317" s="38" t="n"/>
      <c r="P317" s="38" t="n"/>
      <c r="Q317" s="38" t="n"/>
      <c r="U317" s="63" t="n"/>
    </row>
    <row r="318" ht="99.5" customHeight="1" thickBot="1">
      <c r="A318" s="26" t="n"/>
      <c r="B318" s="35" t="n"/>
      <c r="C318" s="35" t="n"/>
      <c r="D318" s="35" t="n"/>
      <c r="G318" s="36" t="n"/>
      <c r="H318" s="35" t="n"/>
      <c r="K318" s="39" t="n"/>
      <c r="L318" s="38" t="n"/>
      <c r="M318" s="38" t="n"/>
      <c r="N318" s="38" t="n"/>
      <c r="O318" s="38" t="n"/>
      <c r="P318" s="38" t="n"/>
      <c r="Q318" s="38" t="n"/>
      <c r="U318" s="63" t="n"/>
    </row>
    <row r="319" ht="99.5" customHeight="1" thickBot="1">
      <c r="A319" s="26" t="n"/>
      <c r="B319" s="35" t="n"/>
      <c r="C319" s="35" t="n"/>
      <c r="D319" s="35" t="n"/>
      <c r="G319" s="36" t="n"/>
      <c r="H319" s="35" t="n"/>
      <c r="K319" s="39" t="n"/>
      <c r="L319" s="38" t="n"/>
      <c r="M319" s="38" t="n"/>
      <c r="N319" s="38" t="n"/>
      <c r="O319" s="38" t="n"/>
      <c r="P319" s="38" t="n"/>
      <c r="Q319" s="38" t="n"/>
      <c r="U319" s="63" t="n"/>
    </row>
    <row r="320" ht="99.5" customHeight="1" thickBot="1">
      <c r="A320" s="26" t="n"/>
      <c r="B320" s="35" t="n"/>
      <c r="C320" s="35" t="n"/>
      <c r="D320" s="35" t="n"/>
      <c r="G320" s="36" t="n"/>
      <c r="H320" s="35" t="n"/>
      <c r="K320" s="39" t="n"/>
      <c r="L320" s="38" t="n"/>
      <c r="M320" s="38" t="n"/>
      <c r="N320" s="38" t="n"/>
      <c r="O320" s="38" t="n"/>
      <c r="P320" s="38" t="n"/>
      <c r="Q320" s="38" t="n"/>
      <c r="U320" s="63" t="n"/>
    </row>
    <row r="321" ht="99.5" customHeight="1" thickBot="1">
      <c r="A321" s="26" t="n"/>
      <c r="B321" s="35" t="n"/>
      <c r="C321" s="35" t="n"/>
      <c r="D321" s="35" t="n"/>
      <c r="G321" s="36" t="n"/>
      <c r="H321" s="35" t="n"/>
      <c r="K321" s="39" t="n"/>
      <c r="L321" s="38" t="n"/>
      <c r="M321" s="38" t="n"/>
      <c r="N321" s="38" t="n"/>
      <c r="O321" s="38" t="n"/>
      <c r="P321" s="38" t="n"/>
      <c r="Q321" s="38" t="n"/>
      <c r="U321" s="63" t="n"/>
    </row>
    <row r="322" ht="99.5" customHeight="1" thickBot="1">
      <c r="A322" s="26" t="n"/>
      <c r="B322" s="35" t="n"/>
      <c r="C322" s="35" t="n"/>
      <c r="D322" s="35" t="n"/>
      <c r="G322" s="36" t="n"/>
      <c r="H322" s="35" t="n"/>
      <c r="K322" s="39" t="n"/>
      <c r="L322" s="38" t="n"/>
      <c r="M322" s="38" t="n"/>
      <c r="N322" s="38" t="n"/>
      <c r="O322" s="38" t="n"/>
      <c r="P322" s="38" t="n"/>
      <c r="Q322" s="38" t="n"/>
      <c r="U322" s="63" t="n"/>
    </row>
    <row r="323" ht="99.5" customHeight="1" thickBot="1">
      <c r="A323" s="26" t="n"/>
      <c r="B323" s="35" t="n"/>
      <c r="C323" s="35" t="n"/>
      <c r="D323" s="35" t="n"/>
      <c r="G323" s="36" t="n"/>
      <c r="H323" s="35" t="n"/>
      <c r="K323" s="39" t="n"/>
      <c r="L323" s="38" t="n"/>
      <c r="M323" s="38" t="n"/>
      <c r="N323" s="38" t="n"/>
      <c r="O323" s="38" t="n"/>
      <c r="P323" s="38" t="n"/>
      <c r="Q323" s="38" t="n"/>
      <c r="U323" s="63" t="n"/>
    </row>
    <row r="324" ht="99.5" customHeight="1" thickBot="1">
      <c r="A324" s="26" t="n"/>
      <c r="B324" s="35" t="n"/>
      <c r="C324" s="35" t="n"/>
      <c r="D324" s="35" t="n"/>
      <c r="G324" s="36" t="n"/>
      <c r="H324" s="35" t="n"/>
      <c r="K324" s="39" t="n"/>
      <c r="L324" s="38" t="n"/>
      <c r="M324" s="38" t="n"/>
      <c r="N324" s="38" t="n"/>
      <c r="O324" s="38" t="n"/>
      <c r="P324" s="38" t="n"/>
      <c r="Q324" s="38" t="n"/>
      <c r="U324" s="63" t="n"/>
    </row>
    <row r="325" ht="99.5" customHeight="1" thickBot="1">
      <c r="A325" s="26" t="n"/>
      <c r="B325" s="35" t="n"/>
      <c r="C325" s="35" t="n"/>
      <c r="D325" s="35" t="n"/>
      <c r="G325" s="36" t="n"/>
      <c r="H325" s="35" t="n"/>
      <c r="K325" s="39" t="n"/>
      <c r="L325" s="38" t="n"/>
      <c r="M325" s="38" t="n"/>
      <c r="N325" s="38" t="n"/>
      <c r="O325" s="38" t="n"/>
      <c r="P325" s="38" t="n"/>
      <c r="Q325" s="38" t="n"/>
      <c r="U325" s="63" t="n"/>
    </row>
    <row r="326" ht="99.5" customHeight="1" thickBot="1">
      <c r="A326" s="26" t="n"/>
      <c r="B326" s="35" t="n"/>
      <c r="C326" s="35" t="n"/>
      <c r="D326" s="35" t="n"/>
      <c r="G326" s="36" t="n"/>
      <c r="H326" s="35" t="n"/>
      <c r="K326" s="39" t="n"/>
      <c r="L326" s="38" t="n"/>
      <c r="M326" s="38" t="n"/>
      <c r="N326" s="38" t="n"/>
      <c r="O326" s="38" t="n"/>
      <c r="P326" s="38" t="n"/>
      <c r="Q326" s="38" t="n"/>
      <c r="U326" s="63" t="n"/>
    </row>
    <row r="327" ht="99.5" customHeight="1" thickBot="1">
      <c r="A327" s="26" t="n"/>
      <c r="B327" s="35" t="n"/>
      <c r="C327" s="35" t="n"/>
      <c r="D327" s="35" t="n"/>
      <c r="G327" s="36" t="n"/>
      <c r="H327" s="35" t="n"/>
      <c r="K327" s="39" t="n"/>
      <c r="L327" s="38" t="n"/>
      <c r="M327" s="38" t="n"/>
      <c r="N327" s="38" t="n"/>
      <c r="O327" s="38" t="n"/>
      <c r="P327" s="38" t="n"/>
      <c r="Q327" s="38" t="n"/>
      <c r="U327" s="63" t="n"/>
    </row>
    <row r="328" ht="99.5" customHeight="1" thickBot="1">
      <c r="A328" s="26" t="n"/>
      <c r="B328" s="35" t="n"/>
      <c r="C328" s="35" t="n"/>
      <c r="D328" s="35" t="n"/>
      <c r="G328" s="36" t="n"/>
      <c r="H328" s="35" t="n"/>
      <c r="K328" s="39" t="n"/>
      <c r="L328" s="38" t="n"/>
      <c r="M328" s="38" t="n"/>
      <c r="N328" s="38" t="n"/>
      <c r="O328" s="38" t="n"/>
      <c r="P328" s="38" t="n"/>
      <c r="Q328" s="38" t="n"/>
      <c r="U328" s="63" t="n"/>
    </row>
    <row r="329" ht="99.5" customHeight="1" thickBot="1">
      <c r="A329" s="26" t="n"/>
      <c r="B329" s="35" t="n"/>
      <c r="C329" s="35" t="n"/>
      <c r="D329" s="35" t="n"/>
      <c r="G329" s="36" t="n"/>
      <c r="H329" s="35" t="n"/>
      <c r="K329" s="39" t="n"/>
      <c r="L329" s="38" t="n"/>
      <c r="M329" s="38" t="n"/>
      <c r="N329" s="38" t="n"/>
      <c r="O329" s="38" t="n"/>
      <c r="P329" s="38" t="n"/>
      <c r="Q329" s="38" t="n"/>
      <c r="U329" s="63" t="n"/>
    </row>
    <row r="330" ht="99.5" customHeight="1" thickBot="1">
      <c r="A330" s="26" t="n"/>
      <c r="B330" s="35" t="n"/>
      <c r="C330" s="35" t="n"/>
      <c r="D330" s="35" t="n"/>
      <c r="G330" s="36" t="n"/>
      <c r="H330" s="35" t="n"/>
      <c r="K330" s="39" t="n"/>
      <c r="L330" s="38" t="n"/>
      <c r="M330" s="38" t="n"/>
      <c r="N330" s="38" t="n"/>
      <c r="O330" s="38" t="n"/>
      <c r="P330" s="38" t="n"/>
      <c r="Q330" s="38" t="n"/>
      <c r="U330" s="63" t="n"/>
    </row>
    <row r="331" ht="99.5" customHeight="1" thickBot="1">
      <c r="A331" s="26" t="n"/>
      <c r="B331" s="35" t="n"/>
      <c r="C331" s="35" t="n"/>
      <c r="D331" s="35" t="n"/>
      <c r="G331" s="36" t="n"/>
      <c r="H331" s="35" t="n"/>
      <c r="K331" s="39" t="n"/>
      <c r="L331" s="38" t="n"/>
      <c r="M331" s="38" t="n"/>
      <c r="N331" s="38" t="n"/>
      <c r="O331" s="38" t="n"/>
      <c r="P331" s="38" t="n"/>
      <c r="Q331" s="38" t="n"/>
      <c r="U331" s="63" t="n"/>
    </row>
    <row r="332" ht="99.5" customHeight="1" thickBot="1">
      <c r="A332" s="26" t="n"/>
      <c r="B332" s="35" t="n"/>
      <c r="C332" s="35" t="n"/>
      <c r="D332" s="35" t="n"/>
      <c r="G332" s="36" t="n"/>
      <c r="H332" s="35" t="n"/>
      <c r="K332" s="39" t="n"/>
      <c r="L332" s="38" t="n"/>
      <c r="M332" s="38" t="n"/>
      <c r="N332" s="38" t="n"/>
      <c r="O332" s="38" t="n"/>
      <c r="P332" s="38" t="n"/>
      <c r="Q332" s="38" t="n"/>
      <c r="U332" s="63" t="n"/>
    </row>
    <row r="333" ht="99.5" customHeight="1" thickBot="1">
      <c r="A333" s="26" t="n"/>
      <c r="B333" s="35" t="n"/>
      <c r="C333" s="35" t="n"/>
      <c r="D333" s="35" t="n"/>
      <c r="G333" s="36" t="n"/>
      <c r="H333" s="35" t="n"/>
      <c r="K333" s="39" t="n"/>
      <c r="L333" s="38" t="n"/>
      <c r="M333" s="38" t="n"/>
      <c r="N333" s="38" t="n"/>
      <c r="O333" s="38" t="n"/>
      <c r="P333" s="38" t="n"/>
      <c r="Q333" s="38" t="n"/>
      <c r="U333" s="63" t="n"/>
    </row>
    <row r="334" ht="99.5" customHeight="1" thickBot="1">
      <c r="A334" s="26" t="n"/>
      <c r="B334" s="35" t="n"/>
      <c r="C334" s="35" t="n"/>
      <c r="D334" s="35" t="n"/>
      <c r="G334" s="36" t="n"/>
      <c r="H334" s="35" t="n"/>
      <c r="K334" s="39" t="n"/>
      <c r="L334" s="38" t="n"/>
      <c r="M334" s="38" t="n"/>
      <c r="N334" s="38" t="n"/>
      <c r="O334" s="38" t="n"/>
      <c r="P334" s="38" t="n"/>
      <c r="Q334" s="38" t="n"/>
      <c r="U334" s="63" t="n"/>
    </row>
    <row r="335" ht="99.5" customHeight="1" thickBot="1">
      <c r="A335" s="26" t="n"/>
      <c r="B335" s="35" t="n"/>
      <c r="C335" s="35" t="n"/>
      <c r="D335" s="35" t="n"/>
      <c r="G335" s="36" t="n"/>
      <c r="H335" s="35" t="n"/>
      <c r="K335" s="39" t="n"/>
      <c r="L335" s="38" t="n"/>
      <c r="M335" s="38" t="n"/>
      <c r="N335" s="38" t="n"/>
      <c r="O335" s="38" t="n"/>
      <c r="P335" s="38" t="n"/>
      <c r="Q335" s="38" t="n"/>
      <c r="U335" s="63" t="n"/>
    </row>
    <row r="336" ht="99.5" customHeight="1" thickBot="1">
      <c r="A336" s="26" t="n"/>
      <c r="B336" s="35" t="n"/>
      <c r="C336" s="35" t="n"/>
      <c r="D336" s="35" t="n"/>
      <c r="G336" s="36" t="n"/>
      <c r="H336" s="35" t="n"/>
      <c r="K336" s="39" t="n"/>
      <c r="L336" s="38" t="n"/>
      <c r="M336" s="38" t="n"/>
      <c r="N336" s="38" t="n"/>
      <c r="O336" s="38" t="n"/>
      <c r="P336" s="38" t="n"/>
      <c r="Q336" s="38" t="n"/>
      <c r="U336" s="63" t="n"/>
    </row>
    <row r="337" ht="99.5" customHeight="1" thickBot="1">
      <c r="A337" s="26" t="n"/>
      <c r="B337" s="35" t="n"/>
      <c r="C337" s="35" t="n"/>
      <c r="D337" s="35" t="n"/>
      <c r="G337" s="36" t="n"/>
      <c r="H337" s="35" t="n"/>
      <c r="K337" s="39" t="n"/>
      <c r="L337" s="38" t="n"/>
      <c r="M337" s="38" t="n"/>
      <c r="N337" s="38" t="n"/>
      <c r="O337" s="38" t="n"/>
      <c r="P337" s="38" t="n"/>
      <c r="Q337" s="38" t="n"/>
      <c r="U337" s="63" t="n"/>
    </row>
    <row r="338" ht="99.5" customHeight="1" thickBot="1">
      <c r="A338" s="26" t="n"/>
      <c r="B338" s="35" t="n"/>
      <c r="C338" s="35" t="n"/>
      <c r="D338" s="35" t="n"/>
      <c r="G338" s="36" t="n"/>
      <c r="H338" s="35" t="n"/>
      <c r="K338" s="39" t="n"/>
      <c r="L338" s="38" t="n"/>
      <c r="M338" s="38" t="n"/>
      <c r="N338" s="38" t="n"/>
      <c r="O338" s="38" t="n"/>
      <c r="P338" s="38" t="n"/>
      <c r="Q338" s="38" t="n"/>
      <c r="U338" s="63" t="n"/>
    </row>
    <row r="339" ht="99.5" customHeight="1" thickBot="1">
      <c r="A339" s="26" t="n"/>
      <c r="B339" s="35" t="n"/>
      <c r="C339" s="35" t="n"/>
      <c r="D339" s="35" t="n"/>
      <c r="G339" s="36" t="n"/>
      <c r="H339" s="35" t="n"/>
      <c r="K339" s="39" t="n"/>
      <c r="L339" s="38" t="n"/>
      <c r="M339" s="38" t="n"/>
      <c r="N339" s="38" t="n"/>
      <c r="O339" s="38" t="n"/>
      <c r="P339" s="38" t="n"/>
      <c r="Q339" s="38" t="n"/>
      <c r="U339" s="63" t="n"/>
    </row>
    <row r="340" ht="99.5" customHeight="1" thickBot="1">
      <c r="A340" s="26" t="n"/>
      <c r="B340" s="35" t="n"/>
      <c r="C340" s="35" t="n"/>
      <c r="D340" s="35" t="n"/>
      <c r="G340" s="36" t="n"/>
      <c r="H340" s="35" t="n"/>
      <c r="K340" s="39" t="n"/>
      <c r="L340" s="38" t="n"/>
      <c r="M340" s="38" t="n"/>
      <c r="N340" s="38" t="n"/>
      <c r="O340" s="38" t="n"/>
      <c r="P340" s="38" t="n"/>
      <c r="Q340" s="38" t="n"/>
      <c r="U340" s="63" t="n"/>
    </row>
    <row r="341" ht="99.5" customHeight="1" thickBot="1">
      <c r="A341" s="26" t="n"/>
      <c r="B341" s="35" t="n"/>
      <c r="C341" s="35" t="n"/>
      <c r="D341" s="35" t="n"/>
      <c r="G341" s="36" t="n"/>
      <c r="H341" s="35" t="n"/>
      <c r="K341" s="39" t="n"/>
      <c r="L341" s="38" t="n"/>
      <c r="M341" s="38" t="n"/>
      <c r="N341" s="38" t="n"/>
      <c r="O341" s="38" t="n"/>
      <c r="P341" s="38" t="n"/>
      <c r="Q341" s="38" t="n"/>
      <c r="U341" s="63" t="n"/>
    </row>
    <row r="342" ht="99.5" customHeight="1" thickBot="1">
      <c r="A342" s="26" t="n"/>
      <c r="B342" s="35" t="n"/>
      <c r="C342" s="35" t="n"/>
      <c r="D342" s="35" t="n"/>
      <c r="G342" s="36" t="n"/>
      <c r="H342" s="35" t="n"/>
      <c r="K342" s="39" t="n"/>
      <c r="L342" s="38" t="n"/>
      <c r="M342" s="38" t="n"/>
      <c r="N342" s="38" t="n"/>
      <c r="O342" s="38" t="n"/>
      <c r="P342" s="38" t="n"/>
      <c r="Q342" s="38" t="n"/>
      <c r="U342" s="63" t="n"/>
    </row>
    <row r="343" ht="99.5" customHeight="1" thickBot="1">
      <c r="A343" s="26" t="n"/>
      <c r="B343" s="35" t="n"/>
      <c r="C343" s="35" t="n"/>
      <c r="D343" s="35" t="n"/>
      <c r="G343" s="36" t="n"/>
      <c r="H343" s="35" t="n"/>
      <c r="K343" s="39" t="n"/>
      <c r="L343" s="38" t="n"/>
      <c r="M343" s="38" t="n"/>
      <c r="N343" s="38" t="n"/>
      <c r="O343" s="38" t="n"/>
      <c r="P343" s="38" t="n"/>
      <c r="Q343" s="38" t="n"/>
      <c r="U343" s="63" t="n"/>
    </row>
    <row r="344" ht="99.5" customHeight="1" thickBot="1">
      <c r="A344" s="26" t="n"/>
      <c r="B344" s="35" t="n"/>
      <c r="C344" s="35" t="n"/>
      <c r="D344" s="35" t="n"/>
      <c r="G344" s="36" t="n"/>
      <c r="H344" s="35" t="n"/>
      <c r="K344" s="39" t="n"/>
      <c r="L344" s="38" t="n"/>
      <c r="M344" s="38" t="n"/>
      <c r="N344" s="38" t="n"/>
      <c r="O344" s="38" t="n"/>
      <c r="P344" s="38" t="n"/>
      <c r="Q344" s="38" t="n"/>
      <c r="U344" s="63" t="n"/>
    </row>
    <row r="345" ht="99.5" customHeight="1" thickBot="1">
      <c r="A345" s="26" t="n"/>
      <c r="B345" s="35" t="n"/>
      <c r="C345" s="35" t="n"/>
      <c r="D345" s="35" t="n"/>
      <c r="G345" s="36" t="n"/>
      <c r="H345" s="35" t="n"/>
      <c r="K345" s="39" t="n"/>
      <c r="L345" s="38" t="n"/>
      <c r="M345" s="38" t="n"/>
      <c r="N345" s="38" t="n"/>
      <c r="O345" s="38" t="n"/>
      <c r="P345" s="38" t="n"/>
      <c r="Q345" s="38" t="n"/>
      <c r="U345" s="63" t="n"/>
    </row>
    <row r="346" ht="99.5" customHeight="1" thickBot="1">
      <c r="A346" s="26" t="n"/>
      <c r="B346" s="35" t="n"/>
      <c r="C346" s="35" t="n"/>
      <c r="D346" s="35" t="n"/>
      <c r="G346" s="36" t="n"/>
      <c r="H346" s="35" t="n"/>
      <c r="K346" s="39" t="n"/>
      <c r="L346" s="38" t="n"/>
      <c r="M346" s="38" t="n"/>
      <c r="N346" s="38" t="n"/>
      <c r="O346" s="38" t="n"/>
      <c r="P346" s="38" t="n"/>
      <c r="Q346" s="38" t="n"/>
      <c r="U346" s="63" t="n"/>
    </row>
    <row r="347" ht="99.5" customHeight="1" thickBot="1">
      <c r="A347" s="26" t="n"/>
      <c r="B347" s="35" t="n"/>
      <c r="C347" s="35" t="n"/>
      <c r="D347" s="35" t="n"/>
      <c r="G347" s="36" t="n"/>
      <c r="H347" s="35" t="n"/>
      <c r="K347" s="39" t="n"/>
      <c r="L347" s="38" t="n"/>
      <c r="M347" s="38" t="n"/>
      <c r="N347" s="38" t="n"/>
      <c r="O347" s="38" t="n"/>
      <c r="P347" s="38" t="n"/>
      <c r="Q347" s="38" t="n"/>
      <c r="U347" s="63" t="n"/>
    </row>
    <row r="348" ht="99.5" customHeight="1" thickBot="1">
      <c r="A348" s="26" t="n"/>
      <c r="B348" s="35" t="n"/>
      <c r="C348" s="35" t="n"/>
      <c r="D348" s="35" t="n"/>
      <c r="G348" s="36" t="n"/>
      <c r="H348" s="35" t="n"/>
      <c r="K348" s="39" t="n"/>
      <c r="L348" s="38" t="n"/>
      <c r="M348" s="38" t="n"/>
      <c r="N348" s="38" t="n"/>
      <c r="O348" s="38" t="n"/>
      <c r="P348" s="38" t="n"/>
      <c r="Q348" s="38" t="n"/>
      <c r="U348" s="63" t="n"/>
    </row>
    <row r="349" ht="99.5" customHeight="1" thickBot="1">
      <c r="A349" s="26" t="n"/>
      <c r="B349" s="35" t="n"/>
      <c r="C349" s="35" t="n"/>
      <c r="D349" s="35" t="n"/>
      <c r="G349" s="36" t="n"/>
      <c r="H349" s="35" t="n"/>
      <c r="K349" s="39" t="n"/>
      <c r="L349" s="38" t="n"/>
      <c r="M349" s="38" t="n"/>
      <c r="N349" s="38" t="n"/>
      <c r="O349" s="38" t="n"/>
      <c r="P349" s="38" t="n"/>
      <c r="Q349" s="38" t="n"/>
      <c r="U349" s="63" t="n"/>
    </row>
    <row r="350" ht="99.5" customHeight="1" thickBot="1">
      <c r="A350" s="26" t="n"/>
      <c r="B350" s="35" t="n"/>
      <c r="C350" s="35" t="n"/>
      <c r="D350" s="35" t="n"/>
      <c r="G350" s="36" t="n"/>
      <c r="H350" s="35" t="n"/>
      <c r="K350" s="39" t="n"/>
      <c r="L350" s="38" t="n"/>
      <c r="M350" s="38" t="n"/>
      <c r="N350" s="38" t="n"/>
      <c r="O350" s="38" t="n"/>
      <c r="P350" s="38" t="n"/>
      <c r="Q350" s="38" t="n"/>
      <c r="U350" s="63" t="n"/>
    </row>
    <row r="351" ht="99.5" customHeight="1" thickBot="1">
      <c r="A351" s="26" t="n"/>
      <c r="B351" s="35" t="n"/>
      <c r="C351" s="35" t="n"/>
      <c r="D351" s="35" t="n"/>
      <c r="G351" s="36" t="n"/>
      <c r="H351" s="35" t="n"/>
      <c r="K351" s="39" t="n"/>
      <c r="L351" s="38" t="n"/>
      <c r="M351" s="38" t="n"/>
      <c r="N351" s="38" t="n"/>
      <c r="O351" s="38" t="n"/>
      <c r="P351" s="38" t="n"/>
      <c r="Q351" s="38" t="n"/>
      <c r="U351" s="63" t="n"/>
    </row>
    <row r="352" ht="99.5" customHeight="1" thickBot="1">
      <c r="A352" s="26" t="n"/>
      <c r="B352" s="35" t="n"/>
      <c r="C352" s="35" t="n"/>
      <c r="D352" s="35" t="n"/>
      <c r="G352" s="36" t="n"/>
      <c r="H352" s="35" t="n"/>
      <c r="K352" s="39" t="n"/>
      <c r="L352" s="38" t="n"/>
      <c r="M352" s="38" t="n"/>
      <c r="N352" s="38" t="n"/>
      <c r="O352" s="38" t="n"/>
      <c r="P352" s="38" t="n"/>
      <c r="Q352" s="38" t="n"/>
      <c r="U352" s="63" t="n"/>
    </row>
    <row r="353" ht="99.5" customHeight="1" thickBot="1">
      <c r="A353" s="26" t="n"/>
      <c r="B353" s="35" t="n"/>
      <c r="C353" s="35" t="n"/>
      <c r="D353" s="35" t="n"/>
      <c r="G353" s="36" t="n"/>
      <c r="H353" s="35" t="n"/>
      <c r="K353" s="39" t="n"/>
      <c r="L353" s="38" t="n"/>
      <c r="M353" s="38" t="n"/>
      <c r="N353" s="38" t="n"/>
      <c r="O353" s="38" t="n"/>
      <c r="P353" s="38" t="n"/>
      <c r="Q353" s="38" t="n"/>
      <c r="U353" s="63" t="n"/>
    </row>
    <row r="354" ht="99.5" customHeight="1" thickBot="1">
      <c r="A354" s="26" t="n"/>
      <c r="B354" s="35" t="n"/>
      <c r="C354" s="35" t="n"/>
      <c r="D354" s="35" t="n"/>
      <c r="G354" s="36" t="n"/>
      <c r="H354" s="35" t="n"/>
      <c r="K354" s="39" t="n"/>
      <c r="L354" s="38" t="n"/>
      <c r="M354" s="38" t="n"/>
      <c r="N354" s="38" t="n"/>
      <c r="O354" s="38" t="n"/>
      <c r="P354" s="38" t="n"/>
      <c r="Q354" s="38" t="n"/>
      <c r="U354" s="63" t="n"/>
    </row>
    <row r="355" ht="99.5" customHeight="1" thickBot="1">
      <c r="A355" s="26" t="n"/>
      <c r="B355" s="35" t="n"/>
      <c r="C355" s="35" t="n"/>
      <c r="D355" s="35" t="n"/>
      <c r="G355" s="36" t="n"/>
      <c r="H355" s="35" t="n"/>
      <c r="K355" s="39" t="n"/>
      <c r="L355" s="38" t="n"/>
      <c r="M355" s="38" t="n"/>
      <c r="N355" s="38" t="n"/>
      <c r="O355" s="38" t="n"/>
      <c r="P355" s="38" t="n"/>
      <c r="Q355" s="38" t="n"/>
      <c r="U355" s="63" t="n"/>
    </row>
    <row r="356" ht="99.5" customHeight="1" thickBot="1">
      <c r="A356" s="26" t="n"/>
      <c r="B356" s="35" t="n"/>
      <c r="C356" s="35" t="n"/>
      <c r="D356" s="35" t="n"/>
      <c r="G356" s="36" t="n"/>
      <c r="H356" s="35" t="n"/>
      <c r="K356" s="39" t="n"/>
      <c r="L356" s="38" t="n"/>
      <c r="M356" s="38" t="n"/>
      <c r="N356" s="38" t="n"/>
      <c r="O356" s="38" t="n"/>
      <c r="P356" s="38" t="n"/>
      <c r="Q356" s="38" t="n"/>
      <c r="U356" s="63" t="n"/>
    </row>
    <row r="357" ht="99.5" customHeight="1" thickBot="1">
      <c r="A357" s="26" t="n"/>
      <c r="B357" s="35" t="n"/>
      <c r="C357" s="35" t="n"/>
      <c r="D357" s="35" t="n"/>
      <c r="G357" s="36" t="n"/>
      <c r="H357" s="35" t="n"/>
      <c r="K357" s="39" t="n"/>
      <c r="L357" s="38" t="n"/>
      <c r="M357" s="38" t="n"/>
      <c r="N357" s="38" t="n"/>
      <c r="O357" s="38" t="n"/>
      <c r="P357" s="38" t="n"/>
      <c r="Q357" s="38" t="n"/>
      <c r="U357" s="63" t="n"/>
    </row>
    <row r="358" ht="99.5" customHeight="1" thickBot="1">
      <c r="A358" s="26" t="n"/>
      <c r="B358" s="35" t="n"/>
      <c r="C358" s="35" t="n"/>
      <c r="D358" s="35" t="n"/>
      <c r="G358" s="36" t="n"/>
      <c r="H358" s="35" t="n"/>
      <c r="K358" s="39" t="n"/>
      <c r="L358" s="38" t="n"/>
      <c r="M358" s="38" t="n"/>
      <c r="N358" s="38" t="n"/>
      <c r="O358" s="38" t="n"/>
      <c r="P358" s="38" t="n"/>
      <c r="Q358" s="38" t="n"/>
      <c r="U358" s="63" t="n"/>
    </row>
    <row r="359" ht="99.5" customHeight="1" thickBot="1">
      <c r="A359" s="26" t="n"/>
      <c r="B359" s="35" t="n"/>
      <c r="C359" s="35" t="n"/>
      <c r="D359" s="35" t="n"/>
      <c r="G359" s="36" t="n"/>
      <c r="H359" s="35" t="n"/>
      <c r="K359" s="39" t="n"/>
      <c r="L359" s="38" t="n"/>
      <c r="M359" s="38" t="n"/>
      <c r="N359" s="38" t="n"/>
      <c r="O359" s="38" t="n"/>
      <c r="P359" s="38" t="n"/>
      <c r="Q359" s="38" t="n"/>
      <c r="U359" s="63" t="n"/>
    </row>
    <row r="360" ht="99.5" customHeight="1" thickBot="1">
      <c r="A360" s="26" t="n"/>
      <c r="B360" s="35" t="n"/>
      <c r="C360" s="35" t="n"/>
      <c r="D360" s="35" t="n"/>
      <c r="G360" s="36" t="n"/>
      <c r="H360" s="35" t="n"/>
      <c r="K360" s="39" t="n"/>
      <c r="L360" s="38" t="n"/>
      <c r="M360" s="38" t="n"/>
      <c r="N360" s="38" t="n"/>
      <c r="O360" s="38" t="n"/>
      <c r="P360" s="38" t="n"/>
      <c r="Q360" s="38" t="n"/>
      <c r="U360" s="63" t="n"/>
    </row>
    <row r="361" ht="99.5" customHeight="1" thickBot="1">
      <c r="A361" s="26" t="n"/>
      <c r="B361" s="35" t="n"/>
      <c r="C361" s="35" t="n"/>
      <c r="D361" s="35" t="n"/>
      <c r="G361" s="36" t="n"/>
      <c r="H361" s="35" t="n"/>
      <c r="K361" s="39" t="n"/>
      <c r="L361" s="38" t="n"/>
      <c r="M361" s="38" t="n"/>
      <c r="N361" s="38" t="n"/>
      <c r="O361" s="38" t="n"/>
      <c r="P361" s="38" t="n"/>
      <c r="Q361" s="38" t="n"/>
      <c r="U361" s="63" t="n"/>
    </row>
    <row r="362" ht="99.5" customHeight="1" thickBot="1">
      <c r="A362" s="26" t="n"/>
      <c r="B362" s="35" t="n"/>
      <c r="C362" s="35" t="n"/>
      <c r="D362" s="35" t="n"/>
      <c r="G362" s="36" t="n"/>
      <c r="H362" s="35" t="n"/>
      <c r="K362" s="39" t="n"/>
      <c r="L362" s="38" t="n"/>
      <c r="M362" s="38" t="n"/>
      <c r="N362" s="38" t="n"/>
      <c r="O362" s="38" t="n"/>
      <c r="P362" s="38" t="n"/>
      <c r="Q362" s="38" t="n"/>
      <c r="U362" s="63" t="n"/>
    </row>
    <row r="363" ht="99.5" customHeight="1" thickBot="1">
      <c r="A363" s="26" t="n"/>
      <c r="B363" s="35" t="n"/>
      <c r="C363" s="35" t="n"/>
      <c r="D363" s="35" t="n"/>
      <c r="G363" s="36" t="n"/>
      <c r="H363" s="35" t="n"/>
      <c r="K363" s="39" t="n"/>
      <c r="L363" s="38" t="n"/>
      <c r="M363" s="38" t="n"/>
      <c r="N363" s="38" t="n"/>
      <c r="O363" s="38" t="n"/>
      <c r="P363" s="38" t="n"/>
      <c r="Q363" s="38" t="n"/>
      <c r="U363" s="63" t="n"/>
    </row>
    <row r="364" ht="99.5" customHeight="1" thickBot="1">
      <c r="A364" s="26" t="n"/>
      <c r="B364" s="35" t="n"/>
      <c r="C364" s="35" t="n"/>
      <c r="D364" s="35" t="n"/>
      <c r="G364" s="36" t="n"/>
      <c r="H364" s="35" t="n"/>
      <c r="K364" s="39" t="n"/>
      <c r="L364" s="38" t="n"/>
      <c r="M364" s="38" t="n"/>
      <c r="N364" s="38" t="n"/>
      <c r="O364" s="38" t="n"/>
      <c r="P364" s="38" t="n"/>
      <c r="Q364" s="38" t="n"/>
      <c r="U364" s="63" t="n"/>
    </row>
    <row r="365" ht="99.5" customHeight="1" thickBot="1">
      <c r="A365" s="26" t="n"/>
      <c r="B365" s="35" t="n"/>
      <c r="C365" s="35" t="n"/>
      <c r="D365" s="35" t="n"/>
      <c r="G365" s="36" t="n"/>
      <c r="H365" s="35" t="n"/>
      <c r="K365" s="39" t="n"/>
      <c r="L365" s="38" t="n"/>
      <c r="M365" s="38" t="n"/>
      <c r="N365" s="38" t="n"/>
      <c r="O365" s="38" t="n"/>
      <c r="P365" s="38" t="n"/>
      <c r="Q365" s="38" t="n"/>
      <c r="U365" s="63" t="n"/>
    </row>
    <row r="366" ht="99.5" customHeight="1" thickBot="1">
      <c r="A366" s="26" t="n"/>
      <c r="B366" s="35" t="n"/>
      <c r="C366" s="35" t="n"/>
      <c r="D366" s="35" t="n"/>
      <c r="G366" s="36" t="n"/>
      <c r="H366" s="35" t="n"/>
      <c r="K366" s="39" t="n"/>
      <c r="L366" s="38" t="n"/>
      <c r="M366" s="38" t="n"/>
      <c r="N366" s="38" t="n"/>
      <c r="O366" s="38" t="n"/>
      <c r="P366" s="38" t="n"/>
      <c r="Q366" s="38" t="n"/>
      <c r="U366" s="63" t="n"/>
    </row>
    <row r="367" ht="99.5" customHeight="1" thickBot="1">
      <c r="A367" s="26" t="n"/>
      <c r="B367" s="35" t="n"/>
      <c r="C367" s="35" t="n"/>
      <c r="D367" s="35" t="n"/>
      <c r="G367" s="36" t="n"/>
      <c r="H367" s="35" t="n"/>
      <c r="K367" s="39" t="n"/>
      <c r="L367" s="38" t="n"/>
      <c r="M367" s="38" t="n"/>
      <c r="N367" s="38" t="n"/>
      <c r="O367" s="38" t="n"/>
      <c r="P367" s="38" t="n"/>
      <c r="Q367" s="38" t="n"/>
      <c r="U367" s="63" t="n"/>
    </row>
    <row r="368" ht="99.5" customHeight="1" thickBot="1">
      <c r="A368" s="26" t="n"/>
      <c r="B368" s="35" t="n"/>
      <c r="C368" s="35" t="n"/>
      <c r="D368" s="35" t="n"/>
      <c r="G368" s="36" t="n"/>
      <c r="H368" s="35" t="n"/>
      <c r="K368" s="39" t="n"/>
      <c r="L368" s="38" t="n"/>
      <c r="M368" s="38" t="n"/>
      <c r="N368" s="38" t="n"/>
      <c r="O368" s="38" t="n"/>
      <c r="P368" s="38" t="n"/>
      <c r="Q368" s="38" t="n"/>
      <c r="U368" s="63" t="n"/>
    </row>
    <row r="369" ht="99.5" customHeight="1" thickBot="1">
      <c r="A369" s="26" t="n"/>
      <c r="B369" s="35" t="n"/>
      <c r="C369" s="35" t="n"/>
      <c r="D369" s="35" t="n"/>
      <c r="G369" s="36" t="n"/>
      <c r="H369" s="35" t="n"/>
      <c r="K369" s="39" t="n"/>
      <c r="L369" s="38" t="n"/>
      <c r="M369" s="38" t="n"/>
      <c r="N369" s="38" t="n"/>
      <c r="O369" s="38" t="n"/>
      <c r="P369" s="38" t="n"/>
      <c r="Q369" s="38" t="n"/>
      <c r="U369" s="63" t="n"/>
    </row>
    <row r="370" ht="99.5" customHeight="1" thickBot="1">
      <c r="A370" s="26" t="n"/>
      <c r="B370" s="35" t="n"/>
      <c r="C370" s="35" t="n"/>
      <c r="D370" s="35" t="n"/>
      <c r="G370" s="36" t="n"/>
      <c r="H370" s="35" t="n"/>
      <c r="K370" s="39" t="n"/>
      <c r="L370" s="38" t="n"/>
      <c r="M370" s="38" t="n"/>
      <c r="N370" s="38" t="n"/>
      <c r="O370" s="38" t="n"/>
      <c r="P370" s="38" t="n"/>
      <c r="Q370" s="38" t="n"/>
      <c r="U370" s="63" t="n"/>
    </row>
    <row r="371" ht="99.5" customHeight="1" thickBot="1">
      <c r="A371" s="26" t="n"/>
      <c r="B371" s="35" t="n"/>
      <c r="C371" s="35" t="n"/>
      <c r="D371" s="35" t="n"/>
      <c r="G371" s="36" t="n"/>
      <c r="H371" s="35" t="n"/>
      <c r="K371" s="39" t="n"/>
      <c r="L371" s="38" t="n"/>
      <c r="M371" s="38" t="n"/>
      <c r="N371" s="38" t="n"/>
      <c r="O371" s="38" t="n"/>
      <c r="P371" s="38" t="n"/>
      <c r="Q371" s="38" t="n"/>
      <c r="U371" s="63" t="n"/>
    </row>
    <row r="372" ht="99.5" customHeight="1" thickBot="1">
      <c r="A372" s="26" t="n"/>
      <c r="B372" s="35" t="n"/>
      <c r="C372" s="35" t="n"/>
      <c r="D372" s="35" t="n"/>
      <c r="G372" s="36" t="n"/>
      <c r="H372" s="35" t="n"/>
      <c r="K372" s="39" t="n"/>
      <c r="L372" s="38" t="n"/>
      <c r="M372" s="38" t="n"/>
      <c r="N372" s="38" t="n"/>
      <c r="O372" s="38" t="n"/>
      <c r="P372" s="38" t="n"/>
      <c r="Q372" s="38" t="n"/>
      <c r="U372" s="63" t="n"/>
    </row>
    <row r="373" ht="99.5" customHeight="1" thickBot="1">
      <c r="A373" s="26" t="n"/>
      <c r="B373" s="35" t="n"/>
      <c r="C373" s="35" t="n"/>
      <c r="D373" s="35" t="n"/>
      <c r="G373" s="36" t="n"/>
      <c r="H373" s="35" t="n"/>
      <c r="K373" s="39" t="n"/>
      <c r="L373" s="38" t="n"/>
      <c r="M373" s="38" t="n"/>
      <c r="N373" s="38" t="n"/>
      <c r="O373" s="38" t="n"/>
      <c r="P373" s="38" t="n"/>
      <c r="Q373" s="38" t="n"/>
      <c r="U373" s="63" t="n"/>
    </row>
    <row r="374" ht="99.5" customHeight="1" thickBot="1">
      <c r="A374" s="26" t="n"/>
      <c r="B374" s="35" t="n"/>
      <c r="C374" s="35" t="n"/>
      <c r="D374" s="35" t="n"/>
      <c r="G374" s="36" t="n"/>
      <c r="H374" s="35" t="n"/>
      <c r="K374" s="39" t="n"/>
      <c r="L374" s="38" t="n"/>
      <c r="M374" s="38" t="n"/>
      <c r="N374" s="38" t="n"/>
      <c r="O374" s="38" t="n"/>
      <c r="P374" s="38" t="n"/>
      <c r="Q374" s="38" t="n"/>
      <c r="U374" s="63" t="n"/>
    </row>
    <row r="375" ht="99.5" customHeight="1" thickBot="1">
      <c r="A375" s="26" t="n"/>
      <c r="B375" s="35" t="n"/>
      <c r="C375" s="35" t="n"/>
      <c r="D375" s="35" t="n"/>
      <c r="G375" s="36" t="n"/>
      <c r="H375" s="35" t="n"/>
      <c r="K375" s="39" t="n"/>
      <c r="L375" s="38" t="n"/>
      <c r="M375" s="38" t="n"/>
      <c r="N375" s="38" t="n"/>
      <c r="O375" s="38" t="n"/>
      <c r="P375" s="38" t="n"/>
      <c r="Q375" s="38" t="n"/>
      <c r="U375" s="63" t="n"/>
    </row>
    <row r="376" ht="99.5" customHeight="1" thickBot="1">
      <c r="A376" s="26" t="n"/>
      <c r="B376" s="35" t="n"/>
      <c r="C376" s="35" t="n"/>
      <c r="D376" s="35" t="n"/>
      <c r="G376" s="36" t="n"/>
      <c r="H376" s="35" t="n"/>
      <c r="K376" s="39" t="n"/>
      <c r="L376" s="38" t="n"/>
      <c r="M376" s="38" t="n"/>
      <c r="N376" s="38" t="n"/>
      <c r="O376" s="38" t="n"/>
      <c r="P376" s="38" t="n"/>
      <c r="Q376" s="38" t="n"/>
      <c r="U376" s="63" t="n"/>
    </row>
    <row r="377" ht="99.5" customHeight="1" thickBot="1">
      <c r="A377" s="26" t="n"/>
      <c r="B377" s="35" t="n"/>
      <c r="C377" s="35" t="n"/>
      <c r="D377" s="35" t="n"/>
      <c r="G377" s="36" t="n"/>
      <c r="H377" s="35" t="n"/>
      <c r="K377" s="39" t="n"/>
      <c r="L377" s="38" t="n"/>
      <c r="M377" s="38" t="n"/>
      <c r="N377" s="38" t="n"/>
      <c r="O377" s="38" t="n"/>
      <c r="P377" s="38" t="n"/>
      <c r="Q377" s="38" t="n"/>
      <c r="U377" s="63" t="n"/>
    </row>
    <row r="378" ht="99.5" customHeight="1" thickBot="1">
      <c r="A378" s="26" t="n"/>
      <c r="B378" s="35" t="n"/>
      <c r="C378" s="35" t="n"/>
      <c r="D378" s="35" t="n"/>
      <c r="G378" s="36" t="n"/>
      <c r="H378" s="35" t="n"/>
      <c r="K378" s="39" t="n"/>
      <c r="L378" s="38" t="n"/>
      <c r="M378" s="38" t="n"/>
      <c r="N378" s="38" t="n"/>
      <c r="O378" s="38" t="n"/>
      <c r="P378" s="38" t="n"/>
      <c r="Q378" s="38" t="n"/>
      <c r="U378" s="63" t="n"/>
    </row>
    <row r="379" ht="99.5" customHeight="1" thickBot="1">
      <c r="A379" s="26" t="n"/>
      <c r="B379" s="35" t="n"/>
      <c r="C379" s="35" t="n"/>
      <c r="D379" s="35" t="n"/>
      <c r="G379" s="36" t="n"/>
      <c r="H379" s="35" t="n"/>
      <c r="K379" s="39" t="n"/>
      <c r="L379" s="38" t="n"/>
      <c r="M379" s="38" t="n"/>
      <c r="N379" s="38" t="n"/>
      <c r="O379" s="38" t="n"/>
      <c r="P379" s="38" t="n"/>
      <c r="Q379" s="38" t="n"/>
      <c r="U379" s="63" t="n"/>
    </row>
    <row r="380" ht="99.5" customHeight="1" thickBot="1">
      <c r="A380" s="26" t="n"/>
      <c r="B380" s="35" t="n"/>
      <c r="C380" s="35" t="n"/>
      <c r="D380" s="35" t="n"/>
      <c r="G380" s="36" t="n"/>
      <c r="H380" s="35" t="n"/>
      <c r="K380" s="39" t="n"/>
      <c r="L380" s="38" t="n"/>
      <c r="M380" s="38" t="n"/>
      <c r="N380" s="38" t="n"/>
      <c r="O380" s="38" t="n"/>
      <c r="P380" s="38" t="n"/>
      <c r="Q380" s="38" t="n"/>
      <c r="U380" s="63" t="n"/>
    </row>
    <row r="381" ht="99.5" customHeight="1" thickBot="1">
      <c r="A381" s="26" t="n"/>
      <c r="B381" s="35" t="n"/>
      <c r="C381" s="35" t="n"/>
      <c r="D381" s="35" t="n"/>
      <c r="G381" s="36" t="n"/>
      <c r="H381" s="35" t="n"/>
      <c r="K381" s="39" t="n"/>
      <c r="L381" s="38" t="n"/>
      <c r="M381" s="38" t="n"/>
      <c r="N381" s="38" t="n"/>
      <c r="O381" s="38" t="n"/>
      <c r="P381" s="38" t="n"/>
      <c r="Q381" s="38" t="n"/>
      <c r="U381" s="63" t="n"/>
    </row>
    <row r="382" ht="99.5" customHeight="1" thickBot="1">
      <c r="A382" s="26" t="n"/>
      <c r="B382" s="35" t="n"/>
      <c r="C382" s="35" t="n"/>
      <c r="D382" s="35" t="n"/>
      <c r="G382" s="36" t="n"/>
      <c r="H382" s="35" t="n"/>
      <c r="K382" s="39" t="n"/>
      <c r="L382" s="38" t="n"/>
      <c r="M382" s="38" t="n"/>
      <c r="N382" s="38" t="n"/>
      <c r="O382" s="38" t="n"/>
      <c r="P382" s="38" t="n"/>
      <c r="Q382" s="38" t="n"/>
      <c r="U382" s="63" t="n"/>
    </row>
    <row r="383" ht="99.5" customHeight="1" thickBot="1">
      <c r="A383" s="26" t="n"/>
      <c r="B383" s="35" t="n"/>
      <c r="C383" s="35" t="n"/>
      <c r="D383" s="35" t="n"/>
      <c r="G383" s="36" t="n"/>
      <c r="H383" s="35" t="n"/>
      <c r="K383" s="39" t="n"/>
      <c r="L383" s="38" t="n"/>
      <c r="M383" s="38" t="n"/>
      <c r="N383" s="38" t="n"/>
      <c r="O383" s="38" t="n"/>
      <c r="P383" s="38" t="n"/>
      <c r="Q383" s="38" t="n"/>
      <c r="U383" s="63" t="n"/>
    </row>
    <row r="384" ht="99.5" customHeight="1" thickBot="1">
      <c r="A384" s="26" t="n"/>
      <c r="B384" s="35" t="n"/>
      <c r="C384" s="35" t="n"/>
      <c r="D384" s="35" t="n"/>
      <c r="G384" s="36" t="n"/>
      <c r="H384" s="35" t="n"/>
      <c r="K384" s="39" t="n"/>
      <c r="L384" s="38" t="n"/>
      <c r="M384" s="38" t="n"/>
      <c r="N384" s="38" t="n"/>
      <c r="O384" s="38" t="n"/>
      <c r="P384" s="38" t="n"/>
      <c r="Q384" s="38" t="n"/>
      <c r="U384" s="63" t="n"/>
    </row>
    <row r="385" ht="99.5" customHeight="1" thickBot="1">
      <c r="A385" s="26" t="n"/>
      <c r="B385" s="35" t="n"/>
      <c r="C385" s="35" t="n"/>
      <c r="D385" s="35" t="n"/>
      <c r="G385" s="36" t="n"/>
      <c r="H385" s="35" t="n"/>
      <c r="K385" s="39" t="n"/>
      <c r="L385" s="38" t="n"/>
      <c r="M385" s="38" t="n"/>
      <c r="N385" s="38" t="n"/>
      <c r="O385" s="38" t="n"/>
      <c r="P385" s="38" t="n"/>
      <c r="Q385" s="38" t="n"/>
      <c r="U385" s="63" t="n"/>
    </row>
    <row r="386" ht="99.5" customHeight="1" thickBot="1">
      <c r="A386" s="26" t="n"/>
      <c r="B386" s="35" t="n"/>
      <c r="C386" s="35" t="n"/>
      <c r="D386" s="35" t="n"/>
      <c r="G386" s="36" t="n"/>
      <c r="H386" s="35" t="n"/>
      <c r="K386" s="39" t="n"/>
      <c r="L386" s="38" t="n"/>
      <c r="M386" s="38" t="n"/>
      <c r="N386" s="38" t="n"/>
      <c r="O386" s="38" t="n"/>
      <c r="P386" s="38" t="n"/>
      <c r="Q386" s="38" t="n"/>
      <c r="U386" s="63" t="n"/>
    </row>
    <row r="387" ht="99.5" customHeight="1" thickBot="1">
      <c r="A387" s="26" t="n"/>
      <c r="B387" s="35" t="n"/>
      <c r="C387" s="35" t="n"/>
      <c r="D387" s="35" t="n"/>
      <c r="G387" s="36" t="n"/>
      <c r="H387" s="35" t="n"/>
      <c r="K387" s="39" t="n"/>
      <c r="L387" s="38" t="n"/>
      <c r="M387" s="38" t="n"/>
      <c r="N387" s="38" t="n"/>
      <c r="O387" s="38" t="n"/>
      <c r="P387" s="38" t="n"/>
      <c r="Q387" s="38" t="n"/>
      <c r="U387" s="63" t="n"/>
    </row>
    <row r="388" ht="99.5" customHeight="1" thickBot="1">
      <c r="A388" s="26" t="n"/>
      <c r="B388" s="35" t="n"/>
      <c r="C388" s="35" t="n"/>
      <c r="D388" s="35" t="n"/>
      <c r="G388" s="36" t="n"/>
      <c r="H388" s="35" t="n"/>
      <c r="K388" s="39" t="n"/>
      <c r="L388" s="38" t="n"/>
      <c r="M388" s="38" t="n"/>
      <c r="N388" s="38" t="n"/>
      <c r="O388" s="38" t="n"/>
      <c r="P388" s="38" t="n"/>
      <c r="Q388" s="38" t="n"/>
      <c r="U388" s="63" t="n"/>
    </row>
    <row r="389" ht="99.5" customHeight="1" thickBot="1">
      <c r="A389" s="26" t="n"/>
      <c r="B389" s="35" t="n"/>
      <c r="C389" s="35" t="n"/>
      <c r="D389" s="35" t="n"/>
      <c r="G389" s="36" t="n"/>
      <c r="H389" s="35" t="n"/>
      <c r="K389" s="39" t="n"/>
      <c r="L389" s="38" t="n"/>
      <c r="M389" s="38" t="n"/>
      <c r="N389" s="38" t="n"/>
      <c r="O389" s="38" t="n"/>
      <c r="P389" s="38" t="n"/>
      <c r="Q389" s="38" t="n"/>
      <c r="U389" s="63" t="n"/>
    </row>
    <row r="390" ht="99.5" customHeight="1" thickBot="1">
      <c r="A390" s="26" t="n"/>
      <c r="B390" s="35" t="n"/>
      <c r="C390" s="35" t="n"/>
      <c r="D390" s="35" t="n"/>
      <c r="G390" s="36" t="n"/>
      <c r="H390" s="35" t="n"/>
      <c r="K390" s="39" t="n"/>
      <c r="L390" s="38" t="n"/>
      <c r="M390" s="38" t="n"/>
      <c r="N390" s="38" t="n"/>
      <c r="O390" s="38" t="n"/>
      <c r="P390" s="38" t="n"/>
      <c r="Q390" s="38" t="n"/>
      <c r="U390" s="63" t="n"/>
    </row>
    <row r="391" ht="99.5" customHeight="1" thickBot="1">
      <c r="A391" s="26" t="n"/>
      <c r="B391" s="35" t="n"/>
      <c r="C391" s="35" t="n"/>
      <c r="D391" s="35" t="n"/>
      <c r="G391" s="36" t="n"/>
      <c r="H391" s="35" t="n"/>
      <c r="K391" s="39" t="n"/>
      <c r="L391" s="38" t="n"/>
      <c r="M391" s="38" t="n"/>
      <c r="N391" s="38" t="n"/>
      <c r="O391" s="38" t="n"/>
      <c r="P391" s="38" t="n"/>
      <c r="Q391" s="38" t="n"/>
      <c r="U391" s="63" t="n"/>
    </row>
    <row r="392" ht="99.5" customHeight="1" thickBot="1">
      <c r="A392" s="26" t="n"/>
      <c r="B392" s="35" t="n"/>
      <c r="C392" s="35" t="n"/>
      <c r="D392" s="35" t="n"/>
      <c r="G392" s="36" t="n"/>
      <c r="H392" s="35" t="n"/>
      <c r="K392" s="39" t="n"/>
      <c r="L392" s="38" t="n"/>
      <c r="M392" s="38" t="n"/>
      <c r="N392" s="38" t="n"/>
      <c r="O392" s="38" t="n"/>
      <c r="P392" s="38" t="n"/>
      <c r="Q392" s="38" t="n"/>
      <c r="U392" s="63" t="n"/>
    </row>
    <row r="393" ht="99.5" customHeight="1" thickBot="1">
      <c r="A393" s="26" t="n"/>
      <c r="B393" s="35" t="n"/>
      <c r="C393" s="35" t="n"/>
      <c r="D393" s="35" t="n"/>
      <c r="G393" s="36" t="n"/>
      <c r="H393" s="35" t="n"/>
      <c r="K393" s="39" t="n"/>
      <c r="L393" s="38" t="n"/>
      <c r="M393" s="38" t="n"/>
      <c r="N393" s="38" t="n"/>
      <c r="O393" s="38" t="n"/>
      <c r="P393" s="38" t="n"/>
      <c r="Q393" s="38" t="n"/>
      <c r="U393" s="63" t="n"/>
    </row>
    <row r="394" ht="99.5" customHeight="1" thickBot="1">
      <c r="A394" s="26" t="n"/>
      <c r="B394" s="35" t="n"/>
      <c r="C394" s="35" t="n"/>
      <c r="D394" s="35" t="n"/>
      <c r="G394" s="36" t="n"/>
      <c r="H394" s="35" t="n"/>
      <c r="K394" s="39" t="n"/>
      <c r="L394" s="38" t="n"/>
      <c r="M394" s="38" t="n"/>
      <c r="N394" s="38" t="n"/>
      <c r="O394" s="38" t="n"/>
      <c r="P394" s="38" t="n"/>
      <c r="Q394" s="38" t="n"/>
      <c r="U394" s="63" t="n"/>
    </row>
    <row r="395" ht="99.5" customHeight="1" thickBot="1">
      <c r="A395" s="26" t="n"/>
      <c r="B395" s="35" t="n"/>
      <c r="C395" s="35" t="n"/>
      <c r="D395" s="35" t="n"/>
      <c r="G395" s="36" t="n"/>
      <c r="H395" s="35" t="n"/>
      <c r="K395" s="39" t="n"/>
      <c r="L395" s="38" t="n"/>
      <c r="M395" s="38" t="n"/>
      <c r="N395" s="38" t="n"/>
      <c r="O395" s="38" t="n"/>
      <c r="P395" s="38" t="n"/>
      <c r="Q395" s="38" t="n"/>
      <c r="U395" s="63" t="n"/>
    </row>
    <row r="396" ht="99.5" customHeight="1" thickBot="1">
      <c r="A396" s="26" t="n"/>
      <c r="B396" s="35" t="n"/>
      <c r="C396" s="35" t="n"/>
      <c r="D396" s="35" t="n"/>
      <c r="G396" s="36" t="n"/>
      <c r="H396" s="35" t="n"/>
      <c r="K396" s="39" t="n"/>
      <c r="L396" s="38" t="n"/>
      <c r="M396" s="38" t="n"/>
      <c r="N396" s="38" t="n"/>
      <c r="O396" s="38" t="n"/>
      <c r="P396" s="38" t="n"/>
      <c r="Q396" s="38" t="n"/>
      <c r="U396" s="63" t="n"/>
    </row>
    <row r="397" ht="99.5" customHeight="1" thickBot="1">
      <c r="A397" s="26" t="n"/>
      <c r="B397" s="35" t="n"/>
      <c r="C397" s="35" t="n"/>
      <c r="D397" s="35" t="n"/>
      <c r="G397" s="36" t="n"/>
      <c r="H397" s="35" t="n"/>
      <c r="K397" s="39" t="n"/>
      <c r="L397" s="38" t="n"/>
      <c r="M397" s="38" t="n"/>
      <c r="N397" s="38" t="n"/>
      <c r="O397" s="38" t="n"/>
      <c r="P397" s="38" t="n"/>
      <c r="Q397" s="38" t="n"/>
      <c r="U397" s="63" t="n"/>
    </row>
    <row r="398" ht="99.5" customHeight="1" thickBot="1">
      <c r="A398" s="26" t="n"/>
      <c r="B398" s="35" t="n"/>
      <c r="C398" s="35" t="n"/>
      <c r="D398" s="35" t="n"/>
      <c r="G398" s="36" t="n"/>
      <c r="H398" s="35" t="n"/>
      <c r="K398" s="39" t="n"/>
      <c r="L398" s="38" t="n"/>
      <c r="M398" s="38" t="n"/>
      <c r="N398" s="38" t="n"/>
      <c r="O398" s="38" t="n"/>
      <c r="P398" s="38" t="n"/>
      <c r="Q398" s="38" t="n"/>
      <c r="U398" s="63" t="n"/>
    </row>
    <row r="399" ht="99.5" customHeight="1" thickBot="1">
      <c r="A399" s="26" t="n"/>
      <c r="B399" s="35" t="n"/>
      <c r="C399" s="35" t="n"/>
      <c r="D399" s="35" t="n"/>
      <c r="G399" s="36" t="n"/>
      <c r="H399" s="35" t="n"/>
      <c r="K399" s="39" t="n"/>
      <c r="L399" s="38" t="n"/>
      <c r="M399" s="38" t="n"/>
      <c r="N399" s="38" t="n"/>
      <c r="O399" s="38" t="n"/>
      <c r="P399" s="38" t="n"/>
      <c r="Q399" s="38" t="n"/>
      <c r="U399" s="63" t="n"/>
    </row>
    <row r="400" ht="99.5" customHeight="1" thickBot="1">
      <c r="A400" s="26" t="n"/>
      <c r="B400" s="35" t="n"/>
      <c r="C400" s="35" t="n"/>
      <c r="D400" s="35" t="n"/>
      <c r="G400" s="36" t="n"/>
      <c r="H400" s="35" t="n"/>
      <c r="K400" s="39" t="n"/>
      <c r="L400" s="38" t="n"/>
      <c r="M400" s="38" t="n"/>
      <c r="N400" s="38" t="n"/>
      <c r="O400" s="38" t="n"/>
      <c r="P400" s="38" t="n"/>
      <c r="Q400" s="38" t="n"/>
      <c r="U400" s="63" t="n"/>
    </row>
    <row r="401" ht="99.5" customHeight="1" thickBot="1">
      <c r="A401" s="26" t="n"/>
      <c r="B401" s="35" t="n"/>
      <c r="C401" s="35" t="n"/>
      <c r="D401" s="35" t="n"/>
      <c r="G401" s="36" t="n"/>
      <c r="H401" s="35" t="n"/>
      <c r="K401" s="39" t="n"/>
      <c r="L401" s="38" t="n"/>
      <c r="M401" s="38" t="n"/>
      <c r="N401" s="38" t="n"/>
      <c r="O401" s="38" t="n"/>
      <c r="P401" s="38" t="n"/>
      <c r="Q401" s="38" t="n"/>
      <c r="U401" s="63" t="n"/>
    </row>
    <row r="402" ht="99.5" customHeight="1" thickBot="1">
      <c r="A402" s="26" t="n"/>
      <c r="B402" s="35" t="n"/>
      <c r="C402" s="35" t="n"/>
      <c r="D402" s="35" t="n"/>
      <c r="G402" s="36" t="n"/>
      <c r="H402" s="35" t="n"/>
      <c r="K402" s="39" t="n"/>
      <c r="L402" s="38" t="n"/>
      <c r="M402" s="38" t="n"/>
      <c r="N402" s="38" t="n"/>
      <c r="O402" s="38" t="n"/>
      <c r="P402" s="38" t="n"/>
      <c r="Q402" s="38" t="n"/>
      <c r="U402" s="63" t="n"/>
    </row>
    <row r="403" ht="99.5" customHeight="1" thickBot="1">
      <c r="A403" s="26" t="n"/>
      <c r="B403" s="35" t="n"/>
      <c r="C403" s="35" t="n"/>
      <c r="D403" s="35" t="n"/>
      <c r="G403" s="36" t="n"/>
      <c r="H403" s="35" t="n"/>
      <c r="K403" s="39" t="n"/>
      <c r="L403" s="38" t="n"/>
      <c r="M403" s="38" t="n"/>
      <c r="N403" s="38" t="n"/>
      <c r="O403" s="38" t="n"/>
      <c r="P403" s="38" t="n"/>
      <c r="Q403" s="38" t="n"/>
      <c r="U403" s="63" t="n"/>
    </row>
    <row r="404" ht="99.5" customHeight="1" thickBot="1">
      <c r="A404" s="26" t="n"/>
      <c r="B404" s="35" t="n"/>
      <c r="C404" s="35" t="n"/>
      <c r="D404" s="35" t="n"/>
      <c r="G404" s="36" t="n"/>
      <c r="H404" s="35" t="n"/>
      <c r="K404" s="39" t="n"/>
      <c r="L404" s="38" t="n"/>
      <c r="M404" s="38" t="n"/>
      <c r="N404" s="38" t="n"/>
      <c r="O404" s="38" t="n"/>
      <c r="P404" s="38" t="n"/>
      <c r="Q404" s="38" t="n"/>
      <c r="U404" s="63" t="n"/>
    </row>
    <row r="405" ht="99.5" customHeight="1" thickBot="1">
      <c r="A405" s="26" t="n"/>
      <c r="B405" s="35" t="n"/>
      <c r="C405" s="35" t="n"/>
      <c r="D405" s="35" t="n"/>
      <c r="G405" s="36" t="n"/>
      <c r="H405" s="35" t="n"/>
      <c r="K405" s="39" t="n"/>
      <c r="L405" s="38" t="n"/>
      <c r="M405" s="38" t="n"/>
      <c r="N405" s="38" t="n"/>
      <c r="O405" s="38" t="n"/>
      <c r="P405" s="38" t="n"/>
      <c r="Q405" s="38" t="n"/>
      <c r="U405" s="63" t="n"/>
    </row>
    <row r="406" ht="99.5" customHeight="1" thickBot="1">
      <c r="A406" s="26" t="n"/>
      <c r="B406" s="35" t="n"/>
      <c r="C406" s="35" t="n"/>
      <c r="D406" s="35" t="n"/>
      <c r="G406" s="36" t="n"/>
      <c r="H406" s="35" t="n"/>
      <c r="K406" s="39" t="n"/>
      <c r="L406" s="38" t="n"/>
      <c r="M406" s="38" t="n"/>
      <c r="N406" s="38" t="n"/>
      <c r="O406" s="38" t="n"/>
      <c r="P406" s="38" t="n"/>
      <c r="Q406" s="38" t="n"/>
      <c r="U406" s="63" t="n"/>
    </row>
    <row r="407" ht="99.5" customHeight="1" thickBot="1">
      <c r="A407" s="26" t="n"/>
      <c r="B407" s="35" t="n"/>
      <c r="C407" s="35" t="n"/>
      <c r="D407" s="35" t="n"/>
      <c r="G407" s="36" t="n"/>
      <c r="H407" s="35" t="n"/>
      <c r="K407" s="39" t="n"/>
      <c r="L407" s="38" t="n"/>
      <c r="M407" s="38" t="n"/>
      <c r="N407" s="38" t="n"/>
      <c r="O407" s="38" t="n"/>
      <c r="P407" s="38" t="n"/>
      <c r="Q407" s="38" t="n"/>
      <c r="U407" s="63" t="n"/>
    </row>
    <row r="408" ht="99.5" customHeight="1" thickBot="1">
      <c r="A408" s="26" t="n"/>
      <c r="B408" s="35" t="n"/>
      <c r="C408" s="35" t="n"/>
      <c r="D408" s="35" t="n"/>
      <c r="G408" s="36" t="n"/>
      <c r="H408" s="35" t="n"/>
      <c r="K408" s="39" t="n"/>
      <c r="L408" s="38" t="n"/>
      <c r="M408" s="38" t="n"/>
      <c r="N408" s="38" t="n"/>
      <c r="O408" s="38" t="n"/>
      <c r="P408" s="38" t="n"/>
      <c r="Q408" s="38" t="n"/>
      <c r="U408" s="63" t="n"/>
    </row>
    <row r="409" ht="99.5" customHeight="1" thickBot="1">
      <c r="A409" s="26" t="n"/>
      <c r="B409" s="35" t="n"/>
      <c r="C409" s="35" t="n"/>
      <c r="D409" s="35" t="n"/>
      <c r="G409" s="36" t="n"/>
      <c r="H409" s="35" t="n"/>
      <c r="K409" s="39" t="n"/>
      <c r="L409" s="38" t="n"/>
      <c r="M409" s="38" t="n"/>
      <c r="N409" s="38" t="n"/>
      <c r="O409" s="38" t="n"/>
      <c r="P409" s="38" t="n"/>
      <c r="Q409" s="38" t="n"/>
      <c r="U409" s="63" t="n"/>
    </row>
    <row r="410" ht="99.5" customHeight="1" thickBot="1">
      <c r="A410" s="26" t="n"/>
      <c r="B410" s="35" t="n"/>
      <c r="C410" s="35" t="n"/>
      <c r="D410" s="35" t="n"/>
      <c r="G410" s="36" t="n"/>
      <c r="H410" s="35" t="n"/>
      <c r="K410" s="39" t="n"/>
      <c r="L410" s="38" t="n"/>
      <c r="M410" s="38" t="n"/>
      <c r="N410" s="38" t="n"/>
      <c r="O410" s="38" t="n"/>
      <c r="P410" s="38" t="n"/>
      <c r="Q410" s="38" t="n"/>
      <c r="U410" s="63" t="n"/>
    </row>
    <row r="411" ht="99.5" customHeight="1" thickBot="1">
      <c r="A411" s="26" t="n"/>
      <c r="B411" s="35" t="n"/>
      <c r="C411" s="35" t="n"/>
      <c r="D411" s="35" t="n"/>
      <c r="G411" s="36" t="n"/>
      <c r="H411" s="35" t="n"/>
      <c r="K411" s="39" t="n"/>
      <c r="L411" s="38" t="n"/>
      <c r="M411" s="38" t="n"/>
      <c r="N411" s="38" t="n"/>
      <c r="O411" s="38" t="n"/>
      <c r="P411" s="38" t="n"/>
      <c r="Q411" s="38" t="n"/>
      <c r="U411" s="63" t="n"/>
    </row>
    <row r="412" ht="99.5" customHeight="1" thickBot="1">
      <c r="A412" s="26" t="n"/>
      <c r="B412" s="35" t="n"/>
      <c r="C412" s="35" t="n"/>
      <c r="D412" s="35" t="n"/>
      <c r="G412" s="36" t="n"/>
      <c r="H412" s="35" t="n"/>
      <c r="K412" s="39" t="n"/>
      <c r="L412" s="38" t="n"/>
      <c r="M412" s="38" t="n"/>
      <c r="N412" s="38" t="n"/>
      <c r="O412" s="38" t="n"/>
      <c r="P412" s="38" t="n"/>
      <c r="Q412" s="38" t="n"/>
      <c r="U412" s="63" t="n"/>
    </row>
    <row r="413" ht="99.5" customHeight="1" thickBot="1">
      <c r="A413" s="26" t="n"/>
      <c r="B413" s="35" t="n"/>
      <c r="C413" s="35" t="n"/>
      <c r="D413" s="35" t="n"/>
      <c r="G413" s="36" t="n"/>
      <c r="H413" s="35" t="n"/>
      <c r="K413" s="39" t="n"/>
      <c r="L413" s="38" t="n"/>
      <c r="M413" s="38" t="n"/>
      <c r="N413" s="38" t="n"/>
      <c r="O413" s="38" t="n"/>
      <c r="P413" s="38" t="n"/>
      <c r="Q413" s="38" t="n"/>
      <c r="U413" s="63" t="n"/>
    </row>
    <row r="414" ht="99.5" customHeight="1" thickBot="1">
      <c r="A414" s="26" t="n"/>
      <c r="B414" s="35" t="n"/>
      <c r="C414" s="35" t="n"/>
      <c r="D414" s="35" t="n"/>
      <c r="G414" s="36" t="n"/>
      <c r="H414" s="35" t="n"/>
      <c r="K414" s="39" t="n"/>
      <c r="L414" s="38" t="n"/>
      <c r="M414" s="38" t="n"/>
      <c r="N414" s="38" t="n"/>
      <c r="O414" s="38" t="n"/>
      <c r="P414" s="38" t="n"/>
      <c r="Q414" s="38" t="n"/>
      <c r="U414" s="63" t="n"/>
    </row>
    <row r="415" ht="99.5" customHeight="1" thickBot="1">
      <c r="A415" s="26" t="n"/>
      <c r="B415" s="35" t="n"/>
      <c r="C415" s="35" t="n"/>
      <c r="D415" s="35" t="n"/>
      <c r="G415" s="36" t="n"/>
      <c r="H415" s="35" t="n"/>
      <c r="K415" s="39" t="n"/>
      <c r="L415" s="38" t="n"/>
      <c r="M415" s="38" t="n"/>
      <c r="N415" s="38" t="n"/>
      <c r="O415" s="38" t="n"/>
      <c r="P415" s="38" t="n"/>
      <c r="Q415" s="38" t="n"/>
      <c r="U415" s="63" t="n"/>
    </row>
    <row r="416" ht="99.5" customHeight="1" thickBot="1">
      <c r="A416" s="26" t="n"/>
      <c r="B416" s="35" t="n"/>
      <c r="C416" s="35" t="n"/>
      <c r="D416" s="35" t="n"/>
      <c r="G416" s="36" t="n"/>
      <c r="H416" s="35" t="n"/>
      <c r="K416" s="39" t="n"/>
      <c r="L416" s="38" t="n"/>
      <c r="M416" s="38" t="n"/>
      <c r="N416" s="38" t="n"/>
      <c r="O416" s="38" t="n"/>
      <c r="P416" s="38" t="n"/>
      <c r="Q416" s="38" t="n"/>
      <c r="U416" s="63" t="n"/>
    </row>
    <row r="417" ht="99.5" customHeight="1" thickBot="1">
      <c r="A417" s="26" t="n"/>
      <c r="B417" s="35" t="n"/>
      <c r="C417" s="35" t="n"/>
      <c r="D417" s="35" t="n"/>
      <c r="G417" s="36" t="n"/>
      <c r="H417" s="35" t="n"/>
      <c r="K417" s="39" t="n"/>
      <c r="L417" s="38" t="n"/>
      <c r="M417" s="38" t="n"/>
      <c r="N417" s="38" t="n"/>
      <c r="O417" s="38" t="n"/>
      <c r="P417" s="38" t="n"/>
      <c r="Q417" s="38" t="n"/>
      <c r="U417" s="63" t="n"/>
    </row>
    <row r="418" ht="99.5" customHeight="1" thickBot="1">
      <c r="A418" s="26" t="n"/>
      <c r="B418" s="35" t="n"/>
      <c r="C418" s="35" t="n"/>
      <c r="D418" s="35" t="n"/>
      <c r="G418" s="36" t="n"/>
      <c r="H418" s="35" t="n"/>
      <c r="K418" s="39" t="n"/>
      <c r="L418" s="38" t="n"/>
      <c r="M418" s="38" t="n"/>
      <c r="N418" s="38" t="n"/>
      <c r="O418" s="38" t="n"/>
      <c r="P418" s="38" t="n"/>
      <c r="Q418" s="38" t="n"/>
      <c r="U418" s="63" t="n"/>
    </row>
    <row r="419" ht="99.5" customHeight="1" thickBot="1">
      <c r="A419" s="26" t="n"/>
      <c r="B419" s="35" t="n"/>
      <c r="C419" s="35" t="n"/>
      <c r="D419" s="35" t="n"/>
      <c r="G419" s="36" t="n"/>
      <c r="H419" s="35" t="n"/>
      <c r="K419" s="39" t="n"/>
      <c r="L419" s="38" t="n"/>
      <c r="M419" s="38" t="n"/>
      <c r="N419" s="38" t="n"/>
      <c r="O419" s="38" t="n"/>
      <c r="P419" s="38" t="n"/>
      <c r="Q419" s="38" t="n"/>
      <c r="U419" s="63" t="n"/>
    </row>
    <row r="420" ht="99.5" customHeight="1" thickBot="1">
      <c r="A420" s="26" t="n"/>
      <c r="B420" s="35" t="n"/>
      <c r="C420" s="35" t="n"/>
      <c r="D420" s="35" t="n"/>
      <c r="G420" s="36" t="n"/>
      <c r="H420" s="35" t="n"/>
      <c r="K420" s="39" t="n"/>
      <c r="L420" s="38" t="n"/>
      <c r="M420" s="38" t="n"/>
      <c r="N420" s="38" t="n"/>
      <c r="O420" s="38" t="n"/>
      <c r="P420" s="38" t="n"/>
      <c r="Q420" s="38" t="n"/>
      <c r="U420" s="63" t="n"/>
    </row>
    <row r="421" ht="99.5" customHeight="1" thickBot="1">
      <c r="A421" s="26" t="n"/>
      <c r="B421" s="35" t="n"/>
      <c r="C421" s="35" t="n"/>
      <c r="D421" s="35" t="n"/>
      <c r="G421" s="36" t="n"/>
      <c r="H421" s="35" t="n"/>
      <c r="K421" s="39" t="n"/>
      <c r="L421" s="38" t="n"/>
      <c r="M421" s="38" t="n"/>
      <c r="N421" s="38" t="n"/>
      <c r="O421" s="38" t="n"/>
      <c r="P421" s="38" t="n"/>
      <c r="Q421" s="38" t="n"/>
      <c r="U421" s="63" t="n"/>
    </row>
    <row r="422" ht="99.5" customHeight="1" thickBot="1">
      <c r="A422" s="26" t="n"/>
      <c r="B422" s="35" t="n"/>
      <c r="C422" s="35" t="n"/>
      <c r="D422" s="35" t="n"/>
      <c r="G422" s="36" t="n"/>
      <c r="H422" s="35" t="n"/>
      <c r="K422" s="39" t="n"/>
      <c r="L422" s="38" t="n"/>
      <c r="M422" s="38" t="n"/>
      <c r="N422" s="38" t="n"/>
      <c r="O422" s="38" t="n"/>
      <c r="P422" s="38" t="n"/>
      <c r="Q422" s="38" t="n"/>
      <c r="U422" s="63" t="n"/>
    </row>
    <row r="423" ht="99.5" customHeight="1" thickBot="1">
      <c r="A423" s="26" t="n"/>
      <c r="B423" s="35" t="n"/>
      <c r="C423" s="35" t="n"/>
      <c r="D423" s="35" t="n"/>
      <c r="G423" s="36" t="n"/>
      <c r="H423" s="35" t="n"/>
      <c r="K423" s="39" t="n"/>
      <c r="L423" s="38" t="n"/>
      <c r="M423" s="38" t="n"/>
      <c r="N423" s="38" t="n"/>
      <c r="O423" s="38" t="n"/>
      <c r="P423" s="38" t="n"/>
      <c r="Q423" s="38" t="n"/>
      <c r="U423" s="63" t="n"/>
    </row>
    <row r="424" ht="99.5" customHeight="1" thickBot="1">
      <c r="A424" s="26" t="n"/>
      <c r="B424" s="35" t="n"/>
      <c r="C424" s="35" t="n"/>
      <c r="D424" s="35" t="n"/>
      <c r="G424" s="36" t="n"/>
      <c r="H424" s="35" t="n"/>
      <c r="K424" s="39" t="n"/>
      <c r="L424" s="38" t="n"/>
      <c r="M424" s="38" t="n"/>
      <c r="N424" s="38" t="n"/>
      <c r="O424" s="38" t="n"/>
      <c r="P424" s="38" t="n"/>
      <c r="Q424" s="38" t="n"/>
      <c r="U424" s="63" t="n"/>
    </row>
    <row r="425" ht="99.5" customHeight="1" thickBot="1">
      <c r="A425" s="26" t="n"/>
      <c r="B425" s="35" t="n"/>
      <c r="C425" s="35" t="n"/>
      <c r="D425" s="35" t="n"/>
      <c r="G425" s="36" t="n"/>
      <c r="H425" s="35" t="n"/>
      <c r="K425" s="39" t="n"/>
      <c r="L425" s="38" t="n"/>
      <c r="M425" s="38" t="n"/>
      <c r="N425" s="38" t="n"/>
      <c r="O425" s="38" t="n"/>
      <c r="P425" s="38" t="n"/>
      <c r="Q425" s="38" t="n"/>
      <c r="U425" s="63" t="n"/>
    </row>
    <row r="426" ht="99.5" customHeight="1" thickBot="1">
      <c r="A426" s="26" t="n"/>
      <c r="B426" s="35" t="n"/>
      <c r="C426" s="35" t="n"/>
      <c r="D426" s="35" t="n"/>
      <c r="G426" s="36" t="n"/>
      <c r="H426" s="35" t="n"/>
      <c r="K426" s="39" t="n"/>
      <c r="L426" s="38" t="n"/>
      <c r="M426" s="38" t="n"/>
      <c r="N426" s="38" t="n"/>
      <c r="O426" s="38" t="n"/>
      <c r="P426" s="38" t="n"/>
      <c r="Q426" s="38" t="n"/>
      <c r="U426" s="63" t="n"/>
    </row>
    <row r="427" ht="99.5" customHeight="1" thickBot="1">
      <c r="A427" s="26" t="n"/>
      <c r="B427" s="35" t="n"/>
      <c r="C427" s="35" t="n"/>
      <c r="D427" s="35" t="n"/>
      <c r="G427" s="36" t="n"/>
      <c r="H427" s="35" t="n"/>
      <c r="K427" s="39" t="n"/>
      <c r="L427" s="38" t="n"/>
      <c r="M427" s="38" t="n"/>
      <c r="N427" s="38" t="n"/>
      <c r="O427" s="38" t="n"/>
      <c r="P427" s="38" t="n"/>
      <c r="Q427" s="38" t="n"/>
      <c r="U427" s="63" t="n"/>
    </row>
    <row r="428" ht="99.5" customHeight="1" thickBot="1">
      <c r="A428" s="26" t="n"/>
      <c r="B428" s="35" t="n"/>
      <c r="C428" s="35" t="n"/>
      <c r="D428" s="35" t="n"/>
      <c r="G428" s="36" t="n"/>
      <c r="H428" s="35" t="n"/>
      <c r="K428" s="39" t="n"/>
      <c r="L428" s="38" t="n"/>
      <c r="M428" s="38" t="n"/>
      <c r="N428" s="38" t="n"/>
      <c r="O428" s="38" t="n"/>
      <c r="P428" s="38" t="n"/>
      <c r="Q428" s="38" t="n"/>
      <c r="U428" s="63" t="n"/>
    </row>
    <row r="429" ht="99.5" customHeight="1" thickBot="1">
      <c r="A429" s="26" t="n"/>
      <c r="B429" s="35" t="n"/>
      <c r="C429" s="35" t="n"/>
      <c r="D429" s="35" t="n"/>
      <c r="G429" s="36" t="n"/>
      <c r="H429" s="35" t="n"/>
      <c r="K429" s="39" t="n"/>
      <c r="L429" s="38" t="n"/>
      <c r="M429" s="38" t="n"/>
      <c r="N429" s="38" t="n"/>
      <c r="O429" s="38" t="n"/>
      <c r="P429" s="38" t="n"/>
      <c r="Q429" s="38" t="n"/>
      <c r="U429" s="63" t="n"/>
    </row>
    <row r="430" ht="99.5" customHeight="1" thickBot="1">
      <c r="A430" s="26" t="n"/>
      <c r="B430" s="35" t="n"/>
      <c r="C430" s="35" t="n"/>
      <c r="D430" s="35" t="n"/>
      <c r="G430" s="36" t="n"/>
      <c r="H430" s="35" t="n"/>
      <c r="K430" s="39" t="n"/>
      <c r="L430" s="38" t="n"/>
      <c r="M430" s="38" t="n"/>
      <c r="N430" s="38" t="n"/>
      <c r="O430" s="38" t="n"/>
      <c r="P430" s="38" t="n"/>
      <c r="Q430" s="38" t="n"/>
      <c r="U430" s="63" t="n"/>
    </row>
    <row r="431" ht="99.5" customHeight="1" thickBot="1">
      <c r="A431" s="26" t="n"/>
      <c r="B431" s="35" t="n"/>
      <c r="C431" s="35" t="n"/>
      <c r="D431" s="35" t="n"/>
      <c r="G431" s="36" t="n"/>
      <c r="H431" s="35" t="n"/>
      <c r="K431" s="39" t="n"/>
      <c r="L431" s="38" t="n"/>
      <c r="M431" s="38" t="n"/>
      <c r="N431" s="38" t="n"/>
      <c r="O431" s="38" t="n"/>
      <c r="P431" s="38" t="n"/>
      <c r="Q431" s="38" t="n"/>
      <c r="U431" s="63" t="n"/>
    </row>
    <row r="432" ht="99.5" customHeight="1" thickBot="1">
      <c r="A432" s="26" t="n"/>
      <c r="B432" s="35" t="n"/>
      <c r="C432" s="35" t="n"/>
      <c r="D432" s="35" t="n"/>
      <c r="G432" s="36" t="n"/>
      <c r="H432" s="35" t="n"/>
      <c r="K432" s="39" t="n"/>
      <c r="L432" s="38" t="n"/>
      <c r="M432" s="38" t="n"/>
      <c r="N432" s="38" t="n"/>
      <c r="O432" s="38" t="n"/>
      <c r="P432" s="38" t="n"/>
      <c r="Q432" s="38" t="n"/>
      <c r="U432" s="63" t="n"/>
    </row>
    <row r="433" ht="99.5" customHeight="1" thickBot="1">
      <c r="A433" s="26" t="n"/>
      <c r="B433" s="35" t="n"/>
      <c r="C433" s="35" t="n"/>
      <c r="D433" s="35" t="n"/>
      <c r="G433" s="36" t="n"/>
      <c r="H433" s="35" t="n"/>
      <c r="K433" s="39" t="n"/>
      <c r="L433" s="38" t="n"/>
      <c r="M433" s="38" t="n"/>
      <c r="N433" s="38" t="n"/>
      <c r="O433" s="38" t="n"/>
      <c r="P433" s="38" t="n"/>
      <c r="Q433" s="38" t="n"/>
      <c r="U433" s="63" t="n"/>
    </row>
    <row r="434" ht="99.5" customHeight="1" thickBot="1">
      <c r="A434" s="26" t="n"/>
      <c r="B434" s="35" t="n"/>
      <c r="C434" s="35" t="n"/>
      <c r="D434" s="35" t="n"/>
      <c r="G434" s="36" t="n"/>
      <c r="H434" s="35" t="n"/>
      <c r="K434" s="39" t="n"/>
      <c r="L434" s="38" t="n"/>
      <c r="M434" s="38" t="n"/>
      <c r="N434" s="38" t="n"/>
      <c r="O434" s="38" t="n"/>
      <c r="P434" s="38" t="n"/>
      <c r="Q434" s="38" t="n"/>
      <c r="U434" s="63" t="n"/>
    </row>
    <row r="435" ht="99.5" customHeight="1" thickBot="1">
      <c r="A435" s="26" t="n"/>
      <c r="B435" s="35" t="n"/>
      <c r="C435" s="35" t="n"/>
      <c r="D435" s="35" t="n"/>
      <c r="G435" s="36" t="n"/>
      <c r="H435" s="35" t="n"/>
      <c r="K435" s="39" t="n"/>
      <c r="L435" s="38" t="n"/>
      <c r="M435" s="38" t="n"/>
      <c r="N435" s="38" t="n"/>
      <c r="O435" s="38" t="n"/>
      <c r="P435" s="38" t="n"/>
      <c r="Q435" s="38" t="n"/>
      <c r="U435" s="63" t="n"/>
    </row>
    <row r="436" ht="99.5" customHeight="1" thickBot="1">
      <c r="A436" s="26" t="n"/>
      <c r="B436" s="35" t="n"/>
      <c r="C436" s="35" t="n"/>
      <c r="D436" s="35" t="n"/>
      <c r="G436" s="36" t="n"/>
      <c r="H436" s="35" t="n"/>
      <c r="K436" s="39" t="n"/>
      <c r="L436" s="38" t="n"/>
      <c r="M436" s="38" t="n"/>
      <c r="N436" s="38" t="n"/>
      <c r="O436" s="38" t="n"/>
      <c r="P436" s="38" t="n"/>
      <c r="Q436" s="38" t="n"/>
      <c r="U436" s="63" t="n"/>
    </row>
    <row r="437" ht="99.5" customHeight="1" thickBot="1">
      <c r="A437" s="26" t="n"/>
      <c r="B437" s="35" t="n"/>
      <c r="C437" s="35" t="n"/>
      <c r="D437" s="35" t="n"/>
      <c r="G437" s="36" t="n"/>
      <c r="H437" s="35" t="n"/>
      <c r="K437" s="39" t="n"/>
      <c r="L437" s="38" t="n"/>
      <c r="M437" s="38" t="n"/>
      <c r="N437" s="38" t="n"/>
      <c r="O437" s="38" t="n"/>
      <c r="P437" s="38" t="n"/>
      <c r="Q437" s="38" t="n"/>
      <c r="U437" s="63" t="n"/>
    </row>
    <row r="438" ht="99.5" customHeight="1" thickBot="1">
      <c r="A438" s="26" t="n"/>
      <c r="B438" s="35" t="n"/>
      <c r="C438" s="35" t="n"/>
      <c r="D438" s="35" t="n"/>
      <c r="G438" s="36" t="n"/>
      <c r="H438" s="35" t="n"/>
      <c r="K438" s="39" t="n"/>
      <c r="L438" s="38" t="n"/>
      <c r="M438" s="38" t="n"/>
      <c r="N438" s="38" t="n"/>
      <c r="O438" s="38" t="n"/>
      <c r="P438" s="38" t="n"/>
      <c r="Q438" s="38" t="n"/>
      <c r="U438" s="63" t="n"/>
    </row>
    <row r="439" ht="99.5" customHeight="1" thickBot="1">
      <c r="A439" s="26" t="n"/>
      <c r="B439" s="35" t="n"/>
      <c r="C439" s="35" t="n"/>
      <c r="D439" s="35" t="n"/>
      <c r="G439" s="36" t="n"/>
      <c r="H439" s="35" t="n"/>
      <c r="K439" s="39" t="n"/>
      <c r="L439" s="38" t="n"/>
      <c r="M439" s="38" t="n"/>
      <c r="N439" s="38" t="n"/>
      <c r="O439" s="38" t="n"/>
      <c r="P439" s="38" t="n"/>
      <c r="Q439" s="38" t="n"/>
      <c r="U439" s="63" t="n"/>
    </row>
    <row r="440" ht="99.5" customHeight="1" thickBot="1">
      <c r="A440" s="26" t="n"/>
      <c r="B440" s="35" t="n"/>
      <c r="C440" s="35" t="n"/>
      <c r="D440" s="35" t="n"/>
      <c r="G440" s="36" t="n"/>
      <c r="H440" s="35" t="n"/>
      <c r="K440" s="39" t="n"/>
      <c r="L440" s="38" t="n"/>
      <c r="M440" s="38" t="n"/>
      <c r="N440" s="38" t="n"/>
      <c r="O440" s="38" t="n"/>
      <c r="P440" s="38" t="n"/>
      <c r="Q440" s="38" t="n"/>
      <c r="U440" s="63" t="n"/>
    </row>
    <row r="441" ht="99.5" customHeight="1" thickBot="1">
      <c r="A441" s="26" t="n"/>
      <c r="B441" s="35" t="n"/>
      <c r="C441" s="35" t="n"/>
      <c r="D441" s="35" t="n"/>
      <c r="G441" s="36" t="n"/>
      <c r="H441" s="35" t="n"/>
      <c r="K441" s="39" t="n"/>
      <c r="L441" s="38" t="n"/>
      <c r="M441" s="38" t="n"/>
      <c r="N441" s="38" t="n"/>
      <c r="O441" s="38" t="n"/>
      <c r="P441" s="38" t="n"/>
      <c r="Q441" s="38" t="n"/>
      <c r="U441" s="63" t="n"/>
    </row>
    <row r="442" ht="99.5" customHeight="1" thickBot="1">
      <c r="A442" s="26" t="n"/>
      <c r="B442" s="35" t="n"/>
      <c r="C442" s="35" t="n"/>
      <c r="D442" s="35" t="n"/>
      <c r="G442" s="36" t="n"/>
      <c r="H442" s="35" t="n"/>
      <c r="K442" s="39" t="n"/>
      <c r="L442" s="38" t="n"/>
      <c r="M442" s="38" t="n"/>
      <c r="N442" s="38" t="n"/>
      <c r="O442" s="38" t="n"/>
      <c r="P442" s="38" t="n"/>
      <c r="Q442" s="38" t="n"/>
      <c r="U442" s="63" t="n"/>
    </row>
    <row r="443" ht="99.5" customHeight="1" thickBot="1">
      <c r="A443" s="26" t="n"/>
      <c r="B443" s="35" t="n"/>
      <c r="C443" s="35" t="n"/>
      <c r="D443" s="35" t="n"/>
      <c r="G443" s="36" t="n"/>
      <c r="H443" s="35" t="n"/>
      <c r="K443" s="39" t="n"/>
      <c r="L443" s="38" t="n"/>
      <c r="M443" s="38" t="n"/>
      <c r="N443" s="38" t="n"/>
      <c r="O443" s="38" t="n"/>
      <c r="P443" s="38" t="n"/>
      <c r="Q443" s="38" t="n"/>
      <c r="U443" s="63" t="n"/>
    </row>
    <row r="444" ht="99.5" customHeight="1" thickBot="1">
      <c r="A444" s="26" t="n"/>
      <c r="B444" s="35" t="n"/>
      <c r="C444" s="35" t="n"/>
      <c r="D444" s="35" t="n"/>
      <c r="G444" s="36" t="n"/>
      <c r="H444" s="35" t="n"/>
      <c r="K444" s="39" t="n"/>
      <c r="L444" s="38" t="n"/>
      <c r="M444" s="38" t="n"/>
      <c r="N444" s="38" t="n"/>
      <c r="O444" s="38" t="n"/>
      <c r="P444" s="38" t="n"/>
      <c r="Q444" s="38" t="n"/>
      <c r="U444" s="63" t="n"/>
    </row>
    <row r="445" ht="99.5" customHeight="1" thickBot="1">
      <c r="A445" s="26" t="n"/>
      <c r="B445" s="35" t="n"/>
      <c r="C445" s="35" t="n"/>
      <c r="D445" s="35" t="n"/>
      <c r="G445" s="36" t="n"/>
      <c r="H445" s="35" t="n"/>
      <c r="K445" s="39" t="n"/>
      <c r="L445" s="38" t="n"/>
      <c r="M445" s="38" t="n"/>
      <c r="N445" s="38" t="n"/>
      <c r="O445" s="38" t="n"/>
      <c r="P445" s="38" t="n"/>
      <c r="Q445" s="38" t="n"/>
      <c r="U445" s="63" t="n"/>
    </row>
    <row r="446" ht="99.5" customHeight="1" thickBot="1">
      <c r="A446" s="26" t="n"/>
      <c r="B446" s="35" t="n"/>
      <c r="C446" s="35" t="n"/>
      <c r="D446" s="35" t="n"/>
      <c r="G446" s="36" t="n"/>
      <c r="H446" s="35" t="n"/>
      <c r="K446" s="39" t="n"/>
      <c r="L446" s="38" t="n"/>
      <c r="M446" s="38" t="n"/>
      <c r="N446" s="38" t="n"/>
      <c r="O446" s="38" t="n"/>
      <c r="P446" s="38" t="n"/>
      <c r="Q446" s="38" t="n"/>
      <c r="U446" s="63" t="n"/>
    </row>
    <row r="447" ht="99.5" customHeight="1" thickBot="1">
      <c r="A447" s="26" t="n"/>
      <c r="B447" s="35" t="n"/>
      <c r="C447" s="35" t="n"/>
      <c r="D447" s="35" t="n"/>
      <c r="G447" s="36" t="n"/>
      <c r="H447" s="35" t="n"/>
      <c r="K447" s="39" t="n"/>
      <c r="L447" s="38" t="n"/>
      <c r="M447" s="38" t="n"/>
      <c r="N447" s="38" t="n"/>
      <c r="O447" s="38" t="n"/>
      <c r="P447" s="38" t="n"/>
      <c r="Q447" s="38" t="n"/>
      <c r="U447" s="63" t="n"/>
    </row>
    <row r="448" ht="99.5" customHeight="1" thickBot="1">
      <c r="A448" s="26" t="n"/>
      <c r="B448" s="35" t="n"/>
      <c r="C448" s="35" t="n"/>
      <c r="D448" s="35" t="n"/>
      <c r="G448" s="36" t="n"/>
      <c r="H448" s="35" t="n"/>
      <c r="K448" s="39" t="n"/>
      <c r="L448" s="38" t="n"/>
      <c r="M448" s="38" t="n"/>
      <c r="N448" s="38" t="n"/>
      <c r="O448" s="38" t="n"/>
      <c r="P448" s="38" t="n"/>
      <c r="Q448" s="38" t="n"/>
      <c r="U448" s="63" t="n"/>
    </row>
    <row r="449" ht="99.5" customHeight="1" thickBot="1">
      <c r="A449" s="26" t="n"/>
      <c r="B449" s="35" t="n"/>
      <c r="C449" s="35" t="n"/>
      <c r="D449" s="35" t="n"/>
      <c r="G449" s="36" t="n"/>
      <c r="H449" s="35" t="n"/>
      <c r="K449" s="39" t="n"/>
      <c r="L449" s="38" t="n"/>
      <c r="M449" s="38" t="n"/>
      <c r="N449" s="38" t="n"/>
      <c r="O449" s="38" t="n"/>
      <c r="P449" s="38" t="n"/>
      <c r="Q449" s="38" t="n"/>
      <c r="U449" s="63" t="n"/>
    </row>
    <row r="450" ht="99.5" customHeight="1" thickBot="1">
      <c r="A450" s="26" t="n"/>
      <c r="B450" s="35" t="n"/>
      <c r="C450" s="35" t="n"/>
      <c r="D450" s="35" t="n"/>
      <c r="G450" s="36" t="n"/>
      <c r="H450" s="35" t="n"/>
      <c r="K450" s="39" t="n"/>
      <c r="L450" s="38" t="n"/>
      <c r="M450" s="38" t="n"/>
      <c r="N450" s="38" t="n"/>
      <c r="O450" s="38" t="n"/>
      <c r="P450" s="38" t="n"/>
      <c r="Q450" s="38" t="n"/>
      <c r="U450" s="63" t="n"/>
    </row>
    <row r="451" ht="99.5" customHeight="1" thickBot="1">
      <c r="A451" s="26" t="n"/>
      <c r="B451" s="35" t="n"/>
      <c r="C451" s="35" t="n"/>
      <c r="D451" s="35" t="n"/>
      <c r="G451" s="36" t="n"/>
      <c r="H451" s="35" t="n"/>
      <c r="K451" s="39" t="n"/>
      <c r="L451" s="38" t="n"/>
      <c r="M451" s="38" t="n"/>
      <c r="N451" s="38" t="n"/>
      <c r="O451" s="38" t="n"/>
      <c r="P451" s="38" t="n"/>
      <c r="Q451" s="38" t="n"/>
      <c r="U451" s="63" t="n"/>
    </row>
    <row r="452" ht="99.5" customHeight="1" thickBot="1">
      <c r="A452" s="26" t="n"/>
      <c r="B452" s="35" t="n"/>
      <c r="C452" s="35" t="n"/>
      <c r="D452" s="35" t="n"/>
      <c r="G452" s="36" t="n"/>
      <c r="H452" s="35" t="n"/>
      <c r="K452" s="39" t="n"/>
      <c r="L452" s="38" t="n"/>
      <c r="M452" s="38" t="n"/>
      <c r="N452" s="38" t="n"/>
      <c r="O452" s="38" t="n"/>
      <c r="P452" s="38" t="n"/>
      <c r="Q452" s="38" t="n"/>
      <c r="U452" s="63" t="n"/>
    </row>
    <row r="453" ht="99.5" customHeight="1" thickBot="1">
      <c r="A453" s="26" t="n"/>
      <c r="B453" s="35" t="n"/>
      <c r="C453" s="35" t="n"/>
      <c r="D453" s="35" t="n"/>
      <c r="G453" s="36" t="n"/>
      <c r="H453" s="35" t="n"/>
      <c r="K453" s="39" t="n"/>
      <c r="L453" s="38" t="n"/>
      <c r="M453" s="38" t="n"/>
      <c r="N453" s="38" t="n"/>
      <c r="O453" s="38" t="n"/>
      <c r="P453" s="38" t="n"/>
      <c r="Q453" s="38" t="n"/>
      <c r="U453" s="63" t="n"/>
    </row>
    <row r="454" ht="99.5" customHeight="1" thickBot="1">
      <c r="A454" s="26" t="n"/>
      <c r="B454" s="35" t="n"/>
      <c r="C454" s="35" t="n"/>
      <c r="D454" s="35" t="n"/>
      <c r="G454" s="36" t="n"/>
      <c r="H454" s="35" t="n"/>
      <c r="K454" s="39" t="n"/>
      <c r="L454" s="38" t="n"/>
      <c r="M454" s="38" t="n"/>
      <c r="N454" s="38" t="n"/>
      <c r="O454" s="38" t="n"/>
      <c r="P454" s="38" t="n"/>
      <c r="Q454" s="38" t="n"/>
      <c r="U454" s="63" t="n"/>
    </row>
    <row r="455" ht="99.5" customHeight="1" thickBot="1">
      <c r="A455" s="26" t="n"/>
      <c r="B455" s="35" t="n"/>
      <c r="C455" s="35" t="n"/>
      <c r="D455" s="35" t="n"/>
      <c r="G455" s="36" t="n"/>
      <c r="H455" s="35" t="n"/>
      <c r="K455" s="39" t="n"/>
      <c r="L455" s="38" t="n"/>
      <c r="M455" s="38" t="n"/>
      <c r="N455" s="38" t="n"/>
      <c r="O455" s="38" t="n"/>
      <c r="P455" s="38" t="n"/>
      <c r="Q455" s="38" t="n"/>
      <c r="U455" s="63" t="n"/>
    </row>
    <row r="456" ht="99.5" customHeight="1" thickBot="1">
      <c r="A456" s="26" t="n"/>
      <c r="B456" s="35" t="n"/>
      <c r="C456" s="35" t="n"/>
      <c r="D456" s="35" t="n"/>
      <c r="G456" s="36" t="n"/>
      <c r="H456" s="35" t="n"/>
      <c r="K456" s="39" t="n"/>
      <c r="L456" s="38" t="n"/>
      <c r="M456" s="38" t="n"/>
      <c r="N456" s="38" t="n"/>
      <c r="O456" s="38" t="n"/>
      <c r="P456" s="38" t="n"/>
      <c r="Q456" s="38" t="n"/>
      <c r="U456" s="63" t="n"/>
    </row>
    <row r="457" ht="99.5" customHeight="1" thickBot="1">
      <c r="A457" s="26" t="n"/>
      <c r="B457" s="35" t="n"/>
      <c r="C457" s="35" t="n"/>
      <c r="D457" s="35" t="n"/>
      <c r="G457" s="36" t="n"/>
      <c r="H457" s="35" t="n"/>
      <c r="K457" s="39" t="n"/>
      <c r="L457" s="38" t="n"/>
      <c r="M457" s="38" t="n"/>
      <c r="N457" s="38" t="n"/>
      <c r="O457" s="38" t="n"/>
      <c r="P457" s="38" t="n"/>
      <c r="Q457" s="38" t="n"/>
      <c r="U457" s="63" t="n"/>
    </row>
    <row r="458" ht="99.5" customHeight="1" thickBot="1">
      <c r="A458" s="26" t="n"/>
      <c r="B458" s="35" t="n"/>
      <c r="C458" s="35" t="n"/>
      <c r="D458" s="35" t="n"/>
      <c r="G458" s="36" t="n"/>
      <c r="H458" s="35" t="n"/>
      <c r="K458" s="39" t="n"/>
      <c r="L458" s="38" t="n"/>
      <c r="M458" s="38" t="n"/>
      <c r="N458" s="38" t="n"/>
      <c r="O458" s="38" t="n"/>
      <c r="P458" s="38" t="n"/>
      <c r="Q458" s="38" t="n"/>
      <c r="U458" s="63" t="n"/>
    </row>
    <row r="459" ht="99.5" customHeight="1" thickBot="1">
      <c r="A459" s="26" t="n"/>
      <c r="B459" s="35" t="n"/>
      <c r="C459" s="35" t="n"/>
      <c r="D459" s="35" t="n"/>
      <c r="G459" s="36" t="n"/>
      <c r="H459" s="35" t="n"/>
      <c r="K459" s="39" t="n"/>
      <c r="L459" s="38" t="n"/>
      <c r="M459" s="38" t="n"/>
      <c r="N459" s="38" t="n"/>
      <c r="O459" s="38" t="n"/>
      <c r="P459" s="38" t="n"/>
      <c r="Q459" s="38" t="n"/>
      <c r="U459" s="63" t="n"/>
    </row>
    <row r="460" ht="99.5" customHeight="1" thickBot="1">
      <c r="A460" s="26" t="n"/>
      <c r="B460" s="35" t="n"/>
      <c r="C460" s="35" t="n"/>
      <c r="D460" s="35" t="n"/>
      <c r="G460" s="36" t="n"/>
      <c r="H460" s="35" t="n"/>
      <c r="K460" s="39" t="n"/>
      <c r="L460" s="38" t="n"/>
      <c r="M460" s="38" t="n"/>
      <c r="N460" s="38" t="n"/>
      <c r="O460" s="38" t="n"/>
      <c r="P460" s="38" t="n"/>
      <c r="Q460" s="38" t="n"/>
      <c r="U460" s="63" t="n"/>
    </row>
    <row r="461" ht="99.5" customHeight="1" thickBot="1">
      <c r="A461" s="26" t="n"/>
      <c r="B461" s="35" t="n"/>
      <c r="C461" s="35" t="n"/>
      <c r="D461" s="35" t="n"/>
      <c r="G461" s="36" t="n"/>
      <c r="H461" s="35" t="n"/>
      <c r="K461" s="39" t="n"/>
      <c r="L461" s="38" t="n"/>
      <c r="M461" s="38" t="n"/>
      <c r="N461" s="38" t="n"/>
      <c r="O461" s="38" t="n"/>
      <c r="P461" s="38" t="n"/>
      <c r="Q461" s="38" t="n"/>
      <c r="U461" s="63" t="n"/>
    </row>
    <row r="462" ht="99.5" customHeight="1" thickBot="1">
      <c r="A462" s="26" t="n"/>
      <c r="B462" s="35" t="n"/>
      <c r="C462" s="35" t="n"/>
      <c r="D462" s="35" t="n"/>
      <c r="G462" s="36" t="n"/>
      <c r="H462" s="35" t="n"/>
      <c r="K462" s="39" t="n"/>
      <c r="L462" s="38" t="n"/>
      <c r="M462" s="38" t="n"/>
      <c r="N462" s="38" t="n"/>
      <c r="O462" s="38" t="n"/>
      <c r="P462" s="38" t="n"/>
      <c r="Q462" s="38" t="n"/>
      <c r="U462" s="63" t="n"/>
    </row>
    <row r="463" ht="99.5" customHeight="1" thickBot="1">
      <c r="A463" s="26" t="n"/>
      <c r="B463" s="35" t="n"/>
      <c r="C463" s="35" t="n"/>
      <c r="D463" s="35" t="n"/>
      <c r="G463" s="36" t="n"/>
      <c r="H463" s="35" t="n"/>
      <c r="K463" s="39" t="n"/>
      <c r="L463" s="38" t="n"/>
      <c r="M463" s="38" t="n"/>
      <c r="N463" s="38" t="n"/>
      <c r="O463" s="38" t="n"/>
      <c r="P463" s="38" t="n"/>
      <c r="Q463" s="38" t="n"/>
      <c r="U463" s="63" t="n"/>
    </row>
    <row r="464" ht="99.5" customHeight="1" thickBot="1">
      <c r="A464" s="26" t="n"/>
      <c r="B464" s="35" t="n"/>
      <c r="C464" s="35" t="n"/>
      <c r="D464" s="35" t="n"/>
      <c r="G464" s="36" t="n"/>
      <c r="H464" s="35" t="n"/>
      <c r="K464" s="39" t="n"/>
      <c r="L464" s="38" t="n"/>
      <c r="M464" s="38" t="n"/>
      <c r="N464" s="38" t="n"/>
      <c r="O464" s="38" t="n"/>
      <c r="P464" s="38" t="n"/>
      <c r="Q464" s="38" t="n"/>
      <c r="U464" s="63" t="n"/>
    </row>
    <row r="465" ht="99.5" customHeight="1" thickBot="1">
      <c r="A465" s="26" t="n"/>
      <c r="B465" s="35" t="n"/>
      <c r="C465" s="35" t="n"/>
      <c r="D465" s="35" t="n"/>
      <c r="G465" s="36" t="n"/>
      <c r="H465" s="35" t="n"/>
      <c r="K465" s="39" t="n"/>
      <c r="L465" s="38" t="n"/>
      <c r="M465" s="38" t="n"/>
      <c r="N465" s="38" t="n"/>
      <c r="O465" s="38" t="n"/>
      <c r="P465" s="38" t="n"/>
      <c r="Q465" s="38" t="n"/>
      <c r="U465" s="63" t="n"/>
    </row>
    <row r="466" ht="99.5" customHeight="1" thickBot="1">
      <c r="A466" s="26" t="n"/>
      <c r="B466" s="35" t="n"/>
      <c r="C466" s="35" t="n"/>
      <c r="D466" s="35" t="n"/>
      <c r="G466" s="36" t="n"/>
      <c r="H466" s="35" t="n"/>
      <c r="K466" s="39" t="n"/>
      <c r="L466" s="38" t="n"/>
      <c r="M466" s="38" t="n"/>
      <c r="N466" s="38" t="n"/>
      <c r="O466" s="38" t="n"/>
      <c r="P466" s="38" t="n"/>
      <c r="Q466" s="38" t="n"/>
      <c r="U466" s="63" t="n"/>
    </row>
    <row r="467" ht="99.5" customHeight="1" thickBot="1">
      <c r="A467" s="26" t="n"/>
      <c r="B467" s="35" t="n"/>
      <c r="C467" s="35" t="n"/>
      <c r="D467" s="35" t="n"/>
      <c r="G467" s="36" t="n"/>
      <c r="H467" s="35" t="n"/>
      <c r="K467" s="39" t="n"/>
      <c r="L467" s="38" t="n"/>
      <c r="M467" s="38" t="n"/>
      <c r="N467" s="38" t="n"/>
      <c r="O467" s="38" t="n"/>
      <c r="P467" s="38" t="n"/>
      <c r="Q467" s="38" t="n"/>
      <c r="U467" s="63" t="n"/>
    </row>
    <row r="468" ht="99.5" customHeight="1" thickBot="1">
      <c r="A468" s="26" t="n"/>
      <c r="B468" s="35" t="n"/>
      <c r="C468" s="35" t="n"/>
      <c r="D468" s="35" t="n"/>
      <c r="G468" s="36" t="n"/>
      <c r="H468" s="35" t="n"/>
      <c r="K468" s="39" t="n"/>
      <c r="L468" s="38" t="n"/>
      <c r="M468" s="38" t="n"/>
      <c r="N468" s="38" t="n"/>
      <c r="O468" s="38" t="n"/>
      <c r="P468" s="38" t="n"/>
      <c r="Q468" s="38" t="n"/>
      <c r="U468" s="63" t="n"/>
    </row>
    <row r="469" ht="99.5" customHeight="1" thickBot="1">
      <c r="A469" s="26" t="n"/>
      <c r="B469" s="35" t="n"/>
      <c r="C469" s="35" t="n"/>
      <c r="D469" s="35" t="n"/>
      <c r="G469" s="36" t="n"/>
      <c r="H469" s="35" t="n"/>
      <c r="K469" s="39" t="n"/>
      <c r="L469" s="38" t="n"/>
      <c r="M469" s="38" t="n"/>
      <c r="N469" s="38" t="n"/>
      <c r="O469" s="38" t="n"/>
      <c r="P469" s="38" t="n"/>
      <c r="Q469" s="38" t="n"/>
      <c r="U469" s="63" t="n"/>
    </row>
    <row r="470" ht="99.5" customHeight="1" thickBot="1">
      <c r="A470" s="26" t="n"/>
      <c r="B470" s="35" t="n"/>
      <c r="C470" s="35" t="n"/>
      <c r="D470" s="35" t="n"/>
      <c r="G470" s="36" t="n"/>
      <c r="H470" s="35" t="n"/>
      <c r="K470" s="39" t="n"/>
      <c r="L470" s="38" t="n"/>
      <c r="M470" s="38" t="n"/>
      <c r="N470" s="38" t="n"/>
      <c r="O470" s="38" t="n"/>
      <c r="P470" s="38" t="n"/>
      <c r="Q470" s="38" t="n"/>
      <c r="U470" s="63" t="n"/>
    </row>
    <row r="471" ht="99.5" customHeight="1" thickBot="1">
      <c r="A471" s="26" t="n"/>
      <c r="B471" s="35" t="n"/>
      <c r="C471" s="35" t="n"/>
      <c r="D471" s="35" t="n"/>
      <c r="G471" s="36" t="n"/>
      <c r="H471" s="35" t="n"/>
      <c r="K471" s="39" t="n"/>
      <c r="L471" s="38" t="n"/>
      <c r="M471" s="38" t="n"/>
      <c r="N471" s="38" t="n"/>
      <c r="O471" s="38" t="n"/>
      <c r="P471" s="38" t="n"/>
      <c r="Q471" s="38" t="n"/>
      <c r="U471" s="63" t="n"/>
    </row>
    <row r="472" ht="99.5" customHeight="1" thickBot="1">
      <c r="A472" s="26" t="n"/>
      <c r="B472" s="35" t="n"/>
      <c r="C472" s="35" t="n"/>
      <c r="D472" s="35" t="n"/>
      <c r="G472" s="36" t="n"/>
      <c r="H472" s="35" t="n"/>
      <c r="K472" s="39" t="n"/>
      <c r="L472" s="38" t="n"/>
      <c r="M472" s="38" t="n"/>
      <c r="N472" s="38" t="n"/>
      <c r="O472" s="38" t="n"/>
      <c r="P472" s="38" t="n"/>
      <c r="Q472" s="38" t="n"/>
      <c r="U472" s="63" t="n"/>
    </row>
    <row r="473" ht="99.5" customHeight="1" thickBot="1">
      <c r="A473" s="26" t="n"/>
      <c r="B473" s="35" t="n"/>
      <c r="C473" s="35" t="n"/>
      <c r="D473" s="35" t="n"/>
      <c r="G473" s="36" t="n"/>
      <c r="H473" s="35" t="n"/>
      <c r="K473" s="39" t="n"/>
      <c r="L473" s="38" t="n"/>
      <c r="M473" s="38" t="n"/>
      <c r="N473" s="38" t="n"/>
      <c r="O473" s="38" t="n"/>
      <c r="P473" s="38" t="n"/>
      <c r="Q473" s="38" t="n"/>
      <c r="U473" s="63" t="n"/>
    </row>
    <row r="474" ht="99.5" customHeight="1" thickBot="1">
      <c r="A474" s="26" t="n"/>
      <c r="B474" s="35" t="n"/>
      <c r="C474" s="35" t="n"/>
      <c r="D474" s="35" t="n"/>
      <c r="G474" s="36" t="n"/>
      <c r="H474" s="35" t="n"/>
      <c r="K474" s="39" t="n"/>
      <c r="L474" s="38" t="n"/>
      <c r="M474" s="38" t="n"/>
      <c r="N474" s="38" t="n"/>
      <c r="O474" s="38" t="n"/>
      <c r="P474" s="38" t="n"/>
      <c r="Q474" s="38" t="n"/>
      <c r="U474" s="63" t="n"/>
    </row>
    <row r="475" ht="99.5" customHeight="1" thickBot="1">
      <c r="A475" s="26" t="n"/>
      <c r="B475" s="35" t="n"/>
      <c r="C475" s="35" t="n"/>
      <c r="D475" s="35" t="n"/>
      <c r="G475" s="36" t="n"/>
      <c r="H475" s="35" t="n"/>
      <c r="K475" s="39" t="n"/>
      <c r="L475" s="38" t="n"/>
      <c r="M475" s="38" t="n"/>
      <c r="N475" s="38" t="n"/>
      <c r="O475" s="38" t="n"/>
      <c r="P475" s="38" t="n"/>
      <c r="Q475" s="38" t="n"/>
      <c r="U475" s="63" t="n"/>
    </row>
    <row r="476" ht="99.5" customHeight="1" thickBot="1">
      <c r="A476" s="26" t="n"/>
      <c r="B476" s="35" t="n"/>
      <c r="C476" s="35" t="n"/>
      <c r="D476" s="35" t="n"/>
      <c r="G476" s="36" t="n"/>
      <c r="H476" s="35" t="n"/>
      <c r="K476" s="39" t="n"/>
      <c r="L476" s="38" t="n"/>
      <c r="M476" s="38" t="n"/>
      <c r="N476" s="38" t="n"/>
      <c r="O476" s="38" t="n"/>
      <c r="P476" s="38" t="n"/>
      <c r="Q476" s="38" t="n"/>
      <c r="U476" s="63" t="n"/>
    </row>
    <row r="477" ht="99.5" customHeight="1" thickBot="1">
      <c r="A477" s="26" t="n"/>
      <c r="B477" s="35" t="n"/>
      <c r="C477" s="35" t="n"/>
      <c r="D477" s="35" t="n"/>
      <c r="G477" s="36" t="n"/>
      <c r="H477" s="35" t="n"/>
      <c r="K477" s="39" t="n"/>
      <c r="L477" s="38" t="n"/>
      <c r="M477" s="38" t="n"/>
      <c r="N477" s="38" t="n"/>
      <c r="O477" s="38" t="n"/>
      <c r="P477" s="38" t="n"/>
      <c r="Q477" s="38" t="n"/>
      <c r="U477" s="63" t="n"/>
    </row>
    <row r="478" ht="99.5" customHeight="1" thickBot="1">
      <c r="A478" s="26" t="n"/>
      <c r="B478" s="35" t="n"/>
      <c r="C478" s="35" t="n"/>
      <c r="D478" s="35" t="n"/>
      <c r="G478" s="36" t="n"/>
      <c r="H478" s="35" t="n"/>
      <c r="K478" s="39" t="n"/>
      <c r="L478" s="38" t="n"/>
      <c r="M478" s="38" t="n"/>
      <c r="N478" s="38" t="n"/>
      <c r="O478" s="38" t="n"/>
      <c r="P478" s="38" t="n"/>
      <c r="Q478" s="38" t="n"/>
      <c r="U478" s="63" t="n"/>
    </row>
    <row r="479" ht="99.5" customHeight="1" thickBot="1">
      <c r="A479" s="26" t="n"/>
      <c r="B479" s="35" t="n"/>
      <c r="C479" s="35" t="n"/>
      <c r="D479" s="35" t="n"/>
      <c r="G479" s="36" t="n"/>
      <c r="H479" s="35" t="n"/>
      <c r="K479" s="39" t="n"/>
      <c r="L479" s="38" t="n"/>
      <c r="M479" s="38" t="n"/>
      <c r="N479" s="38" t="n"/>
      <c r="O479" s="38" t="n"/>
      <c r="P479" s="38" t="n"/>
      <c r="Q479" s="38" t="n"/>
      <c r="U479" s="63" t="n"/>
    </row>
    <row r="480" ht="99.5" customHeight="1" thickBot="1">
      <c r="A480" s="26" t="n"/>
      <c r="B480" s="35" t="n"/>
      <c r="C480" s="35" t="n"/>
      <c r="D480" s="35" t="n"/>
      <c r="G480" s="36" t="n"/>
      <c r="H480" s="35" t="n"/>
      <c r="K480" s="39" t="n"/>
      <c r="L480" s="38" t="n"/>
      <c r="M480" s="38" t="n"/>
      <c r="N480" s="38" t="n"/>
      <c r="O480" s="38" t="n"/>
      <c r="P480" s="38" t="n"/>
      <c r="Q480" s="38" t="n"/>
      <c r="U480" s="63" t="n"/>
    </row>
    <row r="481" ht="99.5" customHeight="1" thickBot="1">
      <c r="A481" s="26" t="n"/>
      <c r="B481" s="35" t="n"/>
      <c r="C481" s="35" t="n"/>
      <c r="D481" s="35" t="n"/>
      <c r="G481" s="36" t="n"/>
      <c r="H481" s="35" t="n"/>
      <c r="K481" s="39" t="n"/>
      <c r="L481" s="38" t="n"/>
      <c r="M481" s="38" t="n"/>
      <c r="N481" s="38" t="n"/>
      <c r="O481" s="38" t="n"/>
      <c r="P481" s="38" t="n"/>
      <c r="Q481" s="38" t="n"/>
      <c r="U481" s="63" t="n"/>
    </row>
    <row r="482" ht="99.5" customHeight="1" thickBot="1">
      <c r="A482" s="26" t="n"/>
      <c r="B482" s="35" t="n"/>
      <c r="C482" s="35" t="n"/>
      <c r="D482" s="35" t="n"/>
      <c r="G482" s="36" t="n"/>
      <c r="H482" s="35" t="n"/>
      <c r="K482" s="39" t="n"/>
      <c r="L482" s="38" t="n"/>
      <c r="M482" s="38" t="n"/>
      <c r="N482" s="38" t="n"/>
      <c r="O482" s="38" t="n"/>
      <c r="P482" s="38" t="n"/>
      <c r="Q482" s="38" t="n"/>
      <c r="U482" s="63" t="n"/>
    </row>
    <row r="483" ht="99.5" customHeight="1" thickBot="1">
      <c r="A483" s="26" t="n"/>
      <c r="B483" s="35" t="n"/>
      <c r="C483" s="35" t="n"/>
      <c r="D483" s="35" t="n"/>
      <c r="G483" s="36" t="n"/>
      <c r="H483" s="35" t="n"/>
      <c r="K483" s="39" t="n"/>
      <c r="L483" s="38" t="n"/>
      <c r="M483" s="38" t="n"/>
      <c r="N483" s="38" t="n"/>
      <c r="O483" s="38" t="n"/>
      <c r="P483" s="38" t="n"/>
      <c r="Q483" s="38" t="n"/>
      <c r="U483" s="63" t="n"/>
    </row>
    <row r="484" ht="99.5" customHeight="1" thickBot="1">
      <c r="A484" s="26" t="n"/>
      <c r="B484" s="35" t="n"/>
      <c r="C484" s="35" t="n"/>
      <c r="D484" s="35" t="n"/>
      <c r="G484" s="36" t="n"/>
      <c r="H484" s="35" t="n"/>
      <c r="K484" s="39" t="n"/>
      <c r="L484" s="38" t="n"/>
      <c r="M484" s="38" t="n"/>
      <c r="N484" s="38" t="n"/>
      <c r="O484" s="38" t="n"/>
      <c r="P484" s="38" t="n"/>
      <c r="Q484" s="38" t="n"/>
      <c r="U484" s="63" t="n"/>
    </row>
    <row r="485" ht="99.5" customHeight="1" thickBot="1">
      <c r="A485" s="26" t="n"/>
      <c r="B485" s="35" t="n"/>
      <c r="C485" s="35" t="n"/>
      <c r="D485" s="35" t="n"/>
      <c r="G485" s="36" t="n"/>
      <c r="H485" s="35" t="n"/>
      <c r="K485" s="39" t="n"/>
      <c r="L485" s="38" t="n"/>
      <c r="M485" s="38" t="n"/>
      <c r="N485" s="38" t="n"/>
      <c r="O485" s="38" t="n"/>
      <c r="P485" s="38" t="n"/>
      <c r="Q485" s="38" t="n"/>
      <c r="U485" s="63" t="n"/>
    </row>
    <row r="486" ht="99.5" customHeight="1" thickBot="1">
      <c r="A486" s="26" t="n"/>
      <c r="B486" s="35" t="n"/>
      <c r="C486" s="35" t="n"/>
      <c r="D486" s="35" t="n"/>
      <c r="G486" s="36" t="n"/>
      <c r="H486" s="35" t="n"/>
      <c r="K486" s="39" t="n"/>
      <c r="L486" s="38" t="n"/>
      <c r="M486" s="38" t="n"/>
      <c r="N486" s="38" t="n"/>
      <c r="O486" s="38" t="n"/>
      <c r="P486" s="38" t="n"/>
      <c r="Q486" s="38" t="n"/>
      <c r="U486" s="63" t="n"/>
    </row>
    <row r="487" ht="99.5" customHeight="1" thickBot="1">
      <c r="A487" s="26" t="n"/>
      <c r="B487" s="35" t="n"/>
      <c r="C487" s="35" t="n"/>
      <c r="D487" s="35" t="n"/>
      <c r="G487" s="36" t="n"/>
      <c r="H487" s="35" t="n"/>
      <c r="K487" s="39" t="n"/>
      <c r="L487" s="38" t="n"/>
      <c r="M487" s="38" t="n"/>
      <c r="N487" s="38" t="n"/>
      <c r="O487" s="38" t="n"/>
      <c r="P487" s="38" t="n"/>
      <c r="Q487" s="38" t="n"/>
      <c r="U487" s="63" t="n"/>
    </row>
    <row r="488" ht="99.5" customHeight="1" thickBot="1">
      <c r="A488" s="26" t="n"/>
      <c r="B488" s="35" t="n"/>
      <c r="C488" s="35" t="n"/>
      <c r="D488" s="35" t="n"/>
      <c r="G488" s="36" t="n"/>
      <c r="H488" s="35" t="n"/>
      <c r="K488" s="39" t="n"/>
      <c r="L488" s="38" t="n"/>
      <c r="M488" s="38" t="n"/>
      <c r="N488" s="38" t="n"/>
      <c r="O488" s="38" t="n"/>
      <c r="P488" s="38" t="n"/>
      <c r="Q488" s="38" t="n"/>
      <c r="U488" s="63" t="n"/>
    </row>
    <row r="489" ht="99.5" customHeight="1" thickBot="1">
      <c r="A489" s="26" t="n"/>
      <c r="B489" s="35" t="n"/>
      <c r="C489" s="35" t="n"/>
      <c r="D489" s="35" t="n"/>
      <c r="G489" s="36" t="n"/>
      <c r="H489" s="35" t="n"/>
      <c r="K489" s="39" t="n"/>
      <c r="L489" s="38" t="n"/>
      <c r="M489" s="38" t="n"/>
      <c r="N489" s="38" t="n"/>
      <c r="O489" s="38" t="n"/>
      <c r="P489" s="38" t="n"/>
      <c r="Q489" s="38" t="n"/>
      <c r="U489" s="63" t="n"/>
    </row>
    <row r="490" ht="99.5" customHeight="1" thickBot="1">
      <c r="A490" s="26" t="n"/>
      <c r="B490" s="35" t="n"/>
      <c r="C490" s="35" t="n"/>
      <c r="D490" s="35" t="n"/>
      <c r="G490" s="36" t="n"/>
      <c r="H490" s="35" t="n"/>
      <c r="K490" s="39" t="n"/>
      <c r="L490" s="38" t="n"/>
      <c r="M490" s="38" t="n"/>
      <c r="N490" s="38" t="n"/>
      <c r="O490" s="38" t="n"/>
      <c r="P490" s="38" t="n"/>
      <c r="Q490" s="38" t="n"/>
      <c r="U490" s="63" t="n"/>
    </row>
    <row r="491" ht="99.5" customHeight="1" thickBot="1">
      <c r="A491" s="26" t="n"/>
      <c r="B491" s="35" t="n"/>
      <c r="C491" s="35" t="n"/>
      <c r="D491" s="35" t="n"/>
      <c r="G491" s="36" t="n"/>
      <c r="H491" s="35" t="n"/>
      <c r="K491" s="39" t="n"/>
      <c r="L491" s="38" t="n"/>
      <c r="M491" s="38" t="n"/>
      <c r="N491" s="38" t="n"/>
      <c r="O491" s="38" t="n"/>
      <c r="P491" s="38" t="n"/>
      <c r="Q491" s="38" t="n"/>
      <c r="U491" s="63" t="n"/>
    </row>
    <row r="492" ht="99.5" customHeight="1" thickBot="1">
      <c r="A492" s="26" t="n"/>
      <c r="B492" s="35" t="n"/>
      <c r="C492" s="35" t="n"/>
      <c r="D492" s="35" t="n"/>
      <c r="G492" s="36" t="n"/>
      <c r="H492" s="35" t="n"/>
      <c r="K492" s="39" t="n"/>
      <c r="L492" s="38" t="n"/>
      <c r="M492" s="38" t="n"/>
      <c r="N492" s="38" t="n"/>
      <c r="O492" s="38" t="n"/>
      <c r="P492" s="38" t="n"/>
      <c r="Q492" s="38" t="n"/>
      <c r="U492" s="63" t="n"/>
    </row>
    <row r="493" ht="99.5" customHeight="1" thickBot="1">
      <c r="A493" s="26" t="n"/>
      <c r="B493" s="35" t="n"/>
      <c r="C493" s="35" t="n"/>
      <c r="D493" s="35" t="n"/>
      <c r="G493" s="36" t="n"/>
      <c r="H493" s="35" t="n"/>
      <c r="K493" s="39" t="n"/>
      <c r="L493" s="38" t="n"/>
      <c r="M493" s="38" t="n"/>
      <c r="N493" s="38" t="n"/>
      <c r="O493" s="38" t="n"/>
      <c r="P493" s="38" t="n"/>
      <c r="Q493" s="38" t="n"/>
      <c r="U493" s="63" t="n"/>
    </row>
    <row r="494" ht="99.5" customHeight="1" thickBot="1">
      <c r="A494" s="26" t="n"/>
      <c r="B494" s="35" t="n"/>
      <c r="C494" s="35" t="n"/>
      <c r="D494" s="35" t="n"/>
      <c r="G494" s="36" t="n"/>
      <c r="H494" s="35" t="n"/>
      <c r="K494" s="39" t="n"/>
      <c r="L494" s="38" t="n"/>
      <c r="M494" s="38" t="n"/>
      <c r="N494" s="38" t="n"/>
      <c r="O494" s="38" t="n"/>
      <c r="P494" s="38" t="n"/>
      <c r="Q494" s="38" t="n"/>
      <c r="U494" s="63" t="n"/>
    </row>
    <row r="495" ht="99.5" customHeight="1" thickBot="1">
      <c r="A495" s="26" t="n"/>
      <c r="B495" s="35" t="n"/>
      <c r="C495" s="35" t="n"/>
      <c r="D495" s="35" t="n"/>
      <c r="G495" s="36" t="n"/>
      <c r="H495" s="35" t="n"/>
      <c r="K495" s="39" t="n"/>
      <c r="L495" s="38" t="n"/>
      <c r="M495" s="38" t="n"/>
      <c r="N495" s="38" t="n"/>
      <c r="O495" s="38" t="n"/>
      <c r="P495" s="38" t="n"/>
      <c r="Q495" s="38" t="n"/>
      <c r="U495" s="63" t="n"/>
    </row>
    <row r="496" ht="99.5" customHeight="1" thickBot="1">
      <c r="A496" s="26" t="n"/>
      <c r="B496" s="35" t="n"/>
      <c r="C496" s="35" t="n"/>
      <c r="D496" s="35" t="n"/>
      <c r="G496" s="36" t="n"/>
      <c r="H496" s="35" t="n"/>
      <c r="K496" s="39" t="n"/>
      <c r="L496" s="38" t="n"/>
      <c r="M496" s="38" t="n"/>
      <c r="N496" s="38" t="n"/>
      <c r="O496" s="38" t="n"/>
      <c r="P496" s="38" t="n"/>
      <c r="Q496" s="38" t="n"/>
      <c r="U496" s="63" t="n"/>
    </row>
    <row r="497" ht="99.5" customHeight="1" thickBot="1">
      <c r="A497" s="26" t="n"/>
      <c r="B497" s="35" t="n"/>
      <c r="C497" s="35" t="n"/>
      <c r="D497" s="35" t="n"/>
      <c r="G497" s="36" t="n"/>
      <c r="H497" s="35" t="n"/>
      <c r="K497" s="39" t="n"/>
      <c r="L497" s="38" t="n"/>
      <c r="M497" s="38" t="n"/>
      <c r="N497" s="38" t="n"/>
      <c r="O497" s="38" t="n"/>
      <c r="P497" s="38" t="n"/>
      <c r="Q497" s="38" t="n"/>
      <c r="U497" s="63" t="n"/>
    </row>
    <row r="498" ht="99.5" customHeight="1" thickBot="1">
      <c r="A498" s="26" t="n"/>
      <c r="B498" s="35" t="n"/>
      <c r="C498" s="35" t="n"/>
      <c r="D498" s="35" t="n"/>
      <c r="G498" s="36" t="n"/>
      <c r="H498" s="35" t="n"/>
      <c r="K498" s="39" t="n"/>
      <c r="L498" s="38" t="n"/>
      <c r="M498" s="38" t="n"/>
      <c r="N498" s="38" t="n"/>
      <c r="O498" s="38" t="n"/>
      <c r="P498" s="38" t="n"/>
      <c r="Q498" s="38" t="n"/>
      <c r="U498" s="63" t="n"/>
    </row>
    <row r="499" ht="99.5" customHeight="1" thickBot="1">
      <c r="A499" s="26" t="n"/>
      <c r="B499" s="35" t="n"/>
      <c r="C499" s="35" t="n"/>
      <c r="D499" s="35" t="n"/>
      <c r="G499" s="36" t="n"/>
      <c r="H499" s="35" t="n"/>
      <c r="K499" s="39" t="n"/>
      <c r="L499" s="38" t="n"/>
      <c r="M499" s="38" t="n"/>
      <c r="N499" s="38" t="n"/>
      <c r="O499" s="38" t="n"/>
      <c r="P499" s="38" t="n"/>
      <c r="Q499" s="38" t="n"/>
      <c r="U499" s="63" t="n"/>
    </row>
    <row r="500" ht="99.5" customHeight="1" thickBot="1">
      <c r="A500" s="26" t="n"/>
      <c r="B500" s="35" t="n"/>
      <c r="C500" s="35" t="n"/>
      <c r="D500" s="35" t="n"/>
      <c r="G500" s="36" t="n"/>
      <c r="H500" s="35" t="n"/>
      <c r="K500" s="39" t="n"/>
      <c r="L500" s="38" t="n"/>
      <c r="M500" s="38" t="n"/>
      <c r="N500" s="38" t="n"/>
      <c r="O500" s="38" t="n"/>
      <c r="P500" s="38" t="n"/>
      <c r="Q500" s="38" t="n"/>
      <c r="U500" s="63" t="n"/>
    </row>
    <row r="501" ht="99.5" customHeight="1" thickBot="1">
      <c r="A501" s="26" t="n"/>
      <c r="B501" s="35" t="n"/>
      <c r="C501" s="35" t="n"/>
      <c r="D501" s="35" t="n"/>
      <c r="G501" s="36" t="n"/>
      <c r="H501" s="35" t="n"/>
      <c r="K501" s="39" t="n"/>
      <c r="L501" s="38" t="n"/>
      <c r="M501" s="38" t="n"/>
      <c r="N501" s="38" t="n"/>
      <c r="O501" s="38" t="n"/>
      <c r="P501" s="38" t="n"/>
      <c r="Q501" s="38" t="n"/>
      <c r="U501" s="63" t="n"/>
    </row>
    <row r="502" ht="99.5" customHeight="1" thickBot="1">
      <c r="A502" s="26" t="n"/>
      <c r="B502" s="35" t="n"/>
      <c r="C502" s="35" t="n"/>
      <c r="D502" s="35" t="n"/>
      <c r="G502" s="36" t="n"/>
      <c r="H502" s="35" t="n"/>
      <c r="K502" s="39" t="n"/>
      <c r="L502" s="38" t="n"/>
      <c r="M502" s="38" t="n"/>
      <c r="N502" s="38" t="n"/>
      <c r="O502" s="38" t="n"/>
      <c r="P502" s="38" t="n"/>
      <c r="Q502" s="38" t="n"/>
      <c r="U502" s="63" t="n"/>
    </row>
    <row r="503" ht="99.5" customHeight="1" thickBot="1">
      <c r="A503" s="26" t="n"/>
      <c r="B503" s="35" t="n"/>
      <c r="C503" s="35" t="n"/>
      <c r="D503" s="35" t="n"/>
      <c r="G503" s="36" t="n"/>
      <c r="H503" s="35" t="n"/>
      <c r="K503" s="39" t="n"/>
      <c r="L503" s="38" t="n"/>
      <c r="M503" s="38" t="n"/>
      <c r="N503" s="38" t="n"/>
      <c r="O503" s="38" t="n"/>
      <c r="P503" s="38" t="n"/>
      <c r="Q503" s="38" t="n"/>
      <c r="U503" s="63" t="n"/>
    </row>
    <row r="504" ht="99.5" customHeight="1" thickBot="1">
      <c r="A504" s="26" t="n"/>
      <c r="B504" s="35" t="n"/>
      <c r="C504" s="35" t="n"/>
      <c r="D504" s="35" t="n"/>
      <c r="G504" s="36" t="n"/>
      <c r="H504" s="35" t="n"/>
      <c r="K504" s="39" t="n"/>
      <c r="L504" s="38" t="n"/>
      <c r="M504" s="38" t="n"/>
      <c r="N504" s="38" t="n"/>
      <c r="O504" s="38" t="n"/>
      <c r="P504" s="38" t="n"/>
      <c r="Q504" s="38" t="n"/>
      <c r="U504" s="63" t="n"/>
    </row>
    <row r="505" ht="99.5" customHeight="1" thickBot="1">
      <c r="A505" s="26" t="n"/>
      <c r="B505" s="35" t="n"/>
      <c r="C505" s="35" t="n"/>
      <c r="D505" s="35" t="n"/>
      <c r="G505" s="36" t="n"/>
      <c r="H505" s="35" t="n"/>
      <c r="K505" s="39" t="n"/>
      <c r="L505" s="38" t="n"/>
      <c r="M505" s="38" t="n"/>
      <c r="N505" s="38" t="n"/>
      <c r="O505" s="38" t="n"/>
      <c r="P505" s="38" t="n"/>
      <c r="Q505" s="38" t="n"/>
      <c r="U505" s="63" t="n"/>
    </row>
    <row r="506" ht="99.5" customHeight="1" thickBot="1">
      <c r="A506" s="26" t="n"/>
      <c r="B506" s="35" t="n"/>
      <c r="C506" s="35" t="n"/>
      <c r="D506" s="35" t="n"/>
      <c r="G506" s="36" t="n"/>
      <c r="H506" s="35" t="n"/>
      <c r="K506" s="39" t="n"/>
      <c r="L506" s="38" t="n"/>
      <c r="M506" s="38" t="n"/>
      <c r="N506" s="38" t="n"/>
      <c r="O506" s="38" t="n"/>
      <c r="P506" s="38" t="n"/>
      <c r="Q506" s="38" t="n"/>
      <c r="U506" s="63" t="n"/>
    </row>
    <row r="507" ht="99.5" customHeight="1" thickBot="1">
      <c r="A507" s="26" t="n"/>
      <c r="B507" s="35" t="n"/>
      <c r="C507" s="35" t="n"/>
      <c r="D507" s="35" t="n"/>
      <c r="G507" s="36" t="n"/>
      <c r="H507" s="35" t="n"/>
      <c r="K507" s="39" t="n"/>
      <c r="L507" s="38" t="n"/>
      <c r="M507" s="38" t="n"/>
      <c r="N507" s="38" t="n"/>
      <c r="O507" s="38" t="n"/>
      <c r="P507" s="38" t="n"/>
      <c r="Q507" s="38" t="n"/>
      <c r="U507" s="63" t="n"/>
    </row>
    <row r="508" ht="99.5" customHeight="1" thickBot="1">
      <c r="A508" s="26" t="n"/>
      <c r="B508" s="35" t="n"/>
      <c r="C508" s="35" t="n"/>
      <c r="D508" s="35" t="n"/>
      <c r="G508" s="36" t="n"/>
      <c r="H508" s="35" t="n"/>
      <c r="K508" s="39" t="n"/>
      <c r="L508" s="38" t="n"/>
      <c r="M508" s="38" t="n"/>
      <c r="N508" s="38" t="n"/>
      <c r="O508" s="38" t="n"/>
      <c r="P508" s="38" t="n"/>
      <c r="Q508" s="38" t="n"/>
      <c r="U508" s="63" t="n"/>
    </row>
    <row r="509" ht="99.5" customHeight="1" thickBot="1">
      <c r="A509" s="26" t="n"/>
      <c r="B509" s="35" t="n"/>
      <c r="C509" s="35" t="n"/>
      <c r="D509" s="35" t="n"/>
      <c r="G509" s="36" t="n"/>
      <c r="H509" s="35" t="n"/>
      <c r="K509" s="39" t="n"/>
      <c r="L509" s="38" t="n"/>
      <c r="M509" s="38" t="n"/>
      <c r="N509" s="38" t="n"/>
      <c r="O509" s="38" t="n"/>
      <c r="P509" s="38" t="n"/>
      <c r="Q509" s="38" t="n"/>
      <c r="U509" s="63" t="n"/>
    </row>
    <row r="510" ht="99.5" customHeight="1" thickBot="1">
      <c r="A510" s="26" t="n"/>
      <c r="B510" s="35" t="n"/>
      <c r="C510" s="35" t="n"/>
      <c r="D510" s="35" t="n"/>
      <c r="G510" s="36" t="n"/>
      <c r="H510" s="35" t="n"/>
      <c r="K510" s="39" t="n"/>
      <c r="L510" s="38" t="n"/>
      <c r="M510" s="38" t="n"/>
      <c r="N510" s="38" t="n"/>
      <c r="O510" s="38" t="n"/>
      <c r="P510" s="38" t="n"/>
      <c r="Q510" s="38" t="n"/>
      <c r="U510" s="63" t="n"/>
    </row>
    <row r="511" ht="99.5" customHeight="1" thickBot="1">
      <c r="A511" s="26" t="n"/>
      <c r="B511" s="35" t="n"/>
      <c r="C511" s="35" t="n"/>
      <c r="D511" s="35" t="n"/>
      <c r="G511" s="36" t="n"/>
      <c r="H511" s="35" t="n"/>
      <c r="K511" s="39" t="n"/>
      <c r="L511" s="38" t="n"/>
      <c r="M511" s="38" t="n"/>
      <c r="N511" s="38" t="n"/>
      <c r="O511" s="38" t="n"/>
      <c r="P511" s="38" t="n"/>
      <c r="Q511" s="38" t="n"/>
      <c r="U511" s="63" t="n"/>
    </row>
    <row r="512" ht="99.5" customHeight="1" thickBot="1">
      <c r="A512" s="26" t="n"/>
      <c r="B512" s="35" t="n"/>
      <c r="C512" s="35" t="n"/>
      <c r="D512" s="35" t="n"/>
      <c r="G512" s="36" t="n"/>
      <c r="H512" s="35" t="n"/>
      <c r="K512" s="39" t="n"/>
      <c r="L512" s="38" t="n"/>
      <c r="M512" s="38" t="n"/>
      <c r="N512" s="38" t="n"/>
      <c r="O512" s="38" t="n"/>
      <c r="P512" s="38" t="n"/>
      <c r="Q512" s="38" t="n"/>
      <c r="U512" s="63" t="n"/>
    </row>
    <row r="513" ht="99.5" customHeight="1" thickBot="1">
      <c r="A513" s="26" t="n"/>
      <c r="B513" s="35" t="n"/>
      <c r="C513" s="35" t="n"/>
      <c r="D513" s="35" t="n"/>
      <c r="G513" s="36" t="n"/>
      <c r="H513" s="35" t="n"/>
      <c r="K513" s="39" t="n"/>
      <c r="L513" s="38" t="n"/>
      <c r="M513" s="38" t="n"/>
      <c r="N513" s="38" t="n"/>
      <c r="O513" s="38" t="n"/>
      <c r="P513" s="38" t="n"/>
      <c r="Q513" s="38" t="n"/>
      <c r="U513" s="63" t="n"/>
    </row>
    <row r="514" ht="99.5" customHeight="1" thickBot="1">
      <c r="A514" s="26" t="n"/>
      <c r="B514" s="35" t="n"/>
      <c r="C514" s="35" t="n"/>
      <c r="D514" s="35" t="n"/>
      <c r="G514" s="36" t="n"/>
      <c r="H514" s="35" t="n"/>
      <c r="K514" s="39" t="n"/>
      <c r="L514" s="38" t="n"/>
      <c r="M514" s="38" t="n"/>
      <c r="N514" s="38" t="n"/>
      <c r="O514" s="38" t="n"/>
      <c r="P514" s="38" t="n"/>
      <c r="Q514" s="38" t="n"/>
      <c r="U514" s="63" t="n"/>
    </row>
    <row r="515" ht="99.5" customHeight="1" thickBot="1">
      <c r="A515" s="26" t="n"/>
      <c r="B515" s="35" t="n"/>
      <c r="C515" s="35" t="n"/>
      <c r="D515" s="35" t="n"/>
      <c r="G515" s="36" t="n"/>
      <c r="H515" s="35" t="n"/>
      <c r="K515" s="39" t="n"/>
      <c r="L515" s="38" t="n"/>
      <c r="M515" s="38" t="n"/>
      <c r="N515" s="38" t="n"/>
      <c r="O515" s="38" t="n"/>
      <c r="P515" s="38" t="n"/>
      <c r="Q515" s="38" t="n"/>
      <c r="U515" s="63" t="n"/>
    </row>
    <row r="516" ht="99.5" customHeight="1" thickBot="1">
      <c r="A516" s="26" t="n"/>
      <c r="B516" s="35" t="n"/>
      <c r="C516" s="35" t="n"/>
      <c r="D516" s="35" t="n"/>
      <c r="G516" s="36" t="n"/>
      <c r="H516" s="35" t="n"/>
      <c r="K516" s="39" t="n"/>
      <c r="L516" s="38" t="n"/>
      <c r="M516" s="38" t="n"/>
      <c r="N516" s="38" t="n"/>
      <c r="O516" s="38" t="n"/>
      <c r="P516" s="38" t="n"/>
      <c r="Q516" s="38" t="n"/>
      <c r="U516" s="63" t="n"/>
    </row>
    <row r="517" ht="99.5" customHeight="1" thickBot="1">
      <c r="A517" s="26" t="n"/>
      <c r="B517" s="35" t="n"/>
      <c r="C517" s="35" t="n"/>
      <c r="D517" s="35" t="n"/>
      <c r="G517" s="36" t="n"/>
      <c r="H517" s="35" t="n"/>
      <c r="K517" s="39" t="n"/>
      <c r="L517" s="38" t="n"/>
      <c r="M517" s="38" t="n"/>
      <c r="N517" s="38" t="n"/>
      <c r="O517" s="38" t="n"/>
      <c r="P517" s="38" t="n"/>
      <c r="Q517" s="38" t="n"/>
      <c r="U517" s="63" t="n"/>
    </row>
    <row r="518" ht="99.5" customHeight="1" thickBot="1">
      <c r="A518" s="26" t="n"/>
      <c r="B518" s="35" t="n"/>
      <c r="C518" s="35" t="n"/>
      <c r="D518" s="35" t="n"/>
      <c r="G518" s="36" t="n"/>
      <c r="H518" s="35" t="n"/>
      <c r="K518" s="39" t="n"/>
      <c r="L518" s="38" t="n"/>
      <c r="M518" s="38" t="n"/>
      <c r="N518" s="38" t="n"/>
      <c r="O518" s="38" t="n"/>
      <c r="P518" s="38" t="n"/>
      <c r="Q518" s="38" t="n"/>
      <c r="U518" s="63" t="n"/>
    </row>
    <row r="519" ht="99.5" customHeight="1" thickBot="1">
      <c r="A519" s="26" t="n"/>
      <c r="B519" s="35" t="n"/>
      <c r="C519" s="35" t="n"/>
      <c r="D519" s="35" t="n"/>
      <c r="G519" s="36" t="n"/>
      <c r="H519" s="35" t="n"/>
      <c r="K519" s="39" t="n"/>
      <c r="L519" s="38" t="n"/>
      <c r="M519" s="38" t="n"/>
      <c r="N519" s="38" t="n"/>
      <c r="O519" s="38" t="n"/>
      <c r="P519" s="38" t="n"/>
      <c r="Q519" s="38" t="n"/>
      <c r="U519" s="63" t="n"/>
    </row>
    <row r="520" ht="99.5" customHeight="1" thickBot="1">
      <c r="A520" s="26" t="n"/>
      <c r="B520" s="35" t="n"/>
      <c r="C520" s="35" t="n"/>
      <c r="D520" s="35" t="n"/>
      <c r="G520" s="36" t="n"/>
      <c r="H520" s="35" t="n"/>
      <c r="K520" s="39" t="n"/>
      <c r="L520" s="38" t="n"/>
      <c r="M520" s="38" t="n"/>
      <c r="N520" s="38" t="n"/>
      <c r="O520" s="38" t="n"/>
      <c r="P520" s="38" t="n"/>
      <c r="Q520" s="38" t="n"/>
      <c r="U520" s="63" t="n"/>
    </row>
    <row r="521" ht="99.5" customHeight="1" thickBot="1">
      <c r="A521" s="26" t="n"/>
      <c r="B521" s="35" t="n"/>
      <c r="C521" s="35" t="n"/>
      <c r="D521" s="35" t="n"/>
      <c r="G521" s="36" t="n"/>
      <c r="H521" s="35" t="n"/>
      <c r="K521" s="39" t="n"/>
      <c r="L521" s="38" t="n"/>
      <c r="M521" s="38" t="n"/>
      <c r="N521" s="38" t="n"/>
      <c r="O521" s="38" t="n"/>
      <c r="P521" s="38" t="n"/>
      <c r="Q521" s="38" t="n"/>
      <c r="U521" s="63" t="n"/>
    </row>
    <row r="522" ht="99.5" customHeight="1" thickBot="1">
      <c r="A522" s="26" t="n"/>
      <c r="B522" s="35" t="n"/>
      <c r="C522" s="35" t="n"/>
      <c r="D522" s="35" t="n"/>
      <c r="G522" s="36" t="n"/>
      <c r="H522" s="35" t="n"/>
      <c r="K522" s="39" t="n"/>
      <c r="L522" s="38" t="n"/>
      <c r="M522" s="38" t="n"/>
      <c r="N522" s="38" t="n"/>
      <c r="O522" s="38" t="n"/>
      <c r="P522" s="38" t="n"/>
      <c r="Q522" s="38" t="n"/>
      <c r="U522" s="63" t="n"/>
    </row>
    <row r="523" ht="99.5" customHeight="1" thickBot="1">
      <c r="A523" s="26" t="n"/>
      <c r="B523" s="35" t="n"/>
      <c r="C523" s="35" t="n"/>
      <c r="D523" s="35" t="n"/>
      <c r="G523" s="36" t="n"/>
      <c r="H523" s="35" t="n"/>
      <c r="K523" s="39" t="n"/>
      <c r="L523" s="38" t="n"/>
      <c r="M523" s="38" t="n"/>
      <c r="N523" s="38" t="n"/>
      <c r="O523" s="38" t="n"/>
      <c r="P523" s="38" t="n"/>
      <c r="Q523" s="38" t="n"/>
      <c r="U523" s="63" t="n"/>
    </row>
    <row r="524" ht="99.5" customHeight="1" thickBot="1">
      <c r="A524" s="26" t="n"/>
      <c r="B524" s="35" t="n"/>
      <c r="C524" s="35" t="n"/>
      <c r="D524" s="35" t="n"/>
      <c r="G524" s="36" t="n"/>
      <c r="H524" s="35" t="n"/>
      <c r="K524" s="39" t="n"/>
      <c r="L524" s="38" t="n"/>
      <c r="M524" s="38" t="n"/>
      <c r="N524" s="38" t="n"/>
      <c r="O524" s="38" t="n"/>
      <c r="P524" s="38" t="n"/>
      <c r="Q524" s="38" t="n"/>
      <c r="U524" s="63" t="n"/>
    </row>
    <row r="525" ht="99.5" customHeight="1" thickBot="1">
      <c r="A525" s="26" t="n"/>
      <c r="B525" s="35" t="n"/>
      <c r="C525" s="35" t="n"/>
      <c r="D525" s="35" t="n"/>
      <c r="G525" s="36" t="n"/>
      <c r="H525" s="35" t="n"/>
      <c r="K525" s="39" t="n"/>
      <c r="L525" s="38" t="n"/>
      <c r="M525" s="38" t="n"/>
      <c r="N525" s="38" t="n"/>
      <c r="O525" s="38" t="n"/>
      <c r="P525" s="38" t="n"/>
      <c r="Q525" s="38" t="n"/>
      <c r="U525" s="63" t="n"/>
    </row>
    <row r="526" ht="99.5" customHeight="1" thickBot="1">
      <c r="A526" s="26" t="n"/>
      <c r="B526" s="35" t="n"/>
      <c r="C526" s="35" t="n"/>
      <c r="D526" s="35" t="n"/>
      <c r="G526" s="36" t="n"/>
      <c r="H526" s="35" t="n"/>
      <c r="K526" s="39" t="n"/>
      <c r="L526" s="38" t="n"/>
      <c r="M526" s="38" t="n"/>
      <c r="N526" s="38" t="n"/>
      <c r="O526" s="38" t="n"/>
      <c r="P526" s="38" t="n"/>
      <c r="Q526" s="38" t="n"/>
      <c r="U526" s="63" t="n"/>
    </row>
    <row r="527" ht="99.5" customHeight="1" thickBot="1">
      <c r="A527" s="26" t="n"/>
      <c r="B527" s="35" t="n"/>
      <c r="C527" s="35" t="n"/>
      <c r="D527" s="35" t="n"/>
      <c r="G527" s="36" t="n"/>
      <c r="H527" s="35" t="n"/>
      <c r="K527" s="39" t="n"/>
      <c r="L527" s="38" t="n"/>
      <c r="M527" s="38" t="n"/>
      <c r="N527" s="38" t="n"/>
      <c r="O527" s="38" t="n"/>
      <c r="P527" s="38" t="n"/>
      <c r="Q527" s="38" t="n"/>
      <c r="U527" s="63" t="n"/>
    </row>
    <row r="528" ht="99.5" customHeight="1" thickBot="1">
      <c r="A528" s="26" t="n"/>
      <c r="B528" s="35" t="n"/>
      <c r="C528" s="35" t="n"/>
      <c r="D528" s="35" t="n"/>
      <c r="G528" s="36" t="n"/>
      <c r="H528" s="35" t="n"/>
      <c r="K528" s="39" t="n"/>
      <c r="L528" s="38" t="n"/>
      <c r="M528" s="38" t="n"/>
      <c r="N528" s="38" t="n"/>
      <c r="O528" s="38" t="n"/>
      <c r="P528" s="38" t="n"/>
      <c r="Q528" s="38" t="n"/>
      <c r="U528" s="63" t="n"/>
    </row>
    <row r="529" ht="99.5" customHeight="1" thickBot="1">
      <c r="A529" s="26" t="n"/>
      <c r="B529" s="35" t="n"/>
      <c r="C529" s="35" t="n"/>
      <c r="D529" s="35" t="n"/>
      <c r="G529" s="36" t="n"/>
      <c r="H529" s="35" t="n"/>
      <c r="K529" s="39" t="n"/>
      <c r="L529" s="38" t="n"/>
      <c r="M529" s="38" t="n"/>
      <c r="N529" s="38" t="n"/>
      <c r="O529" s="38" t="n"/>
      <c r="P529" s="38" t="n"/>
      <c r="Q529" s="38" t="n"/>
      <c r="U529" s="63" t="n"/>
    </row>
    <row r="530" ht="99.5" customHeight="1" thickBot="1">
      <c r="A530" s="26" t="n"/>
      <c r="B530" s="35" t="n"/>
      <c r="C530" s="35" t="n"/>
      <c r="D530" s="35" t="n"/>
      <c r="G530" s="36" t="n"/>
      <c r="H530" s="35" t="n"/>
      <c r="K530" s="39" t="n"/>
      <c r="L530" s="38" t="n"/>
      <c r="M530" s="38" t="n"/>
      <c r="N530" s="38" t="n"/>
      <c r="O530" s="38" t="n"/>
      <c r="P530" s="38" t="n"/>
      <c r="Q530" s="38" t="n"/>
      <c r="U530" s="63" t="n"/>
    </row>
    <row r="531" ht="99.5" customHeight="1" thickBot="1">
      <c r="A531" s="26" t="n"/>
      <c r="B531" s="35" t="n"/>
      <c r="C531" s="35" t="n"/>
      <c r="D531" s="35" t="n"/>
      <c r="G531" s="36" t="n"/>
      <c r="H531" s="35" t="n"/>
      <c r="K531" s="39" t="n"/>
      <c r="L531" s="38" t="n"/>
      <c r="M531" s="38" t="n"/>
      <c r="N531" s="38" t="n"/>
      <c r="O531" s="38" t="n"/>
      <c r="P531" s="38" t="n"/>
      <c r="Q531" s="38" t="n"/>
      <c r="U531" s="63" t="n"/>
    </row>
    <row r="532" ht="99.5" customHeight="1" thickBot="1">
      <c r="A532" s="26" t="n"/>
      <c r="B532" s="35" t="n"/>
      <c r="C532" s="35" t="n"/>
      <c r="D532" s="35" t="n"/>
      <c r="G532" s="36" t="n"/>
      <c r="H532" s="35" t="n"/>
      <c r="K532" s="39" t="n"/>
      <c r="L532" s="38" t="n"/>
      <c r="M532" s="38" t="n"/>
      <c r="N532" s="38" t="n"/>
      <c r="O532" s="38" t="n"/>
      <c r="P532" s="38" t="n"/>
      <c r="Q532" s="38" t="n"/>
      <c r="U532" s="63" t="n"/>
    </row>
    <row r="533" ht="99.5" customHeight="1" thickBot="1">
      <c r="A533" s="26" t="n"/>
      <c r="B533" s="35" t="n"/>
      <c r="C533" s="35" t="n"/>
      <c r="D533" s="35" t="n"/>
      <c r="G533" s="36" t="n"/>
      <c r="H533" s="35" t="n"/>
      <c r="K533" s="39" t="n"/>
      <c r="L533" s="38" t="n"/>
      <c r="M533" s="38" t="n"/>
      <c r="N533" s="38" t="n"/>
      <c r="O533" s="38" t="n"/>
      <c r="P533" s="38" t="n"/>
      <c r="Q533" s="38" t="n"/>
      <c r="U533" s="63" t="n"/>
    </row>
    <row r="534" ht="99.5" customHeight="1" thickBot="1">
      <c r="A534" s="26" t="n"/>
      <c r="B534" s="35" t="n"/>
      <c r="C534" s="35" t="n"/>
      <c r="D534" s="35" t="n"/>
      <c r="G534" s="36" t="n"/>
      <c r="H534" s="35" t="n"/>
      <c r="K534" s="39" t="n"/>
      <c r="L534" s="38" t="n"/>
      <c r="M534" s="38" t="n"/>
      <c r="N534" s="38" t="n"/>
      <c r="O534" s="38" t="n"/>
      <c r="P534" s="38" t="n"/>
      <c r="Q534" s="38" t="n"/>
      <c r="U534" s="63" t="n"/>
    </row>
    <row r="535" ht="99.5" customHeight="1" thickBot="1">
      <c r="A535" s="26" t="n"/>
      <c r="B535" s="35" t="n"/>
      <c r="C535" s="35" t="n"/>
      <c r="D535" s="35" t="n"/>
      <c r="G535" s="36" t="n"/>
      <c r="H535" s="35" t="n"/>
      <c r="K535" s="39" t="n"/>
      <c r="L535" s="38" t="n"/>
      <c r="M535" s="38" t="n"/>
      <c r="N535" s="38" t="n"/>
      <c r="O535" s="38" t="n"/>
      <c r="P535" s="38" t="n"/>
      <c r="Q535" s="38" t="n"/>
      <c r="U535" s="63" t="n"/>
    </row>
    <row r="536" ht="99.5" customHeight="1" thickBot="1">
      <c r="A536" s="26" t="n"/>
      <c r="B536" s="35" t="n"/>
      <c r="C536" s="35" t="n"/>
      <c r="D536" s="35" t="n"/>
      <c r="G536" s="36" t="n"/>
      <c r="H536" s="35" t="n"/>
      <c r="K536" s="39" t="n"/>
      <c r="L536" s="38" t="n"/>
      <c r="M536" s="38" t="n"/>
      <c r="N536" s="38" t="n"/>
      <c r="O536" s="38" t="n"/>
      <c r="P536" s="38" t="n"/>
      <c r="Q536" s="38" t="n"/>
      <c r="U536" s="63" t="n"/>
    </row>
    <row r="537" ht="99.5" customHeight="1" thickBot="1">
      <c r="A537" s="26" t="n"/>
      <c r="B537" s="35" t="n"/>
      <c r="C537" s="35" t="n"/>
      <c r="D537" s="35" t="n"/>
      <c r="G537" s="36" t="n"/>
      <c r="H537" s="35" t="n"/>
      <c r="K537" s="39" t="n"/>
      <c r="L537" s="38" t="n"/>
      <c r="M537" s="38" t="n"/>
      <c r="N537" s="38" t="n"/>
      <c r="O537" s="38" t="n"/>
      <c r="P537" s="38" t="n"/>
      <c r="Q537" s="38" t="n"/>
      <c r="U537" s="63" t="n"/>
    </row>
    <row r="538" ht="99.5" customHeight="1" thickBot="1">
      <c r="A538" s="26" t="n"/>
      <c r="B538" s="35" t="n"/>
      <c r="C538" s="35" t="n"/>
      <c r="D538" s="35" t="n"/>
      <c r="G538" s="36" t="n"/>
      <c r="H538" s="35" t="n"/>
      <c r="K538" s="39" t="n"/>
      <c r="L538" s="38" t="n"/>
      <c r="M538" s="38" t="n"/>
      <c r="N538" s="38" t="n"/>
      <c r="O538" s="38" t="n"/>
      <c r="P538" s="38" t="n"/>
      <c r="Q538" s="38" t="n"/>
      <c r="U538" s="63" t="n"/>
    </row>
    <row r="539" ht="99.5" customHeight="1" thickBot="1">
      <c r="A539" s="26" t="n"/>
      <c r="B539" s="35" t="n"/>
      <c r="C539" s="35" t="n"/>
      <c r="D539" s="35" t="n"/>
      <c r="G539" s="36" t="n"/>
      <c r="H539" s="35" t="n"/>
      <c r="K539" s="39" t="n"/>
      <c r="L539" s="38" t="n"/>
      <c r="M539" s="38" t="n"/>
      <c r="N539" s="38" t="n"/>
      <c r="O539" s="38" t="n"/>
      <c r="P539" s="38" t="n"/>
      <c r="Q539" s="38" t="n"/>
      <c r="U539" s="63" t="n"/>
    </row>
    <row r="540" ht="99.5" customHeight="1" thickBot="1">
      <c r="A540" s="26" t="n"/>
      <c r="B540" s="35" t="n"/>
      <c r="C540" s="35" t="n"/>
      <c r="D540" s="35" t="n"/>
      <c r="G540" s="36" t="n"/>
      <c r="H540" s="35" t="n"/>
      <c r="K540" s="39" t="n"/>
      <c r="L540" s="38" t="n"/>
      <c r="M540" s="38" t="n"/>
      <c r="N540" s="38" t="n"/>
      <c r="O540" s="38" t="n"/>
      <c r="P540" s="38" t="n"/>
      <c r="Q540" s="38" t="n"/>
      <c r="U540" s="63" t="n"/>
    </row>
    <row r="541" ht="99.5" customHeight="1" thickBot="1">
      <c r="A541" s="26" t="n"/>
      <c r="B541" s="35" t="n"/>
      <c r="C541" s="35" t="n"/>
      <c r="D541" s="35" t="n"/>
      <c r="G541" s="36" t="n"/>
      <c r="H541" s="35" t="n"/>
      <c r="K541" s="39" t="n"/>
      <c r="L541" s="38" t="n"/>
      <c r="M541" s="38" t="n"/>
      <c r="N541" s="38" t="n"/>
      <c r="O541" s="38" t="n"/>
      <c r="P541" s="38" t="n"/>
      <c r="Q541" s="38" t="n"/>
      <c r="U541" s="63" t="n"/>
    </row>
    <row r="542" ht="99.5" customHeight="1" thickBot="1">
      <c r="A542" s="26" t="n"/>
      <c r="B542" s="35" t="n"/>
      <c r="C542" s="35" t="n"/>
      <c r="D542" s="35" t="n"/>
      <c r="G542" s="36" t="n"/>
      <c r="H542" s="35" t="n"/>
      <c r="K542" s="39" t="n"/>
      <c r="L542" s="38" t="n"/>
      <c r="M542" s="38" t="n"/>
      <c r="N542" s="38" t="n"/>
      <c r="O542" s="38" t="n"/>
      <c r="P542" s="38" t="n"/>
      <c r="Q542" s="38" t="n"/>
      <c r="U542" s="63" t="n"/>
    </row>
    <row r="543" ht="99.5" customHeight="1" thickBot="1">
      <c r="A543" s="26" t="n"/>
      <c r="B543" s="35" t="n"/>
      <c r="C543" s="35" t="n"/>
      <c r="D543" s="35" t="n"/>
      <c r="G543" s="36" t="n"/>
      <c r="H543" s="35" t="n"/>
      <c r="K543" s="39" t="n"/>
      <c r="L543" s="38" t="n"/>
      <c r="M543" s="38" t="n"/>
      <c r="N543" s="38" t="n"/>
      <c r="O543" s="38" t="n"/>
      <c r="P543" s="38" t="n"/>
      <c r="Q543" s="38" t="n"/>
      <c r="U543" s="63" t="n"/>
    </row>
    <row r="544" ht="99.5" customHeight="1" thickBot="1">
      <c r="A544" s="26" t="n"/>
      <c r="B544" s="35" t="n"/>
      <c r="C544" s="35" t="n"/>
      <c r="D544" s="35" t="n"/>
      <c r="G544" s="36" t="n"/>
      <c r="H544" s="35" t="n"/>
      <c r="K544" s="39" t="n"/>
      <c r="L544" s="38" t="n"/>
      <c r="M544" s="38" t="n"/>
      <c r="N544" s="38" t="n"/>
      <c r="O544" s="38" t="n"/>
      <c r="P544" s="38" t="n"/>
      <c r="Q544" s="38" t="n"/>
      <c r="U544" s="63" t="n"/>
    </row>
    <row r="545" ht="99.5" customHeight="1" thickBot="1">
      <c r="A545" s="26" t="n"/>
      <c r="B545" s="35" t="n"/>
      <c r="C545" s="35" t="n"/>
      <c r="D545" s="35" t="n"/>
      <c r="G545" s="36" t="n"/>
      <c r="H545" s="35" t="n"/>
      <c r="K545" s="39" t="n"/>
      <c r="L545" s="38" t="n"/>
      <c r="M545" s="38" t="n"/>
      <c r="N545" s="38" t="n"/>
      <c r="O545" s="38" t="n"/>
      <c r="P545" s="38" t="n"/>
      <c r="Q545" s="38" t="n"/>
      <c r="U545" s="63" t="n"/>
    </row>
    <row r="546" ht="99.5" customHeight="1" thickBot="1">
      <c r="A546" s="26" t="n"/>
      <c r="B546" s="35" t="n"/>
      <c r="C546" s="35" t="n"/>
      <c r="D546" s="35" t="n"/>
      <c r="G546" s="36" t="n"/>
      <c r="H546" s="35" t="n"/>
      <c r="K546" s="39" t="n"/>
      <c r="L546" s="38" t="n"/>
      <c r="M546" s="38" t="n"/>
      <c r="N546" s="38" t="n"/>
      <c r="O546" s="38" t="n"/>
      <c r="P546" s="38" t="n"/>
      <c r="Q546" s="38" t="n"/>
      <c r="U546" s="63" t="n"/>
    </row>
    <row r="547" ht="99.5" customHeight="1" thickBot="1">
      <c r="A547" s="26" t="n"/>
      <c r="B547" s="35" t="n"/>
      <c r="C547" s="35" t="n"/>
      <c r="D547" s="35" t="n"/>
      <c r="G547" s="36" t="n"/>
      <c r="H547" s="35" t="n"/>
      <c r="K547" s="39" t="n"/>
      <c r="L547" s="38" t="n"/>
      <c r="M547" s="38" t="n"/>
      <c r="N547" s="38" t="n"/>
      <c r="O547" s="38" t="n"/>
      <c r="P547" s="38" t="n"/>
      <c r="Q547" s="38" t="n"/>
      <c r="U547" s="63" t="n"/>
    </row>
    <row r="548" ht="99.5" customHeight="1" thickBot="1">
      <c r="A548" s="26" t="n"/>
      <c r="B548" s="35" t="n"/>
      <c r="C548" s="35" t="n"/>
      <c r="D548" s="35" t="n"/>
      <c r="G548" s="36" t="n"/>
      <c r="H548" s="35" t="n"/>
      <c r="K548" s="39" t="n"/>
      <c r="L548" s="38" t="n"/>
      <c r="M548" s="38" t="n"/>
      <c r="N548" s="38" t="n"/>
      <c r="O548" s="38" t="n"/>
      <c r="P548" s="38" t="n"/>
      <c r="Q548" s="38" t="n"/>
      <c r="U548" s="63" t="n"/>
    </row>
    <row r="549" ht="99.5" customHeight="1" thickBot="1">
      <c r="A549" s="26" t="n"/>
      <c r="B549" s="35" t="n"/>
      <c r="C549" s="35" t="n"/>
      <c r="D549" s="35" t="n"/>
      <c r="G549" s="36" t="n"/>
      <c r="H549" s="35" t="n"/>
      <c r="K549" s="39" t="n"/>
      <c r="L549" s="38" t="n"/>
      <c r="M549" s="38" t="n"/>
      <c r="N549" s="38" t="n"/>
      <c r="O549" s="38" t="n"/>
      <c r="P549" s="38" t="n"/>
      <c r="Q549" s="38" t="n"/>
      <c r="U549" s="63" t="n"/>
    </row>
    <row r="550" ht="99.5" customHeight="1" thickBot="1">
      <c r="A550" s="26" t="n"/>
      <c r="B550" s="35" t="n"/>
      <c r="C550" s="35" t="n"/>
      <c r="D550" s="35" t="n"/>
      <c r="G550" s="36" t="n"/>
      <c r="H550" s="35" t="n"/>
      <c r="K550" s="39" t="n"/>
      <c r="L550" s="38" t="n"/>
      <c r="M550" s="38" t="n"/>
      <c r="N550" s="38" t="n"/>
      <c r="O550" s="38" t="n"/>
      <c r="P550" s="38" t="n"/>
      <c r="Q550" s="38" t="n"/>
      <c r="U550" s="63" t="n"/>
    </row>
    <row r="551" ht="99.5" customHeight="1" thickBot="1">
      <c r="A551" s="26" t="n"/>
      <c r="B551" s="35" t="n"/>
      <c r="C551" s="35" t="n"/>
      <c r="D551" s="35" t="n"/>
      <c r="G551" s="36" t="n"/>
      <c r="H551" s="35" t="n"/>
      <c r="K551" s="39" t="n"/>
      <c r="L551" s="38" t="n"/>
      <c r="M551" s="38" t="n"/>
      <c r="N551" s="38" t="n"/>
      <c r="O551" s="38" t="n"/>
      <c r="P551" s="38" t="n"/>
      <c r="Q551" s="38" t="n"/>
      <c r="U551" s="63" t="n"/>
    </row>
    <row r="552" ht="99.5" customHeight="1" thickBot="1">
      <c r="A552" s="26" t="n"/>
      <c r="B552" s="35" t="n"/>
      <c r="C552" s="35" t="n"/>
      <c r="D552" s="35" t="n"/>
      <c r="G552" s="36" t="n"/>
      <c r="H552" s="35" t="n"/>
      <c r="K552" s="39" t="n"/>
      <c r="L552" s="38" t="n"/>
      <c r="M552" s="38" t="n"/>
      <c r="N552" s="38" t="n"/>
      <c r="O552" s="38" t="n"/>
      <c r="P552" s="38" t="n"/>
      <c r="Q552" s="38" t="n"/>
      <c r="U552" s="63" t="n"/>
    </row>
    <row r="553" ht="99.5" customHeight="1" thickBot="1">
      <c r="A553" s="26" t="n"/>
      <c r="B553" s="35" t="n"/>
      <c r="C553" s="35" t="n"/>
      <c r="D553" s="35" t="n"/>
      <c r="G553" s="36" t="n"/>
      <c r="H553" s="35" t="n"/>
      <c r="K553" s="39" t="n"/>
      <c r="L553" s="38" t="n"/>
      <c r="M553" s="38" t="n"/>
      <c r="N553" s="38" t="n"/>
      <c r="O553" s="38" t="n"/>
      <c r="P553" s="38" t="n"/>
      <c r="Q553" s="38" t="n"/>
      <c r="U553" s="63" t="n"/>
    </row>
    <row r="554" ht="99.5" customHeight="1" thickBot="1">
      <c r="A554" s="26" t="n"/>
      <c r="B554" s="35" t="n"/>
      <c r="C554" s="35" t="n"/>
      <c r="D554" s="35" t="n"/>
      <c r="G554" s="36" t="n"/>
      <c r="H554" s="35" t="n"/>
      <c r="K554" s="39" t="n"/>
      <c r="L554" s="38" t="n"/>
      <c r="M554" s="38" t="n"/>
      <c r="N554" s="38" t="n"/>
      <c r="O554" s="38" t="n"/>
      <c r="P554" s="38" t="n"/>
      <c r="Q554" s="38" t="n"/>
      <c r="U554" s="63" t="n"/>
    </row>
    <row r="555" ht="99.5" customHeight="1" thickBot="1">
      <c r="A555" s="26" t="n"/>
      <c r="B555" s="35" t="n"/>
      <c r="C555" s="35" t="n"/>
      <c r="D555" s="35" t="n"/>
      <c r="G555" s="36" t="n"/>
      <c r="H555" s="35" t="n"/>
      <c r="K555" s="39" t="n"/>
      <c r="L555" s="38" t="n"/>
      <c r="M555" s="38" t="n"/>
      <c r="N555" s="38" t="n"/>
      <c r="O555" s="38" t="n"/>
      <c r="P555" s="38" t="n"/>
      <c r="Q555" s="38" t="n"/>
      <c r="U555" s="63" t="n"/>
    </row>
    <row r="556" ht="99.5" customHeight="1" thickBot="1">
      <c r="A556" s="26" t="n"/>
      <c r="B556" s="35" t="n"/>
      <c r="C556" s="35" t="n"/>
      <c r="D556" s="35" t="n"/>
      <c r="G556" s="36" t="n"/>
      <c r="H556" s="35" t="n"/>
      <c r="K556" s="39" t="n"/>
      <c r="L556" s="38" t="n"/>
      <c r="M556" s="38" t="n"/>
      <c r="N556" s="38" t="n"/>
      <c r="O556" s="38" t="n"/>
      <c r="P556" s="38" t="n"/>
      <c r="Q556" s="38" t="n"/>
      <c r="U556" s="63" t="n"/>
    </row>
    <row r="557" ht="99.5" customHeight="1" thickBot="1">
      <c r="A557" s="26" t="n"/>
      <c r="B557" s="35" t="n"/>
      <c r="C557" s="35" t="n"/>
      <c r="D557" s="35" t="n"/>
      <c r="G557" s="36" t="n"/>
      <c r="H557" s="35" t="n"/>
      <c r="K557" s="39" t="n"/>
      <c r="L557" s="38" t="n"/>
      <c r="M557" s="38" t="n"/>
      <c r="N557" s="38" t="n"/>
      <c r="O557" s="38" t="n"/>
      <c r="P557" s="38" t="n"/>
      <c r="Q557" s="38" t="n"/>
      <c r="U557" s="63" t="n"/>
    </row>
    <row r="558" ht="99.5" customHeight="1" thickBot="1">
      <c r="A558" s="26" t="n"/>
      <c r="B558" s="35" t="n"/>
      <c r="C558" s="35" t="n"/>
      <c r="D558" s="35" t="n"/>
      <c r="G558" s="36" t="n"/>
      <c r="H558" s="35" t="n"/>
      <c r="K558" s="39" t="n"/>
      <c r="L558" s="38" t="n"/>
      <c r="M558" s="38" t="n"/>
      <c r="N558" s="38" t="n"/>
      <c r="O558" s="38" t="n"/>
      <c r="P558" s="38" t="n"/>
      <c r="Q558" s="38" t="n"/>
      <c r="U558" s="63" t="n"/>
    </row>
    <row r="559" ht="99.5" customHeight="1" thickBot="1">
      <c r="A559" s="26" t="n"/>
      <c r="B559" s="35" t="n"/>
      <c r="C559" s="35" t="n"/>
      <c r="D559" s="35" t="n"/>
      <c r="G559" s="36" t="n"/>
      <c r="H559" s="35" t="n"/>
      <c r="K559" s="39" t="n"/>
      <c r="L559" s="38" t="n"/>
      <c r="M559" s="38" t="n"/>
      <c r="N559" s="38" t="n"/>
      <c r="O559" s="38" t="n"/>
      <c r="P559" s="38" t="n"/>
      <c r="Q559" s="38" t="n"/>
      <c r="U559" s="63" t="n"/>
    </row>
    <row r="560" ht="99.5" customHeight="1" thickBot="1">
      <c r="A560" s="26" t="n"/>
      <c r="B560" s="35" t="n"/>
      <c r="C560" s="35" t="n"/>
      <c r="D560" s="35" t="n"/>
      <c r="G560" s="36" t="n"/>
      <c r="H560" s="35" t="n"/>
      <c r="K560" s="39" t="n"/>
      <c r="L560" s="38" t="n"/>
      <c r="M560" s="38" t="n"/>
      <c r="N560" s="38" t="n"/>
      <c r="O560" s="38" t="n"/>
      <c r="P560" s="38" t="n"/>
      <c r="Q560" s="38" t="n"/>
      <c r="U560" s="63" t="n"/>
    </row>
    <row r="561" ht="99.5" customHeight="1" thickBot="1">
      <c r="A561" s="26" t="n"/>
      <c r="B561" s="35" t="n"/>
      <c r="C561" s="35" t="n"/>
      <c r="D561" s="35" t="n"/>
      <c r="G561" s="36" t="n"/>
      <c r="H561" s="35" t="n"/>
      <c r="K561" s="39" t="n"/>
      <c r="L561" s="38" t="n"/>
      <c r="M561" s="38" t="n"/>
      <c r="N561" s="38" t="n"/>
      <c r="O561" s="38" t="n"/>
      <c r="P561" s="38" t="n"/>
      <c r="Q561" s="38" t="n"/>
      <c r="U561" s="63" t="n"/>
    </row>
    <row r="562" ht="99.5" customHeight="1" thickBot="1">
      <c r="A562" s="26" t="n"/>
      <c r="B562" s="35" t="n"/>
      <c r="C562" s="35" t="n"/>
      <c r="D562" s="35" t="n"/>
      <c r="G562" s="36" t="n"/>
      <c r="H562" s="35" t="n"/>
      <c r="K562" s="39" t="n"/>
      <c r="L562" s="38" t="n"/>
      <c r="M562" s="38" t="n"/>
      <c r="N562" s="38" t="n"/>
      <c r="O562" s="38" t="n"/>
      <c r="P562" s="38" t="n"/>
      <c r="Q562" s="38" t="n"/>
      <c r="U562" s="63" t="n"/>
    </row>
    <row r="563" ht="99.5" customHeight="1" thickBot="1">
      <c r="A563" s="26" t="n"/>
      <c r="B563" s="35" t="n"/>
      <c r="C563" s="35" t="n"/>
      <c r="D563" s="35" t="n"/>
      <c r="G563" s="36" t="n"/>
      <c r="H563" s="35" t="n"/>
      <c r="K563" s="39" t="n"/>
      <c r="L563" s="38" t="n"/>
      <c r="M563" s="38" t="n"/>
      <c r="N563" s="38" t="n"/>
      <c r="O563" s="38" t="n"/>
      <c r="P563" s="38" t="n"/>
      <c r="Q563" s="38" t="n"/>
      <c r="U563" s="63" t="n"/>
    </row>
    <row r="564" ht="99.5" customHeight="1" thickBot="1">
      <c r="A564" s="26" t="n"/>
      <c r="B564" s="35" t="n"/>
      <c r="C564" s="35" t="n"/>
      <c r="D564" s="35" t="n"/>
      <c r="G564" s="36" t="n"/>
      <c r="H564" s="35" t="n"/>
      <c r="K564" s="39" t="n"/>
      <c r="L564" s="38" t="n"/>
      <c r="M564" s="38" t="n"/>
      <c r="N564" s="38" t="n"/>
      <c r="O564" s="38" t="n"/>
      <c r="P564" s="38" t="n"/>
      <c r="Q564" s="38" t="n"/>
      <c r="U564" s="63" t="n"/>
    </row>
    <row r="565" ht="99.5" customHeight="1" thickBot="1">
      <c r="A565" s="26" t="n"/>
      <c r="B565" s="35" t="n"/>
      <c r="C565" s="35" t="n"/>
      <c r="D565" s="35" t="n"/>
      <c r="G565" s="36" t="n"/>
      <c r="H565" s="35" t="n"/>
      <c r="K565" s="39" t="n"/>
      <c r="L565" s="38" t="n"/>
      <c r="M565" s="38" t="n"/>
      <c r="N565" s="38" t="n"/>
      <c r="O565" s="38" t="n"/>
      <c r="P565" s="38" t="n"/>
      <c r="Q565" s="38" t="n"/>
      <c r="U565" s="63" t="n"/>
    </row>
    <row r="566" ht="99.5" customHeight="1" thickBot="1">
      <c r="A566" s="26" t="n"/>
      <c r="B566" s="35" t="n"/>
      <c r="C566" s="35" t="n"/>
      <c r="D566" s="35" t="n"/>
      <c r="G566" s="36" t="n"/>
      <c r="H566" s="35" t="n"/>
      <c r="K566" s="39" t="n"/>
      <c r="L566" s="38" t="n"/>
      <c r="M566" s="38" t="n"/>
      <c r="N566" s="38" t="n"/>
      <c r="O566" s="38" t="n"/>
      <c r="P566" s="38" t="n"/>
      <c r="Q566" s="38" t="n"/>
      <c r="U566" s="63" t="n"/>
    </row>
    <row r="567" ht="99.5" customHeight="1" thickBot="1">
      <c r="A567" s="26" t="n"/>
      <c r="B567" s="35" t="n"/>
      <c r="C567" s="35" t="n"/>
      <c r="D567" s="35" t="n"/>
      <c r="G567" s="36" t="n"/>
      <c r="H567" s="35" t="n"/>
      <c r="K567" s="39" t="n"/>
      <c r="L567" s="38" t="n"/>
      <c r="M567" s="38" t="n"/>
      <c r="N567" s="38" t="n"/>
      <c r="O567" s="38" t="n"/>
      <c r="P567" s="38" t="n"/>
      <c r="Q567" s="38" t="n"/>
      <c r="U567" s="63" t="n"/>
    </row>
    <row r="568" ht="99.5" customHeight="1" thickBot="1">
      <c r="A568" s="26" t="n"/>
      <c r="B568" s="35" t="n"/>
      <c r="C568" s="35" t="n"/>
      <c r="D568" s="35" t="n"/>
      <c r="G568" s="36" t="n"/>
      <c r="H568" s="35" t="n"/>
      <c r="K568" s="39" t="n"/>
      <c r="L568" s="38" t="n"/>
      <c r="M568" s="38" t="n"/>
      <c r="N568" s="38" t="n"/>
      <c r="O568" s="38" t="n"/>
      <c r="P568" s="38" t="n"/>
      <c r="Q568" s="38" t="n"/>
      <c r="U568" s="63" t="n"/>
    </row>
    <row r="569" ht="99.5" customHeight="1" thickBot="1">
      <c r="A569" s="26" t="n"/>
      <c r="B569" s="35" t="n"/>
      <c r="C569" s="35" t="n"/>
      <c r="D569" s="35" t="n"/>
      <c r="G569" s="36" t="n"/>
      <c r="H569" s="35" t="n"/>
      <c r="K569" s="39" t="n"/>
      <c r="L569" s="38" t="n"/>
      <c r="M569" s="38" t="n"/>
      <c r="N569" s="38" t="n"/>
      <c r="O569" s="38" t="n"/>
      <c r="P569" s="38" t="n"/>
      <c r="Q569" s="38" t="n"/>
      <c r="U569" s="63" t="n"/>
    </row>
    <row r="570" ht="99.5" customHeight="1" thickBot="1">
      <c r="A570" s="26" t="n"/>
      <c r="B570" s="35" t="n"/>
      <c r="C570" s="35" t="n"/>
      <c r="D570" s="35" t="n"/>
      <c r="G570" s="36" t="n"/>
      <c r="H570" s="35" t="n"/>
      <c r="K570" s="39" t="n"/>
      <c r="L570" s="38" t="n"/>
      <c r="M570" s="38" t="n"/>
      <c r="N570" s="38" t="n"/>
      <c r="O570" s="38" t="n"/>
      <c r="P570" s="38" t="n"/>
      <c r="Q570" s="38" t="n"/>
      <c r="U570" s="63" t="n"/>
    </row>
    <row r="571" ht="99.5" customHeight="1" thickBot="1">
      <c r="A571" s="26" t="n"/>
      <c r="B571" s="35" t="n"/>
      <c r="C571" s="35" t="n"/>
      <c r="D571" s="35" t="n"/>
      <c r="G571" s="36" t="n"/>
      <c r="H571" s="35" t="n"/>
      <c r="K571" s="39" t="n"/>
      <c r="L571" s="38" t="n"/>
      <c r="M571" s="38" t="n"/>
      <c r="N571" s="38" t="n"/>
      <c r="O571" s="38" t="n"/>
      <c r="P571" s="38" t="n"/>
      <c r="Q571" s="38" t="n"/>
      <c r="U571" s="63" t="n"/>
    </row>
    <row r="572" ht="99.5" customHeight="1" thickBot="1">
      <c r="A572" s="26" t="n"/>
      <c r="B572" s="35" t="n"/>
      <c r="C572" s="35" t="n"/>
      <c r="D572" s="35" t="n"/>
      <c r="G572" s="36" t="n"/>
      <c r="H572" s="35" t="n"/>
      <c r="K572" s="39" t="n"/>
      <c r="L572" s="38" t="n"/>
      <c r="M572" s="38" t="n"/>
      <c r="N572" s="38" t="n"/>
      <c r="O572" s="38" t="n"/>
      <c r="P572" s="38" t="n"/>
      <c r="Q572" s="38" t="n"/>
      <c r="U572" s="63" t="n"/>
    </row>
    <row r="573" ht="99.5" customHeight="1" thickBot="1">
      <c r="A573" s="26" t="n"/>
      <c r="B573" s="35" t="n"/>
      <c r="C573" s="35" t="n"/>
      <c r="D573" s="35" t="n"/>
      <c r="G573" s="36" t="n"/>
      <c r="H573" s="35" t="n"/>
      <c r="K573" s="39" t="n"/>
      <c r="L573" s="38" t="n"/>
      <c r="M573" s="38" t="n"/>
      <c r="N573" s="38" t="n"/>
      <c r="O573" s="38" t="n"/>
      <c r="P573" s="38" t="n"/>
      <c r="Q573" s="38" t="n"/>
      <c r="U573" s="63" t="n"/>
    </row>
    <row r="574" ht="99.5" customHeight="1" thickBot="1">
      <c r="A574" s="26" t="n"/>
      <c r="B574" s="35" t="n"/>
      <c r="C574" s="35" t="n"/>
      <c r="D574" s="35" t="n"/>
      <c r="G574" s="36" t="n"/>
      <c r="H574" s="35" t="n"/>
      <c r="K574" s="39" t="n"/>
      <c r="L574" s="38" t="n"/>
      <c r="M574" s="38" t="n"/>
      <c r="N574" s="38" t="n"/>
      <c r="O574" s="38" t="n"/>
      <c r="P574" s="38" t="n"/>
      <c r="Q574" s="38" t="n"/>
      <c r="U574" s="63" t="n"/>
    </row>
    <row r="575" ht="99.5" customHeight="1" thickBot="1">
      <c r="A575" s="26" t="n"/>
      <c r="B575" s="35" t="n"/>
      <c r="C575" s="35" t="n"/>
      <c r="D575" s="35" t="n"/>
      <c r="G575" s="36" t="n"/>
      <c r="H575" s="35" t="n"/>
      <c r="K575" s="39" t="n"/>
      <c r="L575" s="38" t="n"/>
      <c r="M575" s="38" t="n"/>
      <c r="N575" s="38" t="n"/>
      <c r="O575" s="38" t="n"/>
      <c r="P575" s="38" t="n"/>
      <c r="Q575" s="38" t="n"/>
      <c r="U575" s="63" t="n"/>
    </row>
    <row r="576" ht="99.5" customHeight="1" thickBot="1">
      <c r="A576" s="26" t="n"/>
      <c r="B576" s="35" t="n"/>
      <c r="C576" s="35" t="n"/>
      <c r="D576" s="35" t="n"/>
      <c r="G576" s="36" t="n"/>
      <c r="H576" s="35" t="n"/>
      <c r="K576" s="39" t="n"/>
      <c r="L576" s="38" t="n"/>
      <c r="M576" s="38" t="n"/>
      <c r="N576" s="38" t="n"/>
      <c r="O576" s="38" t="n"/>
      <c r="P576" s="38" t="n"/>
      <c r="Q576" s="38" t="n"/>
      <c r="U576" s="63" t="n"/>
    </row>
    <row r="577" ht="99.5" customHeight="1" thickBot="1">
      <c r="A577" s="26" t="n"/>
      <c r="B577" s="35" t="n"/>
      <c r="C577" s="35" t="n"/>
      <c r="D577" s="35" t="n"/>
      <c r="G577" s="36" t="n"/>
      <c r="H577" s="35" t="n"/>
      <c r="K577" s="39" t="n"/>
      <c r="L577" s="38" t="n"/>
      <c r="M577" s="38" t="n"/>
      <c r="N577" s="38" t="n"/>
      <c r="O577" s="38" t="n"/>
      <c r="P577" s="38" t="n"/>
      <c r="Q577" s="38" t="n"/>
      <c r="U577" s="63" t="n"/>
    </row>
    <row r="578" ht="99.5" customHeight="1" thickBot="1">
      <c r="A578" s="26" t="n"/>
      <c r="B578" s="35" t="n"/>
      <c r="C578" s="35" t="n"/>
      <c r="D578" s="35" t="n"/>
      <c r="G578" s="36" t="n"/>
      <c r="H578" s="35" t="n"/>
      <c r="K578" s="39" t="n"/>
      <c r="L578" s="38" t="n"/>
      <c r="M578" s="38" t="n"/>
      <c r="N578" s="38" t="n"/>
      <c r="O578" s="38" t="n"/>
      <c r="P578" s="38" t="n"/>
      <c r="Q578" s="38" t="n"/>
      <c r="U578" s="63" t="n"/>
    </row>
    <row r="579" ht="99.5" customHeight="1" thickBot="1">
      <c r="A579" s="26" t="n"/>
      <c r="B579" s="35" t="n"/>
      <c r="C579" s="35" t="n"/>
      <c r="D579" s="35" t="n"/>
      <c r="G579" s="36" t="n"/>
      <c r="H579" s="35" t="n"/>
      <c r="K579" s="39" t="n"/>
      <c r="L579" s="38" t="n"/>
      <c r="M579" s="38" t="n"/>
      <c r="N579" s="38" t="n"/>
      <c r="O579" s="38" t="n"/>
      <c r="P579" s="38" t="n"/>
      <c r="Q579" s="38" t="n"/>
      <c r="U579" s="63" t="n"/>
    </row>
    <row r="580" ht="99.5" customHeight="1" thickBot="1">
      <c r="A580" s="26" t="n"/>
      <c r="B580" s="35" t="n"/>
      <c r="C580" s="35" t="n"/>
      <c r="D580" s="35" t="n"/>
      <c r="G580" s="36" t="n"/>
      <c r="H580" s="35" t="n"/>
      <c r="K580" s="39" t="n"/>
      <c r="L580" s="38" t="n"/>
      <c r="M580" s="38" t="n"/>
      <c r="N580" s="38" t="n"/>
      <c r="O580" s="38" t="n"/>
      <c r="P580" s="38" t="n"/>
      <c r="Q580" s="38" t="n"/>
      <c r="U580" s="63" t="n"/>
    </row>
    <row r="581" ht="99.5" customHeight="1" thickBot="1">
      <c r="A581" s="26" t="n"/>
      <c r="B581" s="35" t="n"/>
      <c r="C581" s="35" t="n"/>
      <c r="D581" s="35" t="n"/>
      <c r="G581" s="36" t="n"/>
      <c r="H581" s="35" t="n"/>
      <c r="K581" s="39" t="n"/>
      <c r="L581" s="38" t="n"/>
      <c r="M581" s="38" t="n"/>
      <c r="N581" s="38" t="n"/>
      <c r="O581" s="38" t="n"/>
      <c r="P581" s="38" t="n"/>
      <c r="Q581" s="38" t="n"/>
      <c r="U581" s="63" t="n"/>
    </row>
    <row r="582" ht="99.5" customHeight="1" thickBot="1">
      <c r="A582" s="26" t="n"/>
      <c r="B582" s="35" t="n"/>
      <c r="C582" s="35" t="n"/>
      <c r="D582" s="35" t="n"/>
      <c r="G582" s="36" t="n"/>
      <c r="H582" s="35" t="n"/>
      <c r="K582" s="39" t="n"/>
      <c r="L582" s="38" t="n"/>
      <c r="M582" s="38" t="n"/>
      <c r="N582" s="38" t="n"/>
      <c r="O582" s="38" t="n"/>
      <c r="P582" s="38" t="n"/>
      <c r="Q582" s="38" t="n"/>
      <c r="U582" s="63" t="n"/>
    </row>
    <row r="583" ht="99.5" customHeight="1" thickBot="1">
      <c r="A583" s="26" t="n"/>
      <c r="B583" s="35" t="n"/>
      <c r="C583" s="35" t="n"/>
      <c r="D583" s="35" t="n"/>
      <c r="G583" s="36" t="n"/>
      <c r="H583" s="35" t="n"/>
      <c r="K583" s="39" t="n"/>
      <c r="L583" s="38" t="n"/>
      <c r="M583" s="38" t="n"/>
      <c r="N583" s="38" t="n"/>
      <c r="O583" s="38" t="n"/>
      <c r="P583" s="38" t="n"/>
      <c r="Q583" s="38" t="n"/>
      <c r="U583" s="63" t="n"/>
    </row>
    <row r="584" ht="99.5" customHeight="1" thickBot="1">
      <c r="A584" s="26" t="n"/>
      <c r="B584" s="35" t="n"/>
      <c r="C584" s="35" t="n"/>
      <c r="D584" s="35" t="n"/>
      <c r="G584" s="36" t="n"/>
      <c r="H584" s="35" t="n"/>
      <c r="K584" s="39" t="n"/>
      <c r="L584" s="38" t="n"/>
      <c r="M584" s="38" t="n"/>
      <c r="N584" s="38" t="n"/>
      <c r="O584" s="38" t="n"/>
      <c r="P584" s="38" t="n"/>
      <c r="Q584" s="38" t="n"/>
      <c r="U584" s="63" t="n"/>
    </row>
    <row r="585" ht="99.5" customHeight="1" thickBot="1">
      <c r="A585" s="26" t="n"/>
      <c r="B585" s="35" t="n"/>
      <c r="C585" s="35" t="n"/>
      <c r="D585" s="35" t="n"/>
      <c r="G585" s="36" t="n"/>
      <c r="H585" s="35" t="n"/>
      <c r="K585" s="39" t="n"/>
      <c r="L585" s="38" t="n"/>
      <c r="M585" s="38" t="n"/>
      <c r="N585" s="38" t="n"/>
      <c r="O585" s="38" t="n"/>
      <c r="P585" s="38" t="n"/>
      <c r="Q585" s="38" t="n"/>
      <c r="U585" s="63" t="n"/>
    </row>
    <row r="586" ht="99.5" customHeight="1" thickBot="1">
      <c r="A586" s="26" t="n"/>
      <c r="B586" s="35" t="n"/>
      <c r="C586" s="35" t="n"/>
      <c r="D586" s="35" t="n"/>
      <c r="G586" s="36" t="n"/>
      <c r="H586" s="35" t="n"/>
      <c r="K586" s="39" t="n"/>
      <c r="L586" s="38" t="n"/>
      <c r="M586" s="38" t="n"/>
      <c r="N586" s="38" t="n"/>
      <c r="O586" s="38" t="n"/>
      <c r="P586" s="38" t="n"/>
      <c r="Q586" s="38" t="n"/>
      <c r="U586" s="63" t="n"/>
    </row>
    <row r="587" ht="99.5" customHeight="1" thickBot="1">
      <c r="A587" s="26" t="n"/>
      <c r="B587" s="35" t="n"/>
      <c r="C587" s="35" t="n"/>
      <c r="D587" s="35" t="n"/>
      <c r="G587" s="36" t="n"/>
      <c r="H587" s="35" t="n"/>
      <c r="K587" s="39" t="n"/>
      <c r="L587" s="38" t="n"/>
      <c r="M587" s="38" t="n"/>
      <c r="N587" s="38" t="n"/>
      <c r="O587" s="38" t="n"/>
      <c r="P587" s="38" t="n"/>
      <c r="Q587" s="38" t="n"/>
      <c r="U587" s="63" t="n"/>
    </row>
    <row r="588" ht="99.5" customHeight="1" thickBot="1">
      <c r="A588" s="26" t="n"/>
      <c r="B588" s="35" t="n"/>
      <c r="C588" s="35" t="n"/>
      <c r="D588" s="35" t="n"/>
      <c r="G588" s="36" t="n"/>
      <c r="H588" s="35" t="n"/>
      <c r="K588" s="39" t="n"/>
      <c r="L588" s="38" t="n"/>
      <c r="M588" s="38" t="n"/>
      <c r="N588" s="38" t="n"/>
      <c r="O588" s="38" t="n"/>
      <c r="P588" s="38" t="n"/>
      <c r="Q588" s="38" t="n"/>
      <c r="U588" s="63" t="n"/>
    </row>
    <row r="589" ht="99.5" customHeight="1" thickBot="1">
      <c r="A589" s="26" t="n"/>
      <c r="B589" s="35" t="n"/>
      <c r="C589" s="35" t="n"/>
      <c r="D589" s="35" t="n"/>
      <c r="G589" s="36" t="n"/>
      <c r="H589" s="35" t="n"/>
      <c r="K589" s="39" t="n"/>
      <c r="L589" s="38" t="n"/>
      <c r="M589" s="38" t="n"/>
      <c r="N589" s="38" t="n"/>
      <c r="O589" s="38" t="n"/>
      <c r="P589" s="38" t="n"/>
      <c r="Q589" s="38" t="n"/>
      <c r="U589" s="63" t="n"/>
    </row>
    <row r="590" ht="99.5" customHeight="1" thickBot="1">
      <c r="A590" s="26" t="n"/>
      <c r="B590" s="35" t="n"/>
      <c r="C590" s="35" t="n"/>
      <c r="D590" s="35" t="n"/>
      <c r="G590" s="36" t="n"/>
      <c r="H590" s="35" t="n"/>
      <c r="K590" s="39" t="n"/>
      <c r="L590" s="38" t="n"/>
      <c r="M590" s="38" t="n"/>
      <c r="N590" s="38" t="n"/>
      <c r="O590" s="38" t="n"/>
      <c r="P590" s="38" t="n"/>
      <c r="Q590" s="38" t="n"/>
      <c r="U590" s="63" t="n"/>
    </row>
    <row r="591" ht="99.5" customHeight="1" thickBot="1">
      <c r="A591" s="26" t="n"/>
      <c r="B591" s="35" t="n"/>
      <c r="C591" s="35" t="n"/>
      <c r="D591" s="35" t="n"/>
      <c r="G591" s="36" t="n"/>
      <c r="H591" s="35" t="n"/>
      <c r="K591" s="39" t="n"/>
      <c r="L591" s="38" t="n"/>
      <c r="M591" s="38" t="n"/>
      <c r="N591" s="38" t="n"/>
      <c r="O591" s="38" t="n"/>
      <c r="P591" s="38" t="n"/>
      <c r="Q591" s="38" t="n"/>
      <c r="U591" s="63" t="n"/>
    </row>
    <row r="592" ht="99.5" customHeight="1" thickBot="1">
      <c r="A592" s="26" t="n"/>
      <c r="B592" s="35" t="n"/>
      <c r="C592" s="35" t="n"/>
      <c r="D592" s="35" t="n"/>
      <c r="G592" s="36" t="n"/>
      <c r="H592" s="35" t="n"/>
      <c r="K592" s="39" t="n"/>
      <c r="L592" s="38" t="n"/>
      <c r="M592" s="38" t="n"/>
      <c r="N592" s="38" t="n"/>
      <c r="O592" s="38" t="n"/>
      <c r="P592" s="38" t="n"/>
      <c r="Q592" s="38" t="n"/>
      <c r="U592" s="63" t="n"/>
    </row>
    <row r="593" ht="99.5" customHeight="1" thickBot="1">
      <c r="A593" s="26" t="n"/>
      <c r="B593" s="35" t="n"/>
      <c r="C593" s="35" t="n"/>
      <c r="D593" s="35" t="n"/>
      <c r="G593" s="36" t="n"/>
      <c r="H593" s="35" t="n"/>
      <c r="K593" s="39" t="n"/>
      <c r="L593" s="38" t="n"/>
      <c r="M593" s="38" t="n"/>
      <c r="N593" s="38" t="n"/>
      <c r="O593" s="38" t="n"/>
      <c r="P593" s="38" t="n"/>
      <c r="Q593" s="38" t="n"/>
      <c r="U593" s="63" t="n"/>
    </row>
    <row r="594" ht="99.5" customHeight="1" thickBot="1">
      <c r="A594" s="26" t="n"/>
      <c r="B594" s="35" t="n"/>
      <c r="C594" s="35" t="n"/>
      <c r="D594" s="35" t="n"/>
      <c r="G594" s="36" t="n"/>
      <c r="H594" s="35" t="n"/>
      <c r="K594" s="39" t="n"/>
      <c r="L594" s="38" t="n"/>
      <c r="M594" s="38" t="n"/>
      <c r="N594" s="38" t="n"/>
      <c r="O594" s="38" t="n"/>
      <c r="P594" s="38" t="n"/>
      <c r="Q594" s="38" t="n"/>
      <c r="U594" s="63" t="n"/>
    </row>
    <row r="595" ht="99.5" customHeight="1" thickBot="1">
      <c r="A595" s="26" t="n"/>
      <c r="B595" s="35" t="n"/>
      <c r="C595" s="35" t="n"/>
      <c r="D595" s="35" t="n"/>
      <c r="G595" s="36" t="n"/>
      <c r="H595" s="35" t="n"/>
      <c r="K595" s="39" t="n"/>
      <c r="L595" s="38" t="n"/>
      <c r="M595" s="38" t="n"/>
      <c r="N595" s="38" t="n"/>
      <c r="O595" s="38" t="n"/>
      <c r="P595" s="38" t="n"/>
      <c r="Q595" s="38" t="n"/>
      <c r="U595" s="63" t="n"/>
    </row>
    <row r="596" ht="99.5" customHeight="1" thickBot="1">
      <c r="A596" s="26" t="n"/>
      <c r="B596" s="35" t="n"/>
      <c r="C596" s="35" t="n"/>
      <c r="D596" s="35" t="n"/>
      <c r="G596" s="36" t="n"/>
      <c r="H596" s="35" t="n"/>
      <c r="K596" s="39" t="n"/>
      <c r="L596" s="38" t="n"/>
      <c r="M596" s="38" t="n"/>
      <c r="N596" s="38" t="n"/>
      <c r="O596" s="38" t="n"/>
      <c r="P596" s="38" t="n"/>
      <c r="Q596" s="38" t="n"/>
      <c r="U596" s="63" t="n"/>
    </row>
    <row r="597" ht="99.5" customHeight="1" thickBot="1">
      <c r="A597" s="26" t="n"/>
      <c r="B597" s="35" t="n"/>
      <c r="C597" s="35" t="n"/>
      <c r="D597" s="35" t="n"/>
      <c r="G597" s="36" t="n"/>
      <c r="H597" s="35" t="n"/>
      <c r="K597" s="39" t="n"/>
      <c r="L597" s="38" t="n"/>
      <c r="M597" s="38" t="n"/>
      <c r="N597" s="38" t="n"/>
      <c r="O597" s="38" t="n"/>
      <c r="P597" s="38" t="n"/>
      <c r="Q597" s="38" t="n"/>
      <c r="U597" s="63" t="n"/>
    </row>
    <row r="598" ht="99.5" customHeight="1" thickBot="1">
      <c r="A598" s="26" t="n"/>
      <c r="B598" s="35" t="n"/>
      <c r="C598" s="35" t="n"/>
      <c r="D598" s="35" t="n"/>
      <c r="G598" s="36" t="n"/>
      <c r="H598" s="35" t="n"/>
      <c r="K598" s="39" t="n"/>
      <c r="L598" s="38" t="n"/>
      <c r="M598" s="38" t="n"/>
      <c r="N598" s="38" t="n"/>
      <c r="O598" s="38" t="n"/>
      <c r="P598" s="38" t="n"/>
      <c r="Q598" s="38" t="n"/>
      <c r="U598" s="63" t="n"/>
    </row>
    <row r="599" ht="99.5" customHeight="1" thickBot="1">
      <c r="A599" s="26" t="n"/>
      <c r="B599" s="35" t="n"/>
      <c r="C599" s="35" t="n"/>
      <c r="D599" s="35" t="n"/>
      <c r="G599" s="36" t="n"/>
      <c r="H599" s="35" t="n"/>
      <c r="K599" s="39" t="n"/>
      <c r="L599" s="38" t="n"/>
      <c r="M599" s="38" t="n"/>
      <c r="N599" s="38" t="n"/>
      <c r="O599" s="38" t="n"/>
      <c r="P599" s="38" t="n"/>
      <c r="Q599" s="38" t="n"/>
      <c r="U599" s="63" t="n"/>
    </row>
    <row r="600" ht="99.5" customHeight="1" thickBot="1">
      <c r="A600" s="26" t="n"/>
      <c r="B600" s="35" t="n"/>
      <c r="C600" s="35" t="n"/>
      <c r="D600" s="35" t="n"/>
      <c r="G600" s="36" t="n"/>
      <c r="H600" s="35" t="n"/>
      <c r="K600" s="39" t="n"/>
      <c r="L600" s="38" t="n"/>
      <c r="M600" s="38" t="n"/>
      <c r="N600" s="38" t="n"/>
      <c r="O600" s="38" t="n"/>
      <c r="P600" s="38" t="n"/>
      <c r="Q600" s="38" t="n"/>
      <c r="U600" s="63" t="n"/>
    </row>
    <row r="601" ht="99.5" customHeight="1" thickBot="1">
      <c r="A601" s="26" t="n"/>
      <c r="B601" s="35" t="n"/>
      <c r="C601" s="35" t="n"/>
      <c r="D601" s="35" t="n"/>
      <c r="G601" s="36" t="n"/>
      <c r="H601" s="35" t="n"/>
      <c r="K601" s="39" t="n"/>
      <c r="L601" s="38" t="n"/>
      <c r="M601" s="38" t="n"/>
      <c r="N601" s="38" t="n"/>
      <c r="O601" s="38" t="n"/>
      <c r="P601" s="38" t="n"/>
      <c r="Q601" s="38" t="n"/>
      <c r="U601" s="63" t="n"/>
    </row>
    <row r="602" ht="99.5" customHeight="1" thickBot="1">
      <c r="A602" s="26" t="n"/>
      <c r="B602" s="35" t="n"/>
      <c r="C602" s="35" t="n"/>
      <c r="D602" s="35" t="n"/>
      <c r="G602" s="36" t="n"/>
      <c r="H602" s="35" t="n"/>
      <c r="K602" s="39" t="n"/>
      <c r="L602" s="38" t="n"/>
      <c r="M602" s="38" t="n"/>
      <c r="N602" s="38" t="n"/>
      <c r="O602" s="38" t="n"/>
      <c r="P602" s="38" t="n"/>
      <c r="Q602" s="38" t="n"/>
      <c r="U602" s="63" t="n"/>
    </row>
    <row r="603" ht="99.5" customHeight="1" thickBot="1">
      <c r="A603" s="26" t="n"/>
      <c r="B603" s="35" t="n"/>
      <c r="C603" s="35" t="n"/>
      <c r="D603" s="35" t="n"/>
      <c r="G603" s="36" t="n"/>
      <c r="H603" s="35" t="n"/>
      <c r="K603" s="39" t="n"/>
      <c r="L603" s="38" t="n"/>
      <c r="M603" s="38" t="n"/>
      <c r="N603" s="38" t="n"/>
      <c r="O603" s="38" t="n"/>
      <c r="P603" s="38" t="n"/>
      <c r="Q603" s="38" t="n"/>
      <c r="U603" s="63" t="n"/>
    </row>
    <row r="604" ht="99.5" customHeight="1" thickBot="1">
      <c r="A604" s="26" t="n"/>
      <c r="B604" s="35" t="n"/>
      <c r="C604" s="35" t="n"/>
      <c r="D604" s="35" t="n"/>
      <c r="G604" s="36" t="n"/>
      <c r="H604" s="35" t="n"/>
      <c r="K604" s="39" t="n"/>
      <c r="L604" s="38" t="n"/>
      <c r="M604" s="38" t="n"/>
      <c r="N604" s="38" t="n"/>
      <c r="O604" s="38" t="n"/>
      <c r="P604" s="38" t="n"/>
      <c r="Q604" s="38" t="n"/>
      <c r="U604" s="63" t="n"/>
    </row>
    <row r="605" ht="99.5" customHeight="1" thickBot="1">
      <c r="A605" s="26" t="n"/>
      <c r="B605" s="35" t="n"/>
      <c r="C605" s="35" t="n"/>
      <c r="D605" s="35" t="n"/>
      <c r="G605" s="36" t="n"/>
      <c r="H605" s="35" t="n"/>
      <c r="K605" s="39" t="n"/>
      <c r="L605" s="38" t="n"/>
      <c r="M605" s="38" t="n"/>
      <c r="N605" s="38" t="n"/>
      <c r="O605" s="38" t="n"/>
      <c r="P605" s="38" t="n"/>
      <c r="Q605" s="38" t="n"/>
      <c r="U605" s="63" t="n"/>
    </row>
    <row r="606" ht="99.5" customHeight="1" thickBot="1">
      <c r="A606" s="26" t="n"/>
      <c r="B606" s="35" t="n"/>
      <c r="C606" s="35" t="n"/>
      <c r="D606" s="35" t="n"/>
      <c r="G606" s="36" t="n"/>
      <c r="H606" s="35" t="n"/>
      <c r="K606" s="39" t="n"/>
      <c r="L606" s="38" t="n"/>
      <c r="M606" s="38" t="n"/>
      <c r="N606" s="38" t="n"/>
      <c r="O606" s="38" t="n"/>
      <c r="P606" s="38" t="n"/>
      <c r="Q606" s="38" t="n"/>
      <c r="U606" s="63" t="n"/>
    </row>
    <row r="607" ht="99.5" customHeight="1" thickBot="1">
      <c r="A607" s="26" t="n"/>
      <c r="B607" s="35" t="n"/>
      <c r="C607" s="35" t="n"/>
      <c r="D607" s="35" t="n"/>
      <c r="G607" s="36" t="n"/>
      <c r="H607" s="35" t="n"/>
      <c r="K607" s="39" t="n"/>
      <c r="L607" s="38" t="n"/>
      <c r="M607" s="38" t="n"/>
      <c r="N607" s="38" t="n"/>
      <c r="O607" s="38" t="n"/>
      <c r="P607" s="38" t="n"/>
      <c r="Q607" s="38" t="n"/>
      <c r="U607" s="63" t="n"/>
    </row>
    <row r="608" ht="99.5" customHeight="1" thickBot="1">
      <c r="A608" s="26" t="n"/>
      <c r="B608" s="35" t="n"/>
      <c r="C608" s="35" t="n"/>
      <c r="D608" s="35" t="n"/>
      <c r="G608" s="36" t="n"/>
      <c r="H608" s="35" t="n"/>
      <c r="K608" s="39" t="n"/>
      <c r="L608" s="38" t="n"/>
      <c r="M608" s="38" t="n"/>
      <c r="N608" s="38" t="n"/>
      <c r="O608" s="38" t="n"/>
      <c r="P608" s="38" t="n"/>
      <c r="Q608" s="38" t="n"/>
      <c r="U608" s="63" t="n"/>
    </row>
    <row r="609" ht="99.5" customHeight="1" thickBot="1">
      <c r="A609" s="26" t="n"/>
      <c r="B609" s="35" t="n"/>
      <c r="C609" s="35" t="n"/>
      <c r="D609" s="35" t="n"/>
      <c r="G609" s="36" t="n"/>
      <c r="H609" s="35" t="n"/>
      <c r="K609" s="39" t="n"/>
      <c r="L609" s="38" t="n"/>
      <c r="M609" s="38" t="n"/>
      <c r="N609" s="38" t="n"/>
      <c r="O609" s="38" t="n"/>
      <c r="P609" s="38" t="n"/>
      <c r="Q609" s="38" t="n"/>
      <c r="U609" s="63" t="n"/>
    </row>
    <row r="610" ht="99.5" customHeight="1" thickBot="1">
      <c r="A610" s="26" t="n"/>
      <c r="B610" s="35" t="n"/>
      <c r="C610" s="35" t="n"/>
      <c r="D610" s="35" t="n"/>
      <c r="G610" s="36" t="n"/>
      <c r="H610" s="35" t="n"/>
      <c r="K610" s="39" t="n"/>
      <c r="L610" s="38" t="n"/>
      <c r="M610" s="38" t="n"/>
      <c r="N610" s="38" t="n"/>
      <c r="O610" s="38" t="n"/>
      <c r="P610" s="38" t="n"/>
      <c r="Q610" s="38" t="n"/>
      <c r="U610" s="63" t="n"/>
    </row>
    <row r="611" ht="99.5" customHeight="1" thickBot="1">
      <c r="A611" s="26" t="n"/>
      <c r="B611" s="35" t="n"/>
      <c r="C611" s="35" t="n"/>
      <c r="D611" s="35" t="n"/>
      <c r="G611" s="36" t="n"/>
      <c r="H611" s="35" t="n"/>
      <c r="K611" s="39" t="n"/>
      <c r="L611" s="38" t="n"/>
      <c r="M611" s="38" t="n"/>
      <c r="N611" s="38" t="n"/>
      <c r="O611" s="38" t="n"/>
      <c r="P611" s="38" t="n"/>
      <c r="Q611" s="38" t="n"/>
      <c r="U611" s="63" t="n"/>
    </row>
    <row r="612" ht="99.5" customHeight="1" thickBot="1">
      <c r="A612" s="26" t="n"/>
      <c r="B612" s="35" t="n"/>
      <c r="C612" s="35" t="n"/>
      <c r="D612" s="35" t="n"/>
      <c r="G612" s="36" t="n"/>
      <c r="H612" s="35" t="n"/>
      <c r="K612" s="39" t="n"/>
      <c r="L612" s="38" t="n"/>
      <c r="M612" s="38" t="n"/>
      <c r="N612" s="38" t="n"/>
      <c r="O612" s="38" t="n"/>
      <c r="P612" s="38" t="n"/>
      <c r="Q612" s="38" t="n"/>
      <c r="U612" s="63" t="n"/>
    </row>
    <row r="613" ht="99.5" customHeight="1" thickBot="1">
      <c r="A613" s="26" t="n"/>
      <c r="B613" s="35" t="n"/>
      <c r="C613" s="35" t="n"/>
      <c r="D613" s="35" t="n"/>
      <c r="G613" s="36" t="n"/>
      <c r="H613" s="35" t="n"/>
      <c r="K613" s="39" t="n"/>
      <c r="L613" s="38" t="n"/>
      <c r="M613" s="38" t="n"/>
      <c r="N613" s="38" t="n"/>
      <c r="O613" s="38" t="n"/>
      <c r="P613" s="38" t="n"/>
      <c r="Q613" s="38" t="n"/>
      <c r="U613" s="63" t="n"/>
    </row>
    <row r="614" ht="99.5" customHeight="1" thickBot="1">
      <c r="A614" s="26" t="n"/>
      <c r="B614" s="35" t="n"/>
      <c r="C614" s="35" t="n"/>
      <c r="D614" s="35" t="n"/>
      <c r="G614" s="36" t="n"/>
      <c r="H614" s="35" t="n"/>
      <c r="K614" s="39" t="n"/>
      <c r="L614" s="38" t="n"/>
      <c r="M614" s="38" t="n"/>
      <c r="N614" s="38" t="n"/>
      <c r="O614" s="38" t="n"/>
      <c r="P614" s="38" t="n"/>
      <c r="Q614" s="38" t="n"/>
      <c r="U614" s="63" t="n"/>
    </row>
    <row r="615" ht="99.5" customHeight="1" thickBot="1">
      <c r="A615" s="26" t="n"/>
      <c r="B615" s="35" t="n"/>
      <c r="C615" s="35" t="n"/>
      <c r="D615" s="35" t="n"/>
      <c r="G615" s="36" t="n"/>
      <c r="H615" s="35" t="n"/>
      <c r="K615" s="39" t="n"/>
      <c r="L615" s="38" t="n"/>
      <c r="M615" s="38" t="n"/>
      <c r="N615" s="38" t="n"/>
      <c r="O615" s="38" t="n"/>
      <c r="P615" s="38" t="n"/>
      <c r="Q615" s="38" t="n"/>
      <c r="U615" s="63" t="n"/>
    </row>
    <row r="616" ht="99.5" customHeight="1" thickBot="1">
      <c r="A616" s="26" t="n"/>
      <c r="B616" s="35" t="n"/>
      <c r="C616" s="35" t="n"/>
      <c r="D616" s="35" t="n"/>
      <c r="G616" s="36" t="n"/>
      <c r="H616" s="35" t="n"/>
      <c r="K616" s="39" t="n"/>
      <c r="L616" s="38" t="n"/>
      <c r="M616" s="38" t="n"/>
      <c r="N616" s="38" t="n"/>
      <c r="O616" s="38" t="n"/>
      <c r="P616" s="38" t="n"/>
      <c r="Q616" s="38" t="n"/>
      <c r="U616" s="63" t="n"/>
    </row>
    <row r="617" ht="99.5" customHeight="1" thickBot="1">
      <c r="A617" s="26" t="n"/>
      <c r="B617" s="35" t="n"/>
      <c r="C617" s="35" t="n"/>
      <c r="D617" s="35" t="n"/>
      <c r="G617" s="36" t="n"/>
      <c r="H617" s="35" t="n"/>
      <c r="K617" s="39" t="n"/>
      <c r="L617" s="38" t="n"/>
      <c r="M617" s="38" t="n"/>
      <c r="N617" s="38" t="n"/>
      <c r="O617" s="38" t="n"/>
      <c r="P617" s="38" t="n"/>
      <c r="Q617" s="38" t="n"/>
      <c r="U617" s="63" t="n"/>
    </row>
    <row r="618" ht="99.5" customHeight="1" thickBot="1">
      <c r="A618" s="26" t="n"/>
      <c r="B618" s="35" t="n"/>
      <c r="C618" s="35" t="n"/>
      <c r="D618" s="35" t="n"/>
      <c r="G618" s="36" t="n"/>
      <c r="H618" s="35" t="n"/>
      <c r="K618" s="39" t="n"/>
      <c r="L618" s="38" t="n"/>
      <c r="M618" s="38" t="n"/>
      <c r="N618" s="38" t="n"/>
      <c r="O618" s="38" t="n"/>
      <c r="P618" s="38" t="n"/>
      <c r="Q618" s="38" t="n"/>
      <c r="U618" s="63" t="n"/>
    </row>
    <row r="619" ht="99.5" customHeight="1" thickBot="1">
      <c r="A619" s="26" t="n"/>
      <c r="B619" s="35" t="n"/>
      <c r="C619" s="35" t="n"/>
      <c r="D619" s="35" t="n"/>
      <c r="G619" s="36" t="n"/>
      <c r="H619" s="35" t="n"/>
      <c r="K619" s="39" t="n"/>
      <c r="L619" s="38" t="n"/>
      <c r="M619" s="38" t="n"/>
      <c r="N619" s="38" t="n"/>
      <c r="O619" s="38" t="n"/>
      <c r="P619" s="38" t="n"/>
      <c r="Q619" s="38" t="n"/>
      <c r="U619" s="63" t="n"/>
    </row>
    <row r="620" ht="99.5" customHeight="1" thickBot="1">
      <c r="A620" s="26" t="n"/>
      <c r="B620" s="35" t="n"/>
      <c r="C620" s="35" t="n"/>
      <c r="D620" s="35" t="n"/>
      <c r="G620" s="36" t="n"/>
      <c r="H620" s="35" t="n"/>
      <c r="K620" s="39" t="n"/>
      <c r="L620" s="38" t="n"/>
      <c r="M620" s="38" t="n"/>
      <c r="N620" s="38" t="n"/>
      <c r="O620" s="38" t="n"/>
      <c r="P620" s="38" t="n"/>
      <c r="Q620" s="38" t="n"/>
      <c r="U620" s="63" t="n"/>
    </row>
    <row r="621" ht="99.5" customHeight="1" thickBot="1">
      <c r="A621" s="26" t="n"/>
      <c r="B621" s="35" t="n"/>
      <c r="C621" s="35" t="n"/>
      <c r="D621" s="35" t="n"/>
      <c r="G621" s="36" t="n"/>
      <c r="H621" s="35" t="n"/>
      <c r="K621" s="39" t="n"/>
      <c r="L621" s="38" t="n"/>
      <c r="M621" s="38" t="n"/>
      <c r="N621" s="38" t="n"/>
      <c r="O621" s="38" t="n"/>
      <c r="P621" s="38" t="n"/>
      <c r="Q621" s="38" t="n"/>
      <c r="U621" s="63" t="n"/>
    </row>
    <row r="622" ht="99.5" customHeight="1" thickBot="1">
      <c r="A622" s="26" t="n"/>
      <c r="B622" s="35" t="n"/>
      <c r="C622" s="35" t="n"/>
      <c r="D622" s="35" t="n"/>
      <c r="G622" s="36" t="n"/>
      <c r="H622" s="35" t="n"/>
      <c r="K622" s="39" t="n"/>
      <c r="L622" s="38" t="n"/>
      <c r="M622" s="38" t="n"/>
      <c r="N622" s="38" t="n"/>
      <c r="O622" s="38" t="n"/>
      <c r="P622" s="38" t="n"/>
      <c r="Q622" s="38" t="n"/>
      <c r="U622" s="63" t="n"/>
    </row>
    <row r="623" ht="99.5" customHeight="1" thickBot="1">
      <c r="A623" s="26" t="n"/>
      <c r="B623" s="35" t="n"/>
      <c r="C623" s="35" t="n"/>
      <c r="D623" s="35" t="n"/>
      <c r="G623" s="36" t="n"/>
      <c r="H623" s="35" t="n"/>
      <c r="K623" s="39" t="n"/>
      <c r="L623" s="38" t="n"/>
      <c r="M623" s="38" t="n"/>
      <c r="N623" s="38" t="n"/>
      <c r="O623" s="38" t="n"/>
      <c r="P623" s="38" t="n"/>
      <c r="Q623" s="38" t="n"/>
      <c r="U623" s="63" t="n"/>
    </row>
    <row r="624" ht="99.5" customHeight="1" thickBot="1">
      <c r="A624" s="26" t="n"/>
      <c r="B624" s="35" t="n"/>
      <c r="C624" s="35" t="n"/>
      <c r="D624" s="35" t="n"/>
      <c r="G624" s="36" t="n"/>
      <c r="H624" s="35" t="n"/>
      <c r="K624" s="39" t="n"/>
      <c r="L624" s="38" t="n"/>
      <c r="M624" s="38" t="n"/>
      <c r="N624" s="38" t="n"/>
      <c r="O624" s="38" t="n"/>
      <c r="P624" s="38" t="n"/>
      <c r="Q624" s="38" t="n"/>
      <c r="U624" s="63" t="n"/>
    </row>
    <row r="625" ht="99.5" customHeight="1" thickBot="1">
      <c r="A625" s="26" t="n"/>
      <c r="B625" s="35" t="n"/>
      <c r="C625" s="35" t="n"/>
      <c r="D625" s="35" t="n"/>
      <c r="G625" s="36" t="n"/>
      <c r="H625" s="35" t="n"/>
      <c r="K625" s="39" t="n"/>
      <c r="L625" s="38" t="n"/>
      <c r="M625" s="38" t="n"/>
      <c r="N625" s="38" t="n"/>
      <c r="O625" s="38" t="n"/>
      <c r="P625" s="38" t="n"/>
      <c r="Q625" s="38" t="n"/>
      <c r="U625" s="63" t="n"/>
    </row>
    <row r="626" ht="99.5" customHeight="1" thickBot="1">
      <c r="A626" s="26" t="n"/>
      <c r="B626" s="35" t="n"/>
      <c r="C626" s="35" t="n"/>
      <c r="D626" s="35" t="n"/>
      <c r="G626" s="36" t="n"/>
      <c r="H626" s="35" t="n"/>
      <c r="K626" s="39" t="n"/>
      <c r="L626" s="38" t="n"/>
      <c r="M626" s="38" t="n"/>
      <c r="N626" s="38" t="n"/>
      <c r="O626" s="38" t="n"/>
      <c r="P626" s="38" t="n"/>
      <c r="Q626" s="38" t="n"/>
      <c r="U626" s="63" t="n"/>
    </row>
    <row r="627" ht="99.5" customHeight="1" thickBot="1">
      <c r="A627" s="26" t="n"/>
      <c r="B627" s="35" t="n"/>
      <c r="C627" s="35" t="n"/>
      <c r="D627" s="35" t="n"/>
      <c r="G627" s="36" t="n"/>
      <c r="H627" s="35" t="n"/>
      <c r="K627" s="39" t="n"/>
      <c r="L627" s="38" t="n"/>
      <c r="M627" s="38" t="n"/>
      <c r="N627" s="38" t="n"/>
      <c r="O627" s="38" t="n"/>
      <c r="P627" s="38" t="n"/>
      <c r="Q627" s="38" t="n"/>
      <c r="U627" s="63" t="n"/>
    </row>
    <row r="628" ht="99.5" customHeight="1" thickBot="1">
      <c r="A628" s="26" t="n"/>
      <c r="B628" s="35" t="n"/>
      <c r="C628" s="35" t="n"/>
      <c r="D628" s="35" t="n"/>
      <c r="G628" s="36" t="n"/>
      <c r="H628" s="35" t="n"/>
      <c r="K628" s="39" t="n"/>
      <c r="L628" s="38" t="n"/>
      <c r="M628" s="38" t="n"/>
      <c r="N628" s="38" t="n"/>
      <c r="O628" s="38" t="n"/>
      <c r="P628" s="38" t="n"/>
      <c r="Q628" s="38" t="n"/>
      <c r="U628" s="63" t="n"/>
    </row>
    <row r="629" ht="99.5" customHeight="1" thickBot="1">
      <c r="A629" s="26" t="n"/>
      <c r="B629" s="35" t="n"/>
      <c r="C629" s="35" t="n"/>
      <c r="D629" s="35" t="n"/>
      <c r="G629" s="36" t="n"/>
      <c r="H629" s="35" t="n"/>
      <c r="K629" s="39" t="n"/>
      <c r="L629" s="38" t="n"/>
      <c r="M629" s="38" t="n"/>
      <c r="N629" s="38" t="n"/>
      <c r="O629" s="38" t="n"/>
      <c r="P629" s="38" t="n"/>
      <c r="Q629" s="38" t="n"/>
      <c r="U629" s="63" t="n"/>
    </row>
    <row r="630" ht="99.5" customHeight="1" thickBot="1">
      <c r="A630" s="26" t="n"/>
      <c r="B630" s="35" t="n"/>
      <c r="C630" s="35" t="n"/>
      <c r="D630" s="35" t="n"/>
      <c r="G630" s="36" t="n"/>
      <c r="H630" s="35" t="n"/>
      <c r="K630" s="39" t="n"/>
      <c r="L630" s="38" t="n"/>
      <c r="M630" s="38" t="n"/>
      <c r="N630" s="38" t="n"/>
      <c r="O630" s="38" t="n"/>
      <c r="P630" s="38" t="n"/>
      <c r="Q630" s="38" t="n"/>
      <c r="U630" s="63" t="n"/>
    </row>
    <row r="631" ht="99.5" customHeight="1" thickBot="1">
      <c r="A631" s="26" t="n"/>
      <c r="B631" s="35" t="n"/>
      <c r="C631" s="35" t="n"/>
      <c r="D631" s="35" t="n"/>
      <c r="G631" s="36" t="n"/>
      <c r="H631" s="35" t="n"/>
      <c r="K631" s="39" t="n"/>
      <c r="L631" s="38" t="n"/>
      <c r="M631" s="38" t="n"/>
      <c r="N631" s="38" t="n"/>
      <c r="O631" s="38" t="n"/>
      <c r="P631" s="38" t="n"/>
      <c r="Q631" s="38" t="n"/>
      <c r="U631" s="63" t="n"/>
    </row>
    <row r="632" ht="99.5" customHeight="1" thickBot="1">
      <c r="A632" s="26" t="n"/>
      <c r="B632" s="35" t="n"/>
      <c r="C632" s="35" t="n"/>
      <c r="D632" s="35" t="n"/>
      <c r="G632" s="36" t="n"/>
      <c r="H632" s="35" t="n"/>
      <c r="K632" s="39" t="n"/>
      <c r="L632" s="38" t="n"/>
      <c r="M632" s="38" t="n"/>
      <c r="N632" s="38" t="n"/>
      <c r="O632" s="38" t="n"/>
      <c r="P632" s="38" t="n"/>
      <c r="Q632" s="38" t="n"/>
      <c r="U632" s="63" t="n"/>
    </row>
    <row r="633" ht="99.5" customHeight="1" thickBot="1">
      <c r="A633" s="26" t="n"/>
      <c r="B633" s="35" t="n"/>
      <c r="C633" s="35" t="n"/>
      <c r="D633" s="35" t="n"/>
      <c r="G633" s="36" t="n"/>
      <c r="H633" s="35" t="n"/>
      <c r="K633" s="39" t="n"/>
      <c r="L633" s="38" t="n"/>
      <c r="M633" s="38" t="n"/>
      <c r="N633" s="38" t="n"/>
      <c r="O633" s="38" t="n"/>
      <c r="P633" s="38" t="n"/>
      <c r="Q633" s="38" t="n"/>
      <c r="U633" s="63" t="n"/>
    </row>
    <row r="634" ht="99.5" customHeight="1" thickBot="1">
      <c r="A634" s="26" t="n"/>
      <c r="B634" s="35" t="n"/>
      <c r="C634" s="35" t="n"/>
      <c r="D634" s="35" t="n"/>
      <c r="G634" s="36" t="n"/>
      <c r="H634" s="35" t="n"/>
      <c r="K634" s="39" t="n"/>
      <c r="L634" s="38" t="n"/>
      <c r="M634" s="38" t="n"/>
      <c r="N634" s="38" t="n"/>
      <c r="O634" s="38" t="n"/>
      <c r="P634" s="38" t="n"/>
      <c r="Q634" s="38" t="n"/>
      <c r="U634" s="63" t="n"/>
    </row>
    <row r="635" ht="99.5" customHeight="1" thickBot="1">
      <c r="A635" s="26" t="n"/>
      <c r="B635" s="35" t="n"/>
      <c r="C635" s="35" t="n"/>
      <c r="D635" s="35" t="n"/>
      <c r="G635" s="36" t="n"/>
      <c r="H635" s="35" t="n"/>
      <c r="K635" s="39" t="n"/>
      <c r="L635" s="38" t="n"/>
      <c r="M635" s="38" t="n"/>
      <c r="N635" s="38" t="n"/>
      <c r="O635" s="38" t="n"/>
      <c r="P635" s="38" t="n"/>
      <c r="Q635" s="38" t="n"/>
      <c r="U635" s="63" t="n"/>
    </row>
    <row r="636" ht="99.5" customHeight="1" thickBot="1">
      <c r="A636" s="26" t="n"/>
      <c r="B636" s="35" t="n"/>
      <c r="C636" s="35" t="n"/>
      <c r="D636" s="35" t="n"/>
      <c r="G636" s="36" t="n"/>
      <c r="H636" s="35" t="n"/>
      <c r="K636" s="39" t="n"/>
      <c r="L636" s="38" t="n"/>
      <c r="M636" s="38" t="n"/>
      <c r="N636" s="38" t="n"/>
      <c r="O636" s="38" t="n"/>
      <c r="P636" s="38" t="n"/>
      <c r="Q636" s="38" t="n"/>
      <c r="U636" s="63" t="n"/>
    </row>
    <row r="637" ht="99.5" customHeight="1" thickBot="1">
      <c r="A637" s="26" t="n"/>
      <c r="B637" s="35" t="n"/>
      <c r="C637" s="35" t="n"/>
      <c r="D637" s="35" t="n"/>
      <c r="G637" s="36" t="n"/>
      <c r="H637" s="35" t="n"/>
      <c r="K637" s="39" t="n"/>
      <c r="L637" s="38" t="n"/>
      <c r="M637" s="38" t="n"/>
      <c r="N637" s="38" t="n"/>
      <c r="O637" s="38" t="n"/>
      <c r="P637" s="38" t="n"/>
      <c r="Q637" s="38" t="n"/>
      <c r="U637" s="63" t="n"/>
    </row>
    <row r="638" ht="99.5" customHeight="1" thickBot="1">
      <c r="A638" s="26" t="n"/>
      <c r="B638" s="35" t="n"/>
      <c r="C638" s="35" t="n"/>
      <c r="D638" s="35" t="n"/>
      <c r="G638" s="36" t="n"/>
      <c r="H638" s="35" t="n"/>
      <c r="K638" s="39" t="n"/>
      <c r="L638" s="38" t="n"/>
      <c r="M638" s="38" t="n"/>
      <c r="N638" s="38" t="n"/>
      <c r="O638" s="38" t="n"/>
      <c r="P638" s="38" t="n"/>
      <c r="Q638" s="38" t="n"/>
      <c r="U638" s="63" t="n"/>
    </row>
    <row r="639" ht="99.5" customHeight="1" thickBot="1">
      <c r="A639" s="26" t="n"/>
      <c r="B639" s="35" t="n"/>
      <c r="C639" s="35" t="n"/>
      <c r="D639" s="35" t="n"/>
      <c r="G639" s="36" t="n"/>
      <c r="H639" s="35" t="n"/>
      <c r="K639" s="39" t="n"/>
      <c r="L639" s="38" t="n"/>
      <c r="M639" s="38" t="n"/>
      <c r="N639" s="38" t="n"/>
      <c r="O639" s="38" t="n"/>
      <c r="P639" s="38" t="n"/>
      <c r="Q639" s="38" t="n"/>
      <c r="U639" s="63" t="n"/>
    </row>
    <row r="640" ht="99.5" customHeight="1" thickBot="1">
      <c r="A640" s="26" t="n"/>
      <c r="B640" s="35" t="n"/>
      <c r="C640" s="35" t="n"/>
      <c r="D640" s="35" t="n"/>
      <c r="G640" s="36" t="n"/>
      <c r="H640" s="35" t="n"/>
      <c r="K640" s="39" t="n"/>
      <c r="L640" s="38" t="n"/>
      <c r="M640" s="38" t="n"/>
      <c r="N640" s="38" t="n"/>
      <c r="O640" s="38" t="n"/>
      <c r="P640" s="38" t="n"/>
      <c r="Q640" s="38" t="n"/>
      <c r="U640" s="63" t="n"/>
    </row>
    <row r="641" ht="99.5" customHeight="1" thickBot="1">
      <c r="A641" s="26" t="n"/>
      <c r="B641" s="35" t="n"/>
      <c r="C641" s="35" t="n"/>
      <c r="D641" s="35" t="n"/>
      <c r="G641" s="36" t="n"/>
      <c r="H641" s="35" t="n"/>
      <c r="K641" s="39" t="n"/>
      <c r="L641" s="38" t="n"/>
      <c r="M641" s="38" t="n"/>
      <c r="N641" s="38" t="n"/>
      <c r="O641" s="38" t="n"/>
      <c r="P641" s="38" t="n"/>
      <c r="Q641" s="38" t="n"/>
      <c r="U641" s="63" t="n"/>
    </row>
    <row r="642" ht="99.5" customHeight="1" thickBot="1">
      <c r="A642" s="26" t="n"/>
      <c r="B642" s="35" t="n"/>
      <c r="C642" s="35" t="n"/>
      <c r="D642" s="35" t="n"/>
      <c r="G642" s="36" t="n"/>
      <c r="H642" s="35" t="n"/>
      <c r="K642" s="39" t="n"/>
      <c r="L642" s="38" t="n"/>
      <c r="M642" s="38" t="n"/>
      <c r="N642" s="38" t="n"/>
      <c r="O642" s="38" t="n"/>
      <c r="P642" s="38" t="n"/>
      <c r="Q642" s="38" t="n"/>
      <c r="U642" s="63" t="n"/>
    </row>
    <row r="643" ht="99.5" customHeight="1" thickBot="1">
      <c r="A643" s="26" t="n"/>
      <c r="B643" s="35" t="n"/>
      <c r="C643" s="35" t="n"/>
      <c r="D643" s="35" t="n"/>
      <c r="G643" s="36" t="n"/>
      <c r="H643" s="35" t="n"/>
      <c r="K643" s="39" t="n"/>
      <c r="L643" s="38" t="n"/>
      <c r="M643" s="38" t="n"/>
      <c r="N643" s="38" t="n"/>
      <c r="O643" s="38" t="n"/>
      <c r="P643" s="38" t="n"/>
      <c r="Q643" s="38" t="n"/>
      <c r="U643" s="63" t="n"/>
    </row>
    <row r="644" ht="99.5" customHeight="1" thickBot="1">
      <c r="A644" s="26" t="n"/>
      <c r="B644" s="35" t="n"/>
      <c r="C644" s="35" t="n"/>
      <c r="D644" s="35" t="n"/>
      <c r="G644" s="36" t="n"/>
      <c r="H644" s="35" t="n"/>
      <c r="K644" s="39" t="n"/>
      <c r="L644" s="38" t="n"/>
      <c r="M644" s="38" t="n"/>
      <c r="N644" s="38" t="n"/>
      <c r="O644" s="38" t="n"/>
      <c r="P644" s="38" t="n"/>
      <c r="Q644" s="38" t="n"/>
      <c r="U644" s="63" t="n"/>
    </row>
    <row r="645" ht="99.5" customHeight="1" thickBot="1">
      <c r="A645" s="26" t="n"/>
      <c r="B645" s="35" t="n"/>
      <c r="C645" s="35" t="n"/>
      <c r="D645" s="35" t="n"/>
      <c r="G645" s="36" t="n"/>
      <c r="H645" s="35" t="n"/>
      <c r="K645" s="39" t="n"/>
      <c r="L645" s="38" t="n"/>
      <c r="M645" s="38" t="n"/>
      <c r="N645" s="38" t="n"/>
      <c r="O645" s="38" t="n"/>
      <c r="P645" s="38" t="n"/>
      <c r="Q645" s="38" t="n"/>
      <c r="U645" s="63" t="n"/>
    </row>
    <row r="646" ht="99.5" customHeight="1" thickBot="1">
      <c r="A646" s="26" t="n"/>
      <c r="B646" s="35" t="n"/>
      <c r="C646" s="35" t="n"/>
      <c r="D646" s="35" t="n"/>
      <c r="G646" s="36" t="n"/>
      <c r="H646" s="35" t="n"/>
      <c r="K646" s="39" t="n"/>
      <c r="L646" s="38" t="n"/>
      <c r="M646" s="38" t="n"/>
      <c r="N646" s="38" t="n"/>
      <c r="O646" s="38" t="n"/>
      <c r="P646" s="38" t="n"/>
      <c r="Q646" s="38" t="n"/>
      <c r="U646" s="63" t="n"/>
    </row>
    <row r="647" ht="99.5" customHeight="1" thickBot="1">
      <c r="A647" s="26" t="n"/>
      <c r="B647" s="35" t="n"/>
      <c r="C647" s="35" t="n"/>
      <c r="D647" s="35" t="n"/>
      <c r="G647" s="36" t="n"/>
      <c r="H647" s="35" t="n"/>
      <c r="K647" s="39" t="n"/>
      <c r="L647" s="38" t="n"/>
      <c r="M647" s="38" t="n"/>
      <c r="N647" s="38" t="n"/>
      <c r="O647" s="38" t="n"/>
      <c r="P647" s="38" t="n"/>
      <c r="Q647" s="38" t="n"/>
      <c r="U647" s="63" t="n"/>
    </row>
    <row r="648" ht="99.5" customHeight="1" thickBot="1">
      <c r="A648" s="26" t="n"/>
      <c r="B648" s="35" t="n"/>
      <c r="C648" s="35" t="n"/>
      <c r="D648" s="35" t="n"/>
      <c r="G648" s="36" t="n"/>
      <c r="H648" s="35" t="n"/>
      <c r="K648" s="39" t="n"/>
      <c r="L648" s="38" t="n"/>
      <c r="M648" s="38" t="n"/>
      <c r="N648" s="38" t="n"/>
      <c r="O648" s="38" t="n"/>
      <c r="P648" s="38" t="n"/>
      <c r="Q648" s="38" t="n"/>
      <c r="U648" s="63" t="n"/>
    </row>
    <row r="649" ht="99.5" customHeight="1" thickBot="1">
      <c r="A649" s="26" t="n"/>
      <c r="B649" s="35" t="n"/>
      <c r="C649" s="35" t="n"/>
      <c r="D649" s="35" t="n"/>
      <c r="G649" s="36" t="n"/>
      <c r="H649" s="35" t="n"/>
      <c r="K649" s="39" t="n"/>
      <c r="L649" s="38" t="n"/>
      <c r="M649" s="38" t="n"/>
      <c r="N649" s="38" t="n"/>
      <c r="O649" s="38" t="n"/>
      <c r="P649" s="38" t="n"/>
      <c r="Q649" s="38" t="n"/>
      <c r="U649" s="63" t="n"/>
    </row>
    <row r="650" ht="99.5" customHeight="1" thickBot="1">
      <c r="A650" s="26" t="n"/>
      <c r="B650" s="35" t="n"/>
      <c r="C650" s="35" t="n"/>
      <c r="D650" s="35" t="n"/>
      <c r="G650" s="36" t="n"/>
      <c r="H650" s="35" t="n"/>
      <c r="K650" s="39" t="n"/>
      <c r="L650" s="38" t="n"/>
      <c r="M650" s="38" t="n"/>
      <c r="N650" s="38" t="n"/>
      <c r="O650" s="38" t="n"/>
      <c r="P650" s="38" t="n"/>
      <c r="Q650" s="38" t="n"/>
      <c r="U650" s="63" t="n"/>
    </row>
    <row r="651" ht="99.5" customHeight="1" thickBot="1">
      <c r="A651" s="26" t="n"/>
      <c r="B651" s="35" t="n"/>
      <c r="C651" s="35" t="n"/>
      <c r="D651" s="35" t="n"/>
      <c r="G651" s="36" t="n"/>
      <c r="H651" s="35" t="n"/>
      <c r="K651" s="39" t="n"/>
      <c r="L651" s="38" t="n"/>
      <c r="M651" s="38" t="n"/>
      <c r="N651" s="38" t="n"/>
      <c r="O651" s="38" t="n"/>
      <c r="P651" s="38" t="n"/>
      <c r="Q651" s="38" t="n"/>
      <c r="U651" s="63" t="n"/>
    </row>
    <row r="652" ht="99.5" customHeight="1" thickBot="1">
      <c r="A652" s="26" t="n"/>
      <c r="B652" s="35" t="n"/>
      <c r="C652" s="35" t="n"/>
      <c r="D652" s="35" t="n"/>
      <c r="G652" s="36" t="n"/>
      <c r="H652" s="35" t="n"/>
      <c r="K652" s="39" t="n"/>
      <c r="L652" s="38" t="n"/>
      <c r="M652" s="38" t="n"/>
      <c r="N652" s="38" t="n"/>
      <c r="O652" s="38" t="n"/>
      <c r="P652" s="38" t="n"/>
      <c r="Q652" s="38" t="n"/>
      <c r="U652" s="63" t="n"/>
    </row>
    <row r="653" ht="99.5" customHeight="1" thickBot="1">
      <c r="A653" s="26" t="n"/>
      <c r="B653" s="35" t="n"/>
      <c r="C653" s="35" t="n"/>
      <c r="D653" s="35" t="n"/>
      <c r="G653" s="36" t="n"/>
      <c r="H653" s="35" t="n"/>
      <c r="K653" s="39" t="n"/>
      <c r="L653" s="38" t="n"/>
      <c r="M653" s="38" t="n"/>
      <c r="N653" s="38" t="n"/>
      <c r="O653" s="38" t="n"/>
      <c r="P653" s="38" t="n"/>
      <c r="Q653" s="38" t="n"/>
      <c r="U653" s="63" t="n"/>
    </row>
    <row r="654" ht="99.5" customHeight="1" thickBot="1">
      <c r="A654" s="26" t="n"/>
      <c r="B654" s="35" t="n"/>
      <c r="C654" s="35" t="n"/>
      <c r="D654" s="35" t="n"/>
      <c r="G654" s="36" t="n"/>
      <c r="H654" s="35" t="n"/>
      <c r="K654" s="39" t="n"/>
      <c r="L654" s="38" t="n"/>
      <c r="M654" s="38" t="n"/>
      <c r="N654" s="38" t="n"/>
      <c r="O654" s="38" t="n"/>
      <c r="P654" s="38" t="n"/>
      <c r="Q654" s="38" t="n"/>
      <c r="U654" s="63" t="n"/>
    </row>
    <row r="655" ht="99.5" customHeight="1" thickBot="1">
      <c r="A655" s="26" t="n"/>
      <c r="B655" s="35" t="n"/>
      <c r="C655" s="35" t="n"/>
      <c r="D655" s="35" t="n"/>
      <c r="G655" s="36" t="n"/>
      <c r="H655" s="35" t="n"/>
      <c r="K655" s="39" t="n"/>
      <c r="L655" s="38" t="n"/>
      <c r="M655" s="38" t="n"/>
      <c r="N655" s="38" t="n"/>
      <c r="O655" s="38" t="n"/>
      <c r="P655" s="38" t="n"/>
      <c r="Q655" s="38" t="n"/>
      <c r="U655" s="63" t="n"/>
    </row>
    <row r="656" ht="99.5" customHeight="1" thickBot="1">
      <c r="A656" s="26" t="n"/>
      <c r="B656" s="35" t="n"/>
      <c r="C656" s="35" t="n"/>
      <c r="D656" s="35" t="n"/>
      <c r="G656" s="36" t="n"/>
      <c r="H656" s="35" t="n"/>
      <c r="K656" s="39" t="n"/>
      <c r="L656" s="38" t="n"/>
      <c r="M656" s="38" t="n"/>
      <c r="N656" s="38" t="n"/>
      <c r="O656" s="38" t="n"/>
      <c r="P656" s="38" t="n"/>
      <c r="Q656" s="38" t="n"/>
      <c r="U656" s="63" t="n"/>
    </row>
    <row r="657" ht="99.5" customHeight="1" thickBot="1">
      <c r="A657" s="26" t="n"/>
      <c r="B657" s="35" t="n"/>
      <c r="C657" s="35" t="n"/>
      <c r="D657" s="35" t="n"/>
      <c r="G657" s="36" t="n"/>
      <c r="H657" s="35" t="n"/>
      <c r="K657" s="39" t="n"/>
      <c r="L657" s="38" t="n"/>
      <c r="M657" s="38" t="n"/>
      <c r="N657" s="38" t="n"/>
      <c r="O657" s="38" t="n"/>
      <c r="P657" s="38" t="n"/>
      <c r="Q657" s="38" t="n"/>
      <c r="U657" s="63" t="n"/>
    </row>
    <row r="658" ht="99.5" customHeight="1" thickBot="1">
      <c r="A658" s="26" t="n"/>
      <c r="B658" s="35" t="n"/>
      <c r="C658" s="35" t="n"/>
      <c r="D658" s="35" t="n"/>
      <c r="G658" s="36" t="n"/>
      <c r="H658" s="35" t="n"/>
      <c r="K658" s="39" t="n"/>
      <c r="L658" s="38" t="n"/>
      <c r="M658" s="38" t="n"/>
      <c r="N658" s="38" t="n"/>
      <c r="O658" s="38" t="n"/>
      <c r="P658" s="38" t="n"/>
      <c r="Q658" s="38" t="n"/>
      <c r="U658" s="63" t="n"/>
    </row>
    <row r="659" ht="99.5" customHeight="1" thickBot="1">
      <c r="A659" s="26" t="n"/>
      <c r="B659" s="35" t="n"/>
      <c r="C659" s="35" t="n"/>
      <c r="D659" s="35" t="n"/>
      <c r="G659" s="36" t="n"/>
      <c r="H659" s="35" t="n"/>
      <c r="K659" s="39" t="n"/>
      <c r="L659" s="38" t="n"/>
      <c r="M659" s="38" t="n"/>
      <c r="N659" s="38" t="n"/>
      <c r="O659" s="38" t="n"/>
      <c r="P659" s="38" t="n"/>
      <c r="Q659" s="38" t="n"/>
      <c r="U659" s="63" t="n"/>
    </row>
    <row r="660" ht="99.5" customHeight="1" thickBot="1">
      <c r="A660" s="26" t="n"/>
      <c r="B660" s="35" t="n"/>
      <c r="C660" s="35" t="n"/>
      <c r="D660" s="35" t="n"/>
      <c r="G660" s="36" t="n"/>
      <c r="H660" s="35" t="n"/>
      <c r="K660" s="39" t="n"/>
      <c r="L660" s="38" t="n"/>
      <c r="M660" s="38" t="n"/>
      <c r="N660" s="38" t="n"/>
      <c r="O660" s="38" t="n"/>
      <c r="P660" s="38" t="n"/>
      <c r="Q660" s="38" t="n"/>
      <c r="U660" s="63" t="n"/>
    </row>
    <row r="661" ht="99.5" customHeight="1" thickBot="1">
      <c r="A661" s="26" t="n"/>
      <c r="B661" s="35" t="n"/>
      <c r="C661" s="35" t="n"/>
      <c r="D661" s="35" t="n"/>
      <c r="G661" s="36" t="n"/>
      <c r="H661" s="35" t="n"/>
      <c r="K661" s="39" t="n"/>
      <c r="L661" s="38" t="n"/>
      <c r="M661" s="38" t="n"/>
      <c r="N661" s="38" t="n"/>
      <c r="O661" s="38" t="n"/>
      <c r="P661" s="38" t="n"/>
      <c r="Q661" s="38" t="n"/>
      <c r="U661" s="63" t="n"/>
    </row>
    <row r="662" ht="99.5" customHeight="1" thickBot="1">
      <c r="A662" s="26" t="n"/>
      <c r="B662" s="35" t="n"/>
      <c r="C662" s="35" t="n"/>
      <c r="D662" s="35" t="n"/>
      <c r="G662" s="36" t="n"/>
      <c r="H662" s="35" t="n"/>
      <c r="K662" s="39" t="n"/>
      <c r="L662" s="38" t="n"/>
      <c r="M662" s="38" t="n"/>
      <c r="N662" s="38" t="n"/>
      <c r="O662" s="38" t="n"/>
      <c r="P662" s="38" t="n"/>
      <c r="Q662" s="38" t="n"/>
      <c r="U662" s="63" t="n"/>
    </row>
    <row r="663" ht="99.5" customHeight="1" thickBot="1">
      <c r="A663" s="26" t="n"/>
      <c r="B663" s="35" t="n"/>
      <c r="C663" s="35" t="n"/>
      <c r="D663" s="35" t="n"/>
      <c r="G663" s="36" t="n"/>
      <c r="H663" s="35" t="n"/>
      <c r="K663" s="39" t="n"/>
      <c r="L663" s="38" t="n"/>
      <c r="M663" s="38" t="n"/>
      <c r="N663" s="38" t="n"/>
      <c r="O663" s="38" t="n"/>
      <c r="P663" s="38" t="n"/>
      <c r="Q663" s="38" t="n"/>
      <c r="U663" s="63" t="n"/>
    </row>
    <row r="664" ht="99.5" customHeight="1" thickBot="1">
      <c r="A664" s="26" t="n"/>
      <c r="B664" s="35" t="n"/>
      <c r="C664" s="35" t="n"/>
      <c r="D664" s="35" t="n"/>
      <c r="G664" s="36" t="n"/>
      <c r="H664" s="35" t="n"/>
      <c r="K664" s="39" t="n"/>
      <c r="L664" s="38" t="n"/>
      <c r="M664" s="38" t="n"/>
      <c r="N664" s="38" t="n"/>
      <c r="O664" s="38" t="n"/>
      <c r="P664" s="38" t="n"/>
      <c r="Q664" s="38" t="n"/>
      <c r="U664" s="63" t="n"/>
    </row>
    <row r="665" ht="99.5" customHeight="1" thickBot="1">
      <c r="A665" s="26" t="n"/>
      <c r="B665" s="35" t="n"/>
      <c r="C665" s="35" t="n"/>
      <c r="D665" s="35" t="n"/>
      <c r="G665" s="36" t="n"/>
      <c r="H665" s="35" t="n"/>
      <c r="K665" s="39" t="n"/>
      <c r="L665" s="38" t="n"/>
      <c r="M665" s="38" t="n"/>
      <c r="N665" s="38" t="n"/>
      <c r="O665" s="38" t="n"/>
      <c r="P665" s="38" t="n"/>
      <c r="Q665" s="38" t="n"/>
      <c r="U665" s="63" t="n"/>
    </row>
    <row r="666" ht="99.5" customHeight="1" thickBot="1">
      <c r="A666" s="26" t="n"/>
      <c r="B666" s="35" t="n"/>
      <c r="C666" s="35" t="n"/>
      <c r="D666" s="35" t="n"/>
      <c r="G666" s="36" t="n"/>
      <c r="H666" s="35" t="n"/>
      <c r="K666" s="39" t="n"/>
      <c r="L666" s="38" t="n"/>
      <c r="M666" s="38" t="n"/>
      <c r="N666" s="38" t="n"/>
      <c r="O666" s="38" t="n"/>
      <c r="P666" s="38" t="n"/>
      <c r="Q666" s="38" t="n"/>
      <c r="U666" s="63" t="n"/>
    </row>
    <row r="667" ht="99.5" customHeight="1" thickBot="1">
      <c r="A667" s="26" t="n"/>
      <c r="B667" s="35" t="n"/>
      <c r="C667" s="35" t="n"/>
      <c r="D667" s="35" t="n"/>
      <c r="G667" s="36" t="n"/>
      <c r="H667" s="35" t="n"/>
      <c r="K667" s="39" t="n"/>
      <c r="L667" s="38" t="n"/>
      <c r="M667" s="38" t="n"/>
      <c r="N667" s="38" t="n"/>
      <c r="O667" s="38" t="n"/>
      <c r="P667" s="38" t="n"/>
      <c r="Q667" s="38" t="n"/>
      <c r="U667" s="63" t="n"/>
    </row>
    <row r="668" ht="99.5" customHeight="1" thickBot="1">
      <c r="A668" s="26" t="n"/>
      <c r="B668" s="35" t="n"/>
      <c r="C668" s="35" t="n"/>
      <c r="D668" s="35" t="n"/>
      <c r="G668" s="36" t="n"/>
      <c r="H668" s="35" t="n"/>
      <c r="K668" s="39" t="n"/>
      <c r="L668" s="38" t="n"/>
      <c r="M668" s="38" t="n"/>
      <c r="N668" s="38" t="n"/>
      <c r="O668" s="38" t="n"/>
      <c r="P668" s="38" t="n"/>
      <c r="Q668" s="38" t="n"/>
      <c r="U668" s="63" t="n"/>
    </row>
    <row r="669" ht="99.5" customHeight="1" thickBot="1">
      <c r="A669" s="26" t="n"/>
      <c r="B669" s="35" t="n"/>
      <c r="C669" s="35" t="n"/>
      <c r="D669" s="35" t="n"/>
      <c r="G669" s="36" t="n"/>
      <c r="H669" s="35" t="n"/>
      <c r="K669" s="39" t="n"/>
      <c r="L669" s="38" t="n"/>
      <c r="M669" s="38" t="n"/>
      <c r="N669" s="38" t="n"/>
      <c r="O669" s="38" t="n"/>
      <c r="P669" s="38" t="n"/>
      <c r="Q669" s="38" t="n"/>
      <c r="U669" s="63" t="n"/>
    </row>
    <row r="670" ht="99.5" customHeight="1" thickBot="1">
      <c r="A670" s="26" t="n"/>
      <c r="B670" s="35" t="n"/>
      <c r="C670" s="35" t="n"/>
      <c r="D670" s="35" t="n"/>
      <c r="G670" s="36" t="n"/>
      <c r="H670" s="35" t="n"/>
      <c r="K670" s="39" t="n"/>
      <c r="L670" s="38" t="n"/>
      <c r="M670" s="38" t="n"/>
      <c r="N670" s="38" t="n"/>
      <c r="O670" s="38" t="n"/>
      <c r="P670" s="38" t="n"/>
      <c r="Q670" s="38" t="n"/>
      <c r="U670" s="63" t="n"/>
    </row>
    <row r="671" ht="99.5" customHeight="1" thickBot="1">
      <c r="A671" s="26" t="n"/>
      <c r="B671" s="35" t="n"/>
      <c r="C671" s="35" t="n"/>
      <c r="D671" s="35" t="n"/>
      <c r="G671" s="36" t="n"/>
      <c r="H671" s="35" t="n"/>
      <c r="K671" s="39" t="n"/>
      <c r="L671" s="38" t="n"/>
      <c r="M671" s="38" t="n"/>
      <c r="N671" s="38" t="n"/>
      <c r="O671" s="38" t="n"/>
      <c r="P671" s="38" t="n"/>
      <c r="Q671" s="38" t="n"/>
      <c r="U671" s="63" t="n"/>
    </row>
    <row r="672" ht="99.5" customHeight="1" thickBot="1">
      <c r="A672" s="26" t="n"/>
      <c r="B672" s="35" t="n"/>
      <c r="C672" s="35" t="n"/>
      <c r="D672" s="35" t="n"/>
      <c r="G672" s="36" t="n"/>
      <c r="H672" s="35" t="n"/>
      <c r="K672" s="39" t="n"/>
      <c r="L672" s="38" t="n"/>
      <c r="M672" s="38" t="n"/>
      <c r="N672" s="38" t="n"/>
      <c r="O672" s="38" t="n"/>
      <c r="P672" s="38" t="n"/>
      <c r="Q672" s="38" t="n"/>
      <c r="U672" s="63" t="n"/>
    </row>
    <row r="673" ht="99.5" customHeight="1" thickBot="1">
      <c r="A673" s="26" t="n"/>
      <c r="B673" s="35" t="n"/>
      <c r="C673" s="35" t="n"/>
      <c r="D673" s="35" t="n"/>
      <c r="G673" s="36" t="n"/>
      <c r="H673" s="35" t="n"/>
      <c r="K673" s="39" t="n"/>
      <c r="L673" s="38" t="n"/>
      <c r="M673" s="38" t="n"/>
      <c r="N673" s="38" t="n"/>
      <c r="O673" s="38" t="n"/>
      <c r="P673" s="38" t="n"/>
      <c r="Q673" s="38" t="n"/>
      <c r="U673" s="63" t="n"/>
    </row>
    <row r="674" ht="99.5" customHeight="1" thickBot="1">
      <c r="A674" s="26" t="n"/>
      <c r="B674" s="35" t="n"/>
      <c r="C674" s="35" t="n"/>
      <c r="D674" s="35" t="n"/>
      <c r="G674" s="36" t="n"/>
      <c r="H674" s="35" t="n"/>
      <c r="K674" s="39" t="n"/>
      <c r="L674" s="38" t="n"/>
      <c r="M674" s="38" t="n"/>
      <c r="N674" s="38" t="n"/>
      <c r="O674" s="38" t="n"/>
      <c r="P674" s="38" t="n"/>
      <c r="Q674" s="38" t="n"/>
      <c r="U674" s="63" t="n"/>
    </row>
    <row r="675" ht="99.5" customHeight="1" thickBot="1">
      <c r="A675" s="26" t="n"/>
      <c r="B675" s="35" t="n"/>
      <c r="C675" s="35" t="n"/>
      <c r="D675" s="35" t="n"/>
      <c r="G675" s="36" t="n"/>
      <c r="H675" s="35" t="n"/>
      <c r="K675" s="39" t="n"/>
      <c r="L675" s="38" t="n"/>
      <c r="M675" s="38" t="n"/>
      <c r="N675" s="38" t="n"/>
      <c r="O675" s="38" t="n"/>
      <c r="P675" s="38" t="n"/>
      <c r="Q675" s="38" t="n"/>
      <c r="U675" s="63" t="n"/>
    </row>
    <row r="676" ht="99.5" customHeight="1" thickBot="1">
      <c r="A676" s="26" t="n"/>
      <c r="B676" s="35" t="n"/>
      <c r="C676" s="35" t="n"/>
      <c r="D676" s="35" t="n"/>
      <c r="G676" s="36" t="n"/>
      <c r="H676" s="35" t="n"/>
      <c r="K676" s="39" t="n"/>
      <c r="L676" s="38" t="n"/>
      <c r="M676" s="38" t="n"/>
      <c r="N676" s="38" t="n"/>
      <c r="O676" s="38" t="n"/>
      <c r="P676" s="38" t="n"/>
      <c r="Q676" s="38" t="n"/>
      <c r="U676" s="63" t="n"/>
    </row>
    <row r="677" ht="99.5" customHeight="1" thickBot="1">
      <c r="A677" s="26" t="n"/>
      <c r="B677" s="35" t="n"/>
      <c r="C677" s="35" t="n"/>
      <c r="D677" s="35" t="n"/>
      <c r="G677" s="36" t="n"/>
      <c r="H677" s="35" t="n"/>
      <c r="K677" s="39" t="n"/>
      <c r="L677" s="38" t="n"/>
      <c r="M677" s="38" t="n"/>
      <c r="N677" s="38" t="n"/>
      <c r="O677" s="38" t="n"/>
      <c r="P677" s="38" t="n"/>
      <c r="Q677" s="38" t="n"/>
      <c r="U677" s="63" t="n"/>
    </row>
    <row r="678" ht="99.5" customHeight="1" thickBot="1">
      <c r="A678" s="26" t="n"/>
      <c r="B678" s="35" t="n"/>
      <c r="C678" s="35" t="n"/>
      <c r="D678" s="35" t="n"/>
      <c r="G678" s="36" t="n"/>
      <c r="H678" s="35" t="n"/>
      <c r="K678" s="39" t="n"/>
      <c r="L678" s="38" t="n"/>
      <c r="M678" s="38" t="n"/>
      <c r="N678" s="38" t="n"/>
      <c r="O678" s="38" t="n"/>
      <c r="P678" s="38" t="n"/>
      <c r="Q678" s="38" t="n"/>
      <c r="U678" s="63" t="n"/>
    </row>
    <row r="679" ht="99.5" customHeight="1" thickBot="1">
      <c r="A679" s="26" t="n"/>
      <c r="B679" s="35" t="n"/>
      <c r="C679" s="35" t="n"/>
      <c r="D679" s="35" t="n"/>
      <c r="G679" s="36" t="n"/>
      <c r="H679" s="35" t="n"/>
      <c r="K679" s="39" t="n"/>
      <c r="L679" s="38" t="n"/>
      <c r="M679" s="38" t="n"/>
      <c r="N679" s="38" t="n"/>
      <c r="O679" s="38" t="n"/>
      <c r="P679" s="38" t="n"/>
      <c r="Q679" s="38" t="n"/>
      <c r="U679" s="63" t="n"/>
    </row>
    <row r="680" ht="99.5" customHeight="1" thickBot="1">
      <c r="A680" s="26" t="n"/>
      <c r="B680" s="35" t="n"/>
      <c r="C680" s="35" t="n"/>
      <c r="D680" s="35" t="n"/>
      <c r="G680" s="36" t="n"/>
      <c r="H680" s="35" t="n"/>
      <c r="K680" s="39" t="n"/>
      <c r="L680" s="38" t="n"/>
      <c r="M680" s="38" t="n"/>
      <c r="N680" s="38" t="n"/>
      <c r="O680" s="38" t="n"/>
      <c r="P680" s="38" t="n"/>
      <c r="Q680" s="38" t="n"/>
      <c r="U680" s="63" t="n"/>
    </row>
    <row r="681" ht="99.5" customHeight="1" thickBot="1">
      <c r="A681" s="26" t="n"/>
      <c r="B681" s="35" t="n"/>
      <c r="C681" s="35" t="n"/>
      <c r="D681" s="35" t="n"/>
      <c r="G681" s="36" t="n"/>
      <c r="H681" s="35" t="n"/>
      <c r="K681" s="39" t="n"/>
      <c r="L681" s="38" t="n"/>
      <c r="M681" s="38" t="n"/>
      <c r="N681" s="38" t="n"/>
      <c r="O681" s="38" t="n"/>
      <c r="P681" s="38" t="n"/>
      <c r="Q681" s="38" t="n"/>
      <c r="U681" s="63" t="n"/>
    </row>
    <row r="682" ht="99.5" customHeight="1" thickBot="1">
      <c r="A682" s="26" t="n"/>
      <c r="B682" s="35" t="n"/>
      <c r="C682" s="35" t="n"/>
      <c r="D682" s="35" t="n"/>
      <c r="G682" s="36" t="n"/>
      <c r="H682" s="35" t="n"/>
      <c r="K682" s="39" t="n"/>
      <c r="L682" s="38" t="n"/>
      <c r="M682" s="38" t="n"/>
      <c r="N682" s="38" t="n"/>
      <c r="O682" s="38" t="n"/>
      <c r="P682" s="38" t="n"/>
      <c r="Q682" s="38" t="n"/>
      <c r="U682" s="63" t="n"/>
    </row>
    <row r="683" ht="99.5" customHeight="1" thickBot="1">
      <c r="A683" s="26" t="n"/>
      <c r="B683" s="35" t="n"/>
      <c r="C683" s="35" t="n"/>
      <c r="D683" s="35" t="n"/>
      <c r="G683" s="36" t="n"/>
      <c r="H683" s="35" t="n"/>
      <c r="K683" s="39" t="n"/>
      <c r="L683" s="38" t="n"/>
      <c r="M683" s="38" t="n"/>
      <c r="N683" s="38" t="n"/>
      <c r="O683" s="38" t="n"/>
      <c r="P683" s="38" t="n"/>
      <c r="Q683" s="38" t="n"/>
      <c r="U683" s="63" t="n"/>
    </row>
    <row r="684" ht="99.5" customHeight="1" thickBot="1">
      <c r="A684" s="26" t="n"/>
      <c r="B684" s="35" t="n"/>
      <c r="C684" s="35" t="n"/>
      <c r="D684" s="35" t="n"/>
      <c r="G684" s="36" t="n"/>
      <c r="H684" s="35" t="n"/>
      <c r="K684" s="39" t="n"/>
      <c r="L684" s="38" t="n"/>
      <c r="M684" s="38" t="n"/>
      <c r="N684" s="38" t="n"/>
      <c r="O684" s="38" t="n"/>
      <c r="P684" s="38" t="n"/>
      <c r="Q684" s="38" t="n"/>
      <c r="U684" s="63" t="n"/>
    </row>
    <row r="685" ht="99.5" customHeight="1" thickBot="1">
      <c r="A685" s="26" t="n"/>
      <c r="B685" s="35" t="n"/>
      <c r="C685" s="35" t="n"/>
      <c r="D685" s="35" t="n"/>
      <c r="G685" s="36" t="n"/>
      <c r="H685" s="35" t="n"/>
      <c r="K685" s="39" t="n"/>
      <c r="L685" s="38" t="n"/>
      <c r="M685" s="38" t="n"/>
      <c r="N685" s="38" t="n"/>
      <c r="O685" s="38" t="n"/>
      <c r="P685" s="38" t="n"/>
      <c r="Q685" s="38" t="n"/>
      <c r="U685" s="63" t="n"/>
    </row>
    <row r="686" ht="99.5" customHeight="1" thickBot="1">
      <c r="A686" s="26" t="n"/>
      <c r="B686" s="35" t="n"/>
      <c r="C686" s="35" t="n"/>
      <c r="D686" s="35" t="n"/>
      <c r="G686" s="36" t="n"/>
      <c r="H686" s="35" t="n"/>
      <c r="K686" s="39" t="n"/>
      <c r="L686" s="38" t="n"/>
      <c r="M686" s="38" t="n"/>
      <c r="N686" s="38" t="n"/>
      <c r="O686" s="38" t="n"/>
      <c r="P686" s="38" t="n"/>
      <c r="Q686" s="38" t="n"/>
      <c r="U686" s="63" t="n"/>
    </row>
    <row r="687" ht="99.5" customHeight="1" thickBot="1">
      <c r="A687" s="26" t="n"/>
      <c r="B687" s="35" t="n"/>
      <c r="C687" s="35" t="n"/>
      <c r="D687" s="35" t="n"/>
      <c r="G687" s="36" t="n"/>
      <c r="H687" s="35" t="n"/>
      <c r="K687" s="39" t="n"/>
      <c r="L687" s="38" t="n"/>
      <c r="M687" s="38" t="n"/>
      <c r="N687" s="38" t="n"/>
      <c r="O687" s="38" t="n"/>
      <c r="P687" s="38" t="n"/>
      <c r="Q687" s="38" t="n"/>
      <c r="U687" s="63" t="n"/>
    </row>
    <row r="688" ht="99.5" customHeight="1" thickBot="1">
      <c r="A688" s="26" t="n"/>
      <c r="B688" s="35" t="n"/>
      <c r="C688" s="35" t="n"/>
      <c r="D688" s="35" t="n"/>
      <c r="G688" s="36" t="n"/>
      <c r="H688" s="35" t="n"/>
      <c r="K688" s="39" t="n"/>
      <c r="L688" s="38" t="n"/>
      <c r="M688" s="38" t="n"/>
      <c r="N688" s="38" t="n"/>
      <c r="O688" s="38" t="n"/>
      <c r="P688" s="38" t="n"/>
      <c r="Q688" s="38" t="n"/>
      <c r="U688" s="63" t="n"/>
    </row>
    <row r="689" ht="99.5" customHeight="1" thickBot="1">
      <c r="A689" s="26" t="n"/>
      <c r="B689" s="35" t="n"/>
      <c r="C689" s="35" t="n"/>
      <c r="D689" s="35" t="n"/>
      <c r="G689" s="36" t="n"/>
      <c r="H689" s="35" t="n"/>
      <c r="K689" s="39" t="n"/>
      <c r="L689" s="38" t="n"/>
      <c r="M689" s="38" t="n"/>
      <c r="N689" s="38" t="n"/>
      <c r="O689" s="38" t="n"/>
      <c r="P689" s="38" t="n"/>
      <c r="Q689" s="38" t="n"/>
      <c r="U689" s="63" t="n"/>
    </row>
    <row r="690" ht="99.5" customHeight="1" thickBot="1">
      <c r="A690" s="26" t="n"/>
      <c r="B690" s="35" t="n"/>
      <c r="C690" s="35" t="n"/>
      <c r="D690" s="35" t="n"/>
      <c r="G690" s="36" t="n"/>
      <c r="H690" s="35" t="n"/>
      <c r="K690" s="39" t="n"/>
      <c r="L690" s="38" t="n"/>
      <c r="M690" s="38" t="n"/>
      <c r="N690" s="38" t="n"/>
      <c r="O690" s="38" t="n"/>
      <c r="P690" s="38" t="n"/>
      <c r="Q690" s="38" t="n"/>
      <c r="U690" s="63" t="n"/>
    </row>
    <row r="691" ht="99.5" customHeight="1" thickBot="1">
      <c r="A691" s="26" t="n"/>
      <c r="B691" s="35" t="n"/>
      <c r="C691" s="35" t="n"/>
      <c r="D691" s="35" t="n"/>
      <c r="G691" s="36" t="n"/>
      <c r="H691" s="35" t="n"/>
      <c r="K691" s="39" t="n"/>
      <c r="L691" s="38" t="n"/>
      <c r="M691" s="38" t="n"/>
      <c r="N691" s="38" t="n"/>
      <c r="O691" s="38" t="n"/>
      <c r="P691" s="38" t="n"/>
      <c r="Q691" s="38" t="n"/>
      <c r="U691" s="63" t="n"/>
    </row>
    <row r="692" ht="99.5" customHeight="1" thickBot="1">
      <c r="A692" s="26" t="n"/>
      <c r="B692" s="35" t="n"/>
      <c r="C692" s="35" t="n"/>
      <c r="D692" s="35" t="n"/>
      <c r="G692" s="36" t="n"/>
      <c r="H692" s="35" t="n"/>
      <c r="K692" s="39" t="n"/>
      <c r="L692" s="38" t="n"/>
      <c r="M692" s="38" t="n"/>
      <c r="N692" s="38" t="n"/>
      <c r="O692" s="38" t="n"/>
      <c r="P692" s="38" t="n"/>
      <c r="Q692" s="38" t="n"/>
      <c r="U692" s="63" t="n"/>
    </row>
    <row r="693" ht="99.5" customHeight="1" thickBot="1">
      <c r="A693" s="26" t="n"/>
      <c r="B693" s="35" t="n"/>
      <c r="C693" s="35" t="n"/>
      <c r="D693" s="35" t="n"/>
      <c r="G693" s="36" t="n"/>
      <c r="H693" s="35" t="n"/>
      <c r="K693" s="39" t="n"/>
      <c r="L693" s="38" t="n"/>
      <c r="M693" s="38" t="n"/>
      <c r="N693" s="38" t="n"/>
      <c r="O693" s="38" t="n"/>
      <c r="P693" s="38" t="n"/>
      <c r="Q693" s="38" t="n"/>
      <c r="U693" s="63" t="n"/>
    </row>
    <row r="694" ht="99.5" customHeight="1" thickBot="1">
      <c r="A694" s="26" t="n"/>
      <c r="B694" s="35" t="n"/>
      <c r="C694" s="35" t="n"/>
      <c r="D694" s="35" t="n"/>
      <c r="G694" s="36" t="n"/>
      <c r="H694" s="35" t="n"/>
      <c r="K694" s="39" t="n"/>
      <c r="L694" s="38" t="n"/>
      <c r="M694" s="38" t="n"/>
      <c r="N694" s="38" t="n"/>
      <c r="O694" s="38" t="n"/>
      <c r="P694" s="38" t="n"/>
      <c r="Q694" s="38" t="n"/>
      <c r="U694" s="63" t="n"/>
    </row>
    <row r="695" ht="99.5" customHeight="1" thickBot="1">
      <c r="A695" s="26" t="n"/>
      <c r="B695" s="35" t="n"/>
      <c r="C695" s="35" t="n"/>
      <c r="D695" s="35" t="n"/>
      <c r="G695" s="36" t="n"/>
      <c r="H695" s="35" t="n"/>
      <c r="K695" s="39" t="n"/>
      <c r="L695" s="38" t="n"/>
      <c r="M695" s="38" t="n"/>
      <c r="N695" s="38" t="n"/>
      <c r="O695" s="38" t="n"/>
      <c r="P695" s="38" t="n"/>
      <c r="Q695" s="38" t="n"/>
      <c r="U695" s="63" t="n"/>
    </row>
    <row r="696" ht="99.5" customHeight="1" thickBot="1">
      <c r="A696" s="26" t="n"/>
      <c r="B696" s="35" t="n"/>
      <c r="C696" s="35" t="n"/>
      <c r="D696" s="35" t="n"/>
      <c r="G696" s="36" t="n"/>
      <c r="H696" s="35" t="n"/>
      <c r="K696" s="39" t="n"/>
      <c r="L696" s="38" t="n"/>
      <c r="M696" s="38" t="n"/>
      <c r="N696" s="38" t="n"/>
      <c r="O696" s="38" t="n"/>
      <c r="P696" s="38" t="n"/>
      <c r="Q696" s="38" t="n"/>
      <c r="U696" s="63" t="n"/>
    </row>
    <row r="697" ht="99.5" customHeight="1" thickBot="1">
      <c r="A697" s="26" t="n"/>
      <c r="B697" s="35" t="n"/>
      <c r="C697" s="35" t="n"/>
      <c r="D697" s="35" t="n"/>
      <c r="G697" s="36" t="n"/>
      <c r="H697" s="35" t="n"/>
      <c r="K697" s="39" t="n"/>
      <c r="L697" s="38" t="n"/>
      <c r="M697" s="38" t="n"/>
      <c r="N697" s="38" t="n"/>
      <c r="O697" s="38" t="n"/>
      <c r="P697" s="38" t="n"/>
      <c r="Q697" s="38" t="n"/>
      <c r="U697" s="63" t="n"/>
    </row>
    <row r="698" ht="99.5" customHeight="1" thickBot="1">
      <c r="A698" s="26" t="n"/>
      <c r="B698" s="35" t="n"/>
      <c r="C698" s="35" t="n"/>
      <c r="D698" s="35" t="n"/>
      <c r="G698" s="36" t="n"/>
      <c r="H698" s="35" t="n"/>
      <c r="K698" s="39" t="n"/>
      <c r="L698" s="38" t="n"/>
      <c r="M698" s="38" t="n"/>
      <c r="N698" s="38" t="n"/>
      <c r="O698" s="38" t="n"/>
      <c r="P698" s="38" t="n"/>
      <c r="Q698" s="38" t="n"/>
      <c r="U698" s="63" t="n"/>
    </row>
    <row r="699" ht="99.5" customHeight="1" thickBot="1">
      <c r="A699" s="26" t="n"/>
      <c r="B699" s="35" t="n"/>
      <c r="C699" s="35" t="n"/>
      <c r="D699" s="35" t="n"/>
      <c r="G699" s="36" t="n"/>
      <c r="H699" s="35" t="n"/>
      <c r="K699" s="39" t="n"/>
      <c r="L699" s="38" t="n"/>
      <c r="M699" s="38" t="n"/>
      <c r="N699" s="38" t="n"/>
      <c r="O699" s="38" t="n"/>
      <c r="P699" s="38" t="n"/>
      <c r="Q699" s="38" t="n"/>
      <c r="U699" s="63" t="n"/>
    </row>
    <row r="700" ht="99.5" customHeight="1" thickBot="1">
      <c r="A700" s="26" t="n"/>
      <c r="B700" s="35" t="n"/>
      <c r="C700" s="35" t="n"/>
      <c r="D700" s="35" t="n"/>
      <c r="G700" s="36" t="n"/>
      <c r="H700" s="35" t="n"/>
      <c r="K700" s="39" t="n"/>
      <c r="L700" s="38" t="n"/>
      <c r="M700" s="38" t="n"/>
      <c r="N700" s="38" t="n"/>
      <c r="O700" s="38" t="n"/>
      <c r="P700" s="38" t="n"/>
      <c r="Q700" s="38" t="n"/>
      <c r="U700" s="63" t="n"/>
    </row>
    <row r="701" ht="99.5" customHeight="1" thickBot="1">
      <c r="A701" s="26" t="n"/>
      <c r="B701" s="35" t="n"/>
      <c r="C701" s="35" t="n"/>
      <c r="D701" s="35" t="n"/>
      <c r="G701" s="36" t="n"/>
      <c r="H701" s="35" t="n"/>
      <c r="K701" s="39" t="n"/>
      <c r="L701" s="38" t="n"/>
      <c r="M701" s="38" t="n"/>
      <c r="N701" s="38" t="n"/>
      <c r="O701" s="38" t="n"/>
      <c r="P701" s="38" t="n"/>
      <c r="Q701" s="38" t="n"/>
      <c r="U701" s="63" t="n"/>
    </row>
    <row r="702" ht="99.5" customHeight="1" thickBot="1">
      <c r="A702" s="26" t="n"/>
      <c r="B702" s="35" t="n"/>
      <c r="C702" s="35" t="n"/>
      <c r="D702" s="35" t="n"/>
      <c r="G702" s="36" t="n"/>
      <c r="H702" s="35" t="n"/>
      <c r="K702" s="39" t="n"/>
      <c r="L702" s="38" t="n"/>
      <c r="M702" s="38" t="n"/>
      <c r="N702" s="38" t="n"/>
      <c r="O702" s="38" t="n"/>
      <c r="P702" s="38" t="n"/>
      <c r="Q702" s="38" t="n"/>
      <c r="U702" s="63" t="n"/>
    </row>
    <row r="703" ht="99.5" customHeight="1" thickBot="1">
      <c r="A703" s="26" t="n"/>
      <c r="B703" s="35" t="n"/>
      <c r="C703" s="35" t="n"/>
      <c r="D703" s="35" t="n"/>
      <c r="G703" s="36" t="n"/>
      <c r="H703" s="35" t="n"/>
      <c r="K703" s="39" t="n"/>
      <c r="L703" s="38" t="n"/>
      <c r="M703" s="38" t="n"/>
      <c r="N703" s="38" t="n"/>
      <c r="O703" s="38" t="n"/>
      <c r="P703" s="38" t="n"/>
      <c r="Q703" s="38" t="n"/>
      <c r="U703" s="63" t="n"/>
    </row>
    <row r="704" ht="99.5" customHeight="1" thickBot="1">
      <c r="A704" s="26" t="n"/>
      <c r="B704" s="35" t="n"/>
      <c r="C704" s="35" t="n"/>
      <c r="D704" s="35" t="n"/>
      <c r="G704" s="36" t="n"/>
      <c r="H704" s="35" t="n"/>
      <c r="K704" s="39" t="n"/>
      <c r="L704" s="38" t="n"/>
      <c r="M704" s="38" t="n"/>
      <c r="N704" s="38" t="n"/>
      <c r="O704" s="38" t="n"/>
      <c r="P704" s="38" t="n"/>
      <c r="Q704" s="38" t="n"/>
      <c r="U704" s="63" t="n"/>
    </row>
    <row r="705" ht="99.5" customHeight="1" thickBot="1">
      <c r="A705" s="26" t="n"/>
      <c r="B705" s="35" t="n"/>
      <c r="C705" s="35" t="n"/>
      <c r="D705" s="35" t="n"/>
      <c r="G705" s="36" t="n"/>
      <c r="H705" s="35" t="n"/>
      <c r="K705" s="39" t="n"/>
      <c r="L705" s="38" t="n"/>
      <c r="M705" s="38" t="n"/>
      <c r="N705" s="38" t="n"/>
      <c r="O705" s="38" t="n"/>
      <c r="P705" s="38" t="n"/>
      <c r="Q705" s="38" t="n"/>
      <c r="U705" s="63" t="n"/>
    </row>
    <row r="706" ht="99.5" customHeight="1" thickBot="1">
      <c r="A706" s="26" t="n"/>
      <c r="B706" s="35" t="n"/>
      <c r="C706" s="35" t="n"/>
      <c r="D706" s="35" t="n"/>
      <c r="G706" s="36" t="n"/>
      <c r="H706" s="35" t="n"/>
      <c r="K706" s="39" t="n"/>
      <c r="L706" s="38" t="n"/>
      <c r="M706" s="38" t="n"/>
      <c r="N706" s="38" t="n"/>
      <c r="O706" s="38" t="n"/>
      <c r="P706" s="38" t="n"/>
      <c r="Q706" s="38" t="n"/>
      <c r="U706" s="63" t="n"/>
    </row>
    <row r="707" ht="99.5" customHeight="1" thickBot="1">
      <c r="A707" s="26" t="n"/>
      <c r="B707" s="35" t="n"/>
      <c r="C707" s="35" t="n"/>
      <c r="D707" s="35" t="n"/>
      <c r="G707" s="36" t="n"/>
      <c r="H707" s="35" t="n"/>
      <c r="K707" s="39" t="n"/>
      <c r="L707" s="38" t="n"/>
      <c r="M707" s="38" t="n"/>
      <c r="N707" s="38" t="n"/>
      <c r="O707" s="38" t="n"/>
      <c r="P707" s="38" t="n"/>
      <c r="Q707" s="38" t="n"/>
      <c r="U707" s="63" t="n"/>
    </row>
    <row r="708" ht="99.5" customHeight="1" thickBot="1">
      <c r="A708" s="26" t="n"/>
      <c r="B708" s="35" t="n"/>
      <c r="C708" s="35" t="n"/>
      <c r="D708" s="35" t="n"/>
      <c r="G708" s="36" t="n"/>
      <c r="H708" s="35" t="n"/>
      <c r="K708" s="39" t="n"/>
      <c r="L708" s="38" t="n"/>
      <c r="M708" s="38" t="n"/>
      <c r="N708" s="38" t="n"/>
      <c r="O708" s="38" t="n"/>
      <c r="P708" s="38" t="n"/>
      <c r="Q708" s="38" t="n"/>
      <c r="U708" s="63" t="n"/>
    </row>
    <row r="709" ht="99.5" customHeight="1" thickBot="1">
      <c r="A709" s="26" t="n"/>
      <c r="B709" s="35" t="n"/>
      <c r="C709" s="35" t="n"/>
      <c r="D709" s="35" t="n"/>
      <c r="G709" s="36" t="n"/>
      <c r="H709" s="35" t="n"/>
      <c r="K709" s="39" t="n"/>
      <c r="L709" s="38" t="n"/>
      <c r="M709" s="38" t="n"/>
      <c r="N709" s="38" t="n"/>
      <c r="O709" s="38" t="n"/>
      <c r="P709" s="38" t="n"/>
      <c r="Q709" s="38" t="n"/>
      <c r="U709" s="63" t="n"/>
    </row>
    <row r="710" ht="99.5" customHeight="1" thickBot="1">
      <c r="A710" s="26" t="n"/>
      <c r="B710" s="35" t="n"/>
      <c r="C710" s="35" t="n"/>
      <c r="D710" s="35" t="n"/>
      <c r="G710" s="36" t="n"/>
      <c r="H710" s="35" t="n"/>
      <c r="K710" s="39" t="n"/>
      <c r="L710" s="38" t="n"/>
      <c r="M710" s="38" t="n"/>
      <c r="N710" s="38" t="n"/>
      <c r="O710" s="38" t="n"/>
      <c r="P710" s="38" t="n"/>
      <c r="Q710" s="38" t="n"/>
      <c r="U710" s="63" t="n"/>
    </row>
    <row r="711" ht="99.5" customHeight="1" thickBot="1">
      <c r="A711" s="26" t="n"/>
      <c r="B711" s="35" t="n"/>
      <c r="C711" s="35" t="n"/>
      <c r="D711" s="35" t="n"/>
      <c r="G711" s="36" t="n"/>
      <c r="H711" s="35" t="n"/>
      <c r="K711" s="39" t="n"/>
      <c r="L711" s="38" t="n"/>
      <c r="M711" s="38" t="n"/>
      <c r="N711" s="38" t="n"/>
      <c r="O711" s="38" t="n"/>
      <c r="P711" s="38" t="n"/>
      <c r="Q711" s="38" t="n"/>
      <c r="U711" s="63" t="n"/>
    </row>
    <row r="712" ht="99.5" customHeight="1" thickBot="1">
      <c r="A712" s="26" t="n"/>
      <c r="B712" s="35" t="n"/>
      <c r="C712" s="35" t="n"/>
      <c r="D712" s="35" t="n"/>
      <c r="G712" s="36" t="n"/>
      <c r="H712" s="35" t="n"/>
      <c r="K712" s="39" t="n"/>
      <c r="L712" s="38" t="n"/>
      <c r="M712" s="38" t="n"/>
      <c r="N712" s="38" t="n"/>
      <c r="O712" s="38" t="n"/>
      <c r="P712" s="38" t="n"/>
      <c r="Q712" s="38" t="n"/>
      <c r="U712" s="63" t="n"/>
    </row>
    <row r="713" ht="99.5" customHeight="1" thickBot="1">
      <c r="A713" s="26" t="n"/>
      <c r="B713" s="35" t="n"/>
      <c r="C713" s="35" t="n"/>
      <c r="D713" s="35" t="n"/>
      <c r="G713" s="36" t="n"/>
      <c r="H713" s="35" t="n"/>
      <c r="K713" s="39" t="n"/>
      <c r="L713" s="38" t="n"/>
      <c r="M713" s="38" t="n"/>
      <c r="N713" s="38" t="n"/>
      <c r="O713" s="38" t="n"/>
      <c r="P713" s="38" t="n"/>
      <c r="Q713" s="38" t="n"/>
      <c r="U713" s="63" t="n"/>
    </row>
    <row r="714" ht="99.5" customHeight="1" thickBot="1">
      <c r="A714" s="26" t="n"/>
      <c r="B714" s="35" t="n"/>
      <c r="C714" s="35" t="n"/>
      <c r="D714" s="35" t="n"/>
      <c r="G714" s="36" t="n"/>
      <c r="H714" s="35" t="n"/>
      <c r="K714" s="39" t="n"/>
      <c r="L714" s="38" t="n"/>
      <c r="M714" s="38" t="n"/>
      <c r="N714" s="38" t="n"/>
      <c r="O714" s="38" t="n"/>
      <c r="P714" s="38" t="n"/>
      <c r="Q714" s="38" t="n"/>
      <c r="U714" s="63" t="n"/>
    </row>
    <row r="715" ht="99.5" customHeight="1" thickBot="1">
      <c r="A715" s="26" t="n"/>
      <c r="B715" s="35" t="n"/>
      <c r="C715" s="35" t="n"/>
      <c r="D715" s="35" t="n"/>
      <c r="G715" s="36" t="n"/>
      <c r="H715" s="35" t="n"/>
      <c r="K715" s="39" t="n"/>
      <c r="L715" s="38" t="n"/>
      <c r="M715" s="38" t="n"/>
      <c r="N715" s="38" t="n"/>
      <c r="O715" s="38" t="n"/>
      <c r="P715" s="38" t="n"/>
      <c r="Q715" s="38" t="n"/>
      <c r="U715" s="63" t="n"/>
    </row>
    <row r="716" ht="99.5" customHeight="1" thickBot="1">
      <c r="A716" s="26" t="n"/>
      <c r="B716" s="35" t="n"/>
      <c r="C716" s="35" t="n"/>
      <c r="D716" s="35" t="n"/>
      <c r="G716" s="36" t="n"/>
      <c r="H716" s="35" t="n"/>
      <c r="K716" s="39" t="n"/>
      <c r="L716" s="38" t="n"/>
      <c r="M716" s="38" t="n"/>
      <c r="N716" s="38" t="n"/>
      <c r="O716" s="38" t="n"/>
      <c r="P716" s="38" t="n"/>
      <c r="Q716" s="38" t="n"/>
      <c r="U716" s="63" t="n"/>
    </row>
    <row r="717" ht="99.5" customHeight="1" thickBot="1">
      <c r="A717" s="26" t="n"/>
      <c r="B717" s="35" t="n"/>
      <c r="C717" s="35" t="n"/>
      <c r="D717" s="35" t="n"/>
      <c r="G717" s="36" t="n"/>
      <c r="H717" s="35" t="n"/>
      <c r="K717" s="39" t="n"/>
      <c r="L717" s="38" t="n"/>
      <c r="M717" s="38" t="n"/>
      <c r="N717" s="38" t="n"/>
      <c r="O717" s="38" t="n"/>
      <c r="P717" s="38" t="n"/>
      <c r="Q717" s="38" t="n"/>
      <c r="U717" s="63" t="n"/>
    </row>
    <row r="718" ht="99.5" customHeight="1" thickBot="1">
      <c r="A718" s="26" t="n"/>
      <c r="B718" s="35" t="n"/>
      <c r="C718" s="35" t="n"/>
      <c r="D718" s="35" t="n"/>
      <c r="G718" s="36" t="n"/>
      <c r="H718" s="35" t="n"/>
      <c r="K718" s="39" t="n"/>
      <c r="L718" s="38" t="n"/>
      <c r="M718" s="38" t="n"/>
      <c r="N718" s="38" t="n"/>
      <c r="O718" s="38" t="n"/>
      <c r="P718" s="38" t="n"/>
      <c r="Q718" s="38" t="n"/>
      <c r="U718" s="63" t="n"/>
    </row>
    <row r="719" ht="99.5" customHeight="1" thickBot="1">
      <c r="A719" s="26" t="n"/>
      <c r="B719" s="35" t="n"/>
      <c r="C719" s="35" t="n"/>
      <c r="D719" s="35" t="n"/>
      <c r="G719" s="36" t="n"/>
      <c r="H719" s="35" t="n"/>
      <c r="K719" s="39" t="n"/>
      <c r="L719" s="38" t="n"/>
      <c r="M719" s="38" t="n"/>
      <c r="N719" s="38" t="n"/>
      <c r="O719" s="38" t="n"/>
      <c r="P719" s="38" t="n"/>
      <c r="Q719" s="38" t="n"/>
      <c r="U719" s="63" t="n"/>
    </row>
    <row r="720" ht="99.5" customHeight="1" thickBot="1">
      <c r="A720" s="26" t="n"/>
      <c r="B720" s="35" t="n"/>
      <c r="C720" s="35" t="n"/>
      <c r="D720" s="35" t="n"/>
      <c r="G720" s="36" t="n"/>
      <c r="H720" s="35" t="n"/>
      <c r="K720" s="39" t="n"/>
      <c r="L720" s="38" t="n"/>
      <c r="M720" s="38" t="n"/>
      <c r="N720" s="38" t="n"/>
      <c r="O720" s="38" t="n"/>
      <c r="P720" s="38" t="n"/>
      <c r="Q720" s="38" t="n"/>
      <c r="U720" s="63" t="n"/>
    </row>
    <row r="721" ht="99.5" customHeight="1" thickBot="1">
      <c r="A721" s="26" t="n"/>
      <c r="B721" s="35" t="n"/>
      <c r="C721" s="35" t="n"/>
      <c r="D721" s="35" t="n"/>
      <c r="G721" s="36" t="n"/>
      <c r="H721" s="35" t="n"/>
      <c r="K721" s="39" t="n"/>
      <c r="L721" s="38" t="n"/>
      <c r="M721" s="38" t="n"/>
      <c r="N721" s="38" t="n"/>
      <c r="O721" s="38" t="n"/>
      <c r="P721" s="38" t="n"/>
      <c r="Q721" s="38" t="n"/>
      <c r="U721" s="63" t="n"/>
    </row>
    <row r="722" ht="99.5" customHeight="1" thickBot="1">
      <c r="A722" s="26" t="n"/>
      <c r="B722" s="35" t="n"/>
      <c r="C722" s="35" t="n"/>
      <c r="D722" s="35" t="n"/>
      <c r="G722" s="36" t="n"/>
      <c r="H722" s="35" t="n"/>
      <c r="K722" s="39" t="n"/>
      <c r="L722" s="38" t="n"/>
      <c r="M722" s="38" t="n"/>
      <c r="N722" s="38" t="n"/>
      <c r="O722" s="38" t="n"/>
      <c r="P722" s="38" t="n"/>
      <c r="Q722" s="38" t="n"/>
      <c r="U722" s="63" t="n"/>
    </row>
    <row r="723" ht="99.5" customHeight="1" thickBot="1">
      <c r="A723" s="26" t="n"/>
      <c r="B723" s="35" t="n"/>
      <c r="C723" s="35" t="n"/>
      <c r="D723" s="35" t="n"/>
      <c r="G723" s="36" t="n"/>
      <c r="H723" s="35" t="n"/>
      <c r="K723" s="39" t="n"/>
      <c r="L723" s="38" t="n"/>
      <c r="M723" s="38" t="n"/>
      <c r="N723" s="38" t="n"/>
      <c r="O723" s="38" t="n"/>
      <c r="P723" s="38" t="n"/>
      <c r="Q723" s="38" t="n"/>
      <c r="U723" s="63" t="n"/>
    </row>
    <row r="724" ht="99.5" customHeight="1" thickBot="1">
      <c r="A724" s="26" t="n"/>
      <c r="B724" s="35" t="n"/>
      <c r="C724" s="35" t="n"/>
      <c r="D724" s="35" t="n"/>
      <c r="G724" s="36" t="n"/>
      <c r="H724" s="35" t="n"/>
      <c r="K724" s="39" t="n"/>
      <c r="L724" s="38" t="n"/>
      <c r="M724" s="38" t="n"/>
      <c r="N724" s="38" t="n"/>
      <c r="O724" s="38" t="n"/>
      <c r="P724" s="38" t="n"/>
      <c r="Q724" s="38" t="n"/>
      <c r="U724" s="63" t="n"/>
    </row>
    <row r="725" ht="99.5" customHeight="1" thickBot="1">
      <c r="A725" s="26" t="n"/>
      <c r="B725" s="35" t="n"/>
      <c r="C725" s="35" t="n"/>
      <c r="D725" s="35" t="n"/>
      <c r="G725" s="36" t="n"/>
      <c r="H725" s="35" t="n"/>
      <c r="K725" s="39" t="n"/>
      <c r="L725" s="38" t="n"/>
      <c r="M725" s="38" t="n"/>
      <c r="N725" s="38" t="n"/>
      <c r="O725" s="38" t="n"/>
      <c r="P725" s="38" t="n"/>
      <c r="Q725" s="38" t="n"/>
      <c r="U725" s="63" t="n"/>
    </row>
    <row r="726" ht="99.5" customHeight="1" thickBot="1">
      <c r="A726" s="26" t="n"/>
      <c r="B726" s="35" t="n"/>
      <c r="C726" s="35" t="n"/>
      <c r="D726" s="35" t="n"/>
      <c r="G726" s="36" t="n"/>
      <c r="H726" s="35" t="n"/>
      <c r="K726" s="39" t="n"/>
      <c r="L726" s="38" t="n"/>
      <c r="M726" s="38" t="n"/>
      <c r="N726" s="38" t="n"/>
      <c r="O726" s="38" t="n"/>
      <c r="P726" s="38" t="n"/>
      <c r="Q726" s="38" t="n"/>
      <c r="U726" s="63" t="n"/>
    </row>
    <row r="727" ht="99.5" customHeight="1" thickBot="1">
      <c r="A727" s="26" t="n"/>
      <c r="B727" s="35" t="n"/>
      <c r="C727" s="35" t="n"/>
      <c r="D727" s="35" t="n"/>
      <c r="G727" s="36" t="n"/>
      <c r="H727" s="35" t="n"/>
      <c r="K727" s="39" t="n"/>
      <c r="L727" s="38" t="n"/>
      <c r="M727" s="38" t="n"/>
      <c r="N727" s="38" t="n"/>
      <c r="O727" s="38" t="n"/>
      <c r="P727" s="38" t="n"/>
      <c r="Q727" s="38" t="n"/>
      <c r="U727" s="63" t="n"/>
    </row>
    <row r="728" ht="99.5" customHeight="1" thickBot="1">
      <c r="A728" s="26" t="n"/>
      <c r="B728" s="35" t="n"/>
      <c r="C728" s="35" t="n"/>
      <c r="D728" s="35" t="n"/>
      <c r="G728" s="36" t="n"/>
      <c r="H728" s="35" t="n"/>
      <c r="K728" s="39" t="n"/>
      <c r="L728" s="38" t="n"/>
      <c r="M728" s="38" t="n"/>
      <c r="N728" s="38" t="n"/>
      <c r="O728" s="38" t="n"/>
      <c r="P728" s="38" t="n"/>
      <c r="Q728" s="38" t="n"/>
      <c r="U728" s="63" t="n"/>
    </row>
    <row r="729" ht="99.5" customHeight="1" thickBot="1">
      <c r="A729" s="26" t="n"/>
      <c r="B729" s="35" t="n"/>
      <c r="C729" s="35" t="n"/>
      <c r="D729" s="35" t="n"/>
      <c r="G729" s="36" t="n"/>
      <c r="H729" s="35" t="n"/>
      <c r="K729" s="39" t="n"/>
      <c r="L729" s="38" t="n"/>
      <c r="M729" s="38" t="n"/>
      <c r="N729" s="38" t="n"/>
      <c r="O729" s="38" t="n"/>
      <c r="P729" s="38" t="n"/>
      <c r="Q729" s="38" t="n"/>
      <c r="U729" s="63" t="n"/>
    </row>
    <row r="730" ht="99.5" customHeight="1" thickBot="1">
      <c r="A730" s="26" t="n"/>
      <c r="B730" s="35" t="n"/>
      <c r="C730" s="35" t="n"/>
      <c r="D730" s="35" t="n"/>
      <c r="G730" s="36" t="n"/>
      <c r="H730" s="35" t="n"/>
      <c r="K730" s="39" t="n"/>
      <c r="L730" s="38" t="n"/>
      <c r="M730" s="38" t="n"/>
      <c r="N730" s="38" t="n"/>
      <c r="O730" s="38" t="n"/>
      <c r="P730" s="38" t="n"/>
      <c r="Q730" s="38" t="n"/>
      <c r="U730" s="63" t="n"/>
    </row>
    <row r="731" ht="99.5" customHeight="1" thickBot="1">
      <c r="A731" s="26" t="n"/>
      <c r="B731" s="35" t="n"/>
      <c r="C731" s="35" t="n"/>
      <c r="D731" s="35" t="n"/>
      <c r="G731" s="36" t="n"/>
      <c r="H731" s="35" t="n"/>
      <c r="K731" s="39" t="n"/>
      <c r="L731" s="38" t="n"/>
      <c r="M731" s="38" t="n"/>
      <c r="N731" s="38" t="n"/>
      <c r="O731" s="38" t="n"/>
      <c r="P731" s="38" t="n"/>
      <c r="Q731" s="38" t="n"/>
      <c r="U731" s="63" t="n"/>
    </row>
    <row r="732" ht="99.5" customHeight="1" thickBot="1">
      <c r="A732" s="26" t="n"/>
      <c r="B732" s="35" t="n"/>
      <c r="C732" s="35" t="n"/>
      <c r="D732" s="35" t="n"/>
      <c r="G732" s="36" t="n"/>
      <c r="H732" s="35" t="n"/>
      <c r="K732" s="39" t="n"/>
      <c r="L732" s="38" t="n"/>
      <c r="M732" s="38" t="n"/>
      <c r="N732" s="38" t="n"/>
      <c r="O732" s="38" t="n"/>
      <c r="P732" s="38" t="n"/>
      <c r="Q732" s="38" t="n"/>
      <c r="U732" s="63" t="n"/>
    </row>
    <row r="733" ht="99.5" customHeight="1" thickBot="1">
      <c r="A733" s="26" t="n"/>
      <c r="B733" s="35" t="n"/>
      <c r="C733" s="35" t="n"/>
      <c r="D733" s="35" t="n"/>
      <c r="G733" s="36" t="n"/>
      <c r="H733" s="35" t="n"/>
      <c r="K733" s="39" t="n"/>
      <c r="L733" s="38" t="n"/>
      <c r="M733" s="38" t="n"/>
      <c r="N733" s="38" t="n"/>
      <c r="O733" s="38" t="n"/>
      <c r="P733" s="38" t="n"/>
      <c r="Q733" s="38" t="n"/>
      <c r="U733" s="63" t="n"/>
    </row>
    <row r="734" ht="99.5" customHeight="1" thickBot="1">
      <c r="A734" s="26" t="n"/>
      <c r="B734" s="35" t="n"/>
      <c r="C734" s="35" t="n"/>
      <c r="D734" s="35" t="n"/>
      <c r="G734" s="36" t="n"/>
      <c r="H734" s="35" t="n"/>
      <c r="K734" s="39" t="n"/>
      <c r="L734" s="38" t="n"/>
      <c r="M734" s="38" t="n"/>
      <c r="N734" s="38" t="n"/>
      <c r="O734" s="38" t="n"/>
      <c r="P734" s="38" t="n"/>
      <c r="Q734" s="38" t="n"/>
      <c r="U734" s="63" t="n"/>
    </row>
    <row r="735" ht="99.5" customHeight="1" thickBot="1">
      <c r="A735" s="26" t="n"/>
      <c r="B735" s="35" t="n"/>
      <c r="C735" s="35" t="n"/>
      <c r="D735" s="35" t="n"/>
      <c r="G735" s="36" t="n"/>
      <c r="H735" s="35" t="n"/>
      <c r="K735" s="39" t="n"/>
      <c r="L735" s="38" t="n"/>
      <c r="M735" s="38" t="n"/>
      <c r="N735" s="38" t="n"/>
      <c r="O735" s="38" t="n"/>
      <c r="P735" s="38" t="n"/>
      <c r="Q735" s="38" t="n"/>
      <c r="U735" s="63" t="n"/>
    </row>
    <row r="736" ht="99.5" customHeight="1" thickBot="1">
      <c r="A736" s="26" t="n"/>
      <c r="B736" s="35" t="n"/>
      <c r="C736" s="35" t="n"/>
      <c r="D736" s="35" t="n"/>
      <c r="G736" s="36" t="n"/>
      <c r="H736" s="35" t="n"/>
      <c r="K736" s="39" t="n"/>
      <c r="L736" s="38" t="n"/>
      <c r="M736" s="38" t="n"/>
      <c r="N736" s="38" t="n"/>
      <c r="O736" s="38" t="n"/>
      <c r="P736" s="38" t="n"/>
      <c r="Q736" s="38" t="n"/>
      <c r="U736" s="63" t="n"/>
    </row>
    <row r="737" ht="99.5" customHeight="1" thickBot="1">
      <c r="A737" s="26" t="n"/>
      <c r="B737" s="35" t="n"/>
      <c r="C737" s="35" t="n"/>
      <c r="D737" s="35" t="n"/>
      <c r="G737" s="36" t="n"/>
      <c r="H737" s="35" t="n"/>
      <c r="K737" s="39" t="n"/>
      <c r="L737" s="38" t="n"/>
      <c r="M737" s="38" t="n"/>
      <c r="N737" s="38" t="n"/>
      <c r="O737" s="38" t="n"/>
      <c r="P737" s="38" t="n"/>
      <c r="Q737" s="38" t="n"/>
      <c r="U737" s="63" t="n"/>
    </row>
    <row r="738" ht="99.5" customHeight="1" thickBot="1">
      <c r="A738" s="26" t="n"/>
      <c r="B738" s="35" t="n"/>
      <c r="C738" s="35" t="n"/>
      <c r="D738" s="35" t="n"/>
      <c r="G738" s="36" t="n"/>
      <c r="H738" s="35" t="n"/>
      <c r="K738" s="39" t="n"/>
      <c r="L738" s="38" t="n"/>
      <c r="M738" s="38" t="n"/>
      <c r="N738" s="38" t="n"/>
      <c r="O738" s="38" t="n"/>
      <c r="P738" s="38" t="n"/>
      <c r="Q738" s="38" t="n"/>
      <c r="U738" s="63" t="n"/>
    </row>
    <row r="739" ht="99.5" customHeight="1" thickBot="1">
      <c r="A739" s="26" t="n"/>
      <c r="B739" s="35" t="n"/>
      <c r="C739" s="35" t="n"/>
      <c r="D739" s="35" t="n"/>
      <c r="G739" s="36" t="n"/>
      <c r="H739" s="35" t="n"/>
      <c r="K739" s="39" t="n"/>
      <c r="L739" s="38" t="n"/>
      <c r="M739" s="38" t="n"/>
      <c r="N739" s="38" t="n"/>
      <c r="O739" s="38" t="n"/>
      <c r="P739" s="38" t="n"/>
      <c r="Q739" s="38" t="n"/>
      <c r="U739" s="63" t="n"/>
    </row>
    <row r="740" ht="99.5" customHeight="1" thickBot="1">
      <c r="A740" s="26" t="n"/>
      <c r="B740" s="35" t="n"/>
      <c r="C740" s="35" t="n"/>
      <c r="D740" s="35" t="n"/>
      <c r="G740" s="36" t="n"/>
      <c r="H740" s="35" t="n"/>
      <c r="K740" s="39" t="n"/>
      <c r="L740" s="38" t="n"/>
      <c r="M740" s="38" t="n"/>
      <c r="N740" s="38" t="n"/>
      <c r="O740" s="38" t="n"/>
      <c r="P740" s="38" t="n"/>
      <c r="Q740" s="38" t="n"/>
      <c r="U740" s="63" t="n"/>
    </row>
    <row r="741" ht="99.5" customHeight="1" thickBot="1">
      <c r="A741" s="26" t="n"/>
      <c r="B741" s="35" t="n"/>
      <c r="C741" s="35" t="n"/>
      <c r="D741" s="35" t="n"/>
      <c r="G741" s="36" t="n"/>
      <c r="H741" s="35" t="n"/>
      <c r="K741" s="39" t="n"/>
      <c r="L741" s="38" t="n"/>
      <c r="M741" s="38" t="n"/>
      <c r="N741" s="38" t="n"/>
      <c r="O741" s="38" t="n"/>
      <c r="P741" s="38" t="n"/>
      <c r="Q741" s="38" t="n"/>
      <c r="U741" s="63" t="n"/>
    </row>
    <row r="742" ht="99.5" customHeight="1" thickBot="1">
      <c r="A742" s="26" t="n"/>
      <c r="B742" s="35" t="n"/>
      <c r="C742" s="35" t="n"/>
      <c r="D742" s="35" t="n"/>
      <c r="G742" s="36" t="n"/>
      <c r="H742" s="35" t="n"/>
      <c r="K742" s="39" t="n"/>
      <c r="L742" s="38" t="n"/>
      <c r="M742" s="38" t="n"/>
      <c r="N742" s="38" t="n"/>
      <c r="O742" s="38" t="n"/>
      <c r="P742" s="38" t="n"/>
      <c r="Q742" s="38" t="n"/>
      <c r="U742" s="63" t="n"/>
    </row>
    <row r="743" ht="99.5" customHeight="1" thickBot="1">
      <c r="A743" s="26" t="n"/>
      <c r="B743" s="35" t="n"/>
      <c r="C743" s="35" t="n"/>
      <c r="D743" s="35" t="n"/>
      <c r="G743" s="36" t="n"/>
      <c r="H743" s="35" t="n"/>
      <c r="K743" s="39" t="n"/>
      <c r="L743" s="38" t="n"/>
      <c r="M743" s="38" t="n"/>
      <c r="N743" s="38" t="n"/>
      <c r="O743" s="38" t="n"/>
      <c r="P743" s="38" t="n"/>
      <c r="Q743" s="38" t="n"/>
      <c r="U743" s="63" t="n"/>
    </row>
    <row r="744" ht="99.5" customHeight="1" thickBot="1">
      <c r="A744" s="26" t="n"/>
      <c r="B744" s="35" t="n"/>
      <c r="C744" s="35" t="n"/>
      <c r="D744" s="35" t="n"/>
      <c r="G744" s="36" t="n"/>
      <c r="H744" s="35" t="n"/>
      <c r="K744" s="39" t="n"/>
      <c r="L744" s="38" t="n"/>
      <c r="M744" s="38" t="n"/>
      <c r="N744" s="38" t="n"/>
      <c r="O744" s="38" t="n"/>
      <c r="P744" s="38" t="n"/>
      <c r="Q744" s="38" t="n"/>
      <c r="U744" s="63" t="n"/>
    </row>
    <row r="745" ht="99.5" customHeight="1" thickBot="1">
      <c r="A745" s="26" t="n"/>
      <c r="B745" s="35" t="n"/>
      <c r="C745" s="35" t="n"/>
      <c r="D745" s="35" t="n"/>
      <c r="G745" s="36" t="n"/>
      <c r="H745" s="35" t="n"/>
      <c r="K745" s="39" t="n"/>
      <c r="L745" s="38" t="n"/>
      <c r="M745" s="38" t="n"/>
      <c r="N745" s="38" t="n"/>
      <c r="O745" s="38" t="n"/>
      <c r="P745" s="38" t="n"/>
      <c r="Q745" s="38" t="n"/>
      <c r="U745" s="63" t="n"/>
    </row>
    <row r="746" ht="99.5" customHeight="1" thickBot="1">
      <c r="A746" s="26" t="n"/>
      <c r="B746" s="35" t="n"/>
      <c r="C746" s="35" t="n"/>
      <c r="D746" s="35" t="n"/>
      <c r="G746" s="36" t="n"/>
      <c r="H746" s="35" t="n"/>
      <c r="K746" s="39" t="n"/>
      <c r="L746" s="38" t="n"/>
      <c r="M746" s="38" t="n"/>
      <c r="N746" s="38" t="n"/>
      <c r="O746" s="38" t="n"/>
      <c r="P746" s="38" t="n"/>
      <c r="Q746" s="38" t="n"/>
      <c r="U746" s="63" t="n"/>
    </row>
    <row r="747" ht="99.5" customHeight="1" thickBot="1">
      <c r="A747" s="26" t="n"/>
      <c r="B747" s="35" t="n"/>
      <c r="C747" s="35" t="n"/>
      <c r="D747" s="35" t="n"/>
      <c r="G747" s="36" t="n"/>
      <c r="H747" s="35" t="n"/>
      <c r="K747" s="39" t="n"/>
      <c r="L747" s="38" t="n"/>
      <c r="M747" s="38" t="n"/>
      <c r="N747" s="38" t="n"/>
      <c r="O747" s="38" t="n"/>
      <c r="P747" s="38" t="n"/>
      <c r="Q747" s="38" t="n"/>
      <c r="U747" s="63" t="n"/>
    </row>
    <row r="748" ht="99.5" customHeight="1" thickBot="1">
      <c r="A748" s="26" t="n"/>
      <c r="B748" s="35" t="n"/>
      <c r="C748" s="35" t="n"/>
      <c r="D748" s="35" t="n"/>
      <c r="G748" s="36" t="n"/>
      <c r="H748" s="35" t="n"/>
      <c r="K748" s="39" t="n"/>
      <c r="L748" s="38" t="n"/>
      <c r="M748" s="38" t="n"/>
      <c r="N748" s="38" t="n"/>
      <c r="O748" s="38" t="n"/>
      <c r="P748" s="38" t="n"/>
      <c r="Q748" s="38" t="n"/>
      <c r="U748" s="63" t="n"/>
    </row>
    <row r="749" ht="99.5" customHeight="1" thickBot="1">
      <c r="A749" s="26" t="n"/>
      <c r="B749" s="35" t="n"/>
      <c r="C749" s="35" t="n"/>
      <c r="D749" s="35" t="n"/>
      <c r="G749" s="36" t="n"/>
      <c r="H749" s="35" t="n"/>
      <c r="K749" s="39" t="n"/>
      <c r="L749" s="38" t="n"/>
      <c r="M749" s="38" t="n"/>
      <c r="N749" s="38" t="n"/>
      <c r="O749" s="38" t="n"/>
      <c r="P749" s="38" t="n"/>
      <c r="Q749" s="38" t="n"/>
      <c r="U749" s="63" t="n"/>
    </row>
    <row r="750" ht="99.5" customHeight="1" thickBot="1">
      <c r="A750" s="26" t="n"/>
      <c r="B750" s="35" t="n"/>
      <c r="C750" s="35" t="n"/>
      <c r="D750" s="35" t="n"/>
      <c r="G750" s="36" t="n"/>
      <c r="H750" s="35" t="n"/>
      <c r="K750" s="39" t="n"/>
      <c r="L750" s="38" t="n"/>
      <c r="M750" s="38" t="n"/>
      <c r="N750" s="38" t="n"/>
      <c r="O750" s="38" t="n"/>
      <c r="P750" s="38" t="n"/>
      <c r="Q750" s="38" t="n"/>
      <c r="U750" s="63" t="n"/>
    </row>
    <row r="751" ht="99.5" customHeight="1" thickBot="1">
      <c r="A751" s="26" t="n"/>
      <c r="B751" s="35" t="n"/>
      <c r="C751" s="35" t="n"/>
      <c r="D751" s="35" t="n"/>
      <c r="G751" s="36" t="n"/>
      <c r="H751" s="35" t="n"/>
      <c r="K751" s="39" t="n"/>
      <c r="L751" s="38" t="n"/>
      <c r="M751" s="38" t="n"/>
      <c r="N751" s="38" t="n"/>
      <c r="O751" s="38" t="n"/>
      <c r="P751" s="38" t="n"/>
      <c r="Q751" s="38" t="n"/>
      <c r="U751" s="63" t="n"/>
    </row>
    <row r="752" ht="99.5" customHeight="1" thickBot="1">
      <c r="A752" s="26" t="n"/>
      <c r="B752" s="35" t="n"/>
      <c r="C752" s="35" t="n"/>
      <c r="D752" s="35" t="n"/>
      <c r="G752" s="36" t="n"/>
      <c r="H752" s="35" t="n"/>
      <c r="K752" s="39" t="n"/>
      <c r="L752" s="38" t="n"/>
      <c r="M752" s="38" t="n"/>
      <c r="N752" s="38" t="n"/>
      <c r="O752" s="38" t="n"/>
      <c r="P752" s="38" t="n"/>
      <c r="Q752" s="38" t="n"/>
      <c r="U752" s="63" t="n"/>
    </row>
    <row r="753" ht="99.5" customHeight="1" thickBot="1">
      <c r="A753" s="26" t="n"/>
      <c r="B753" s="35" t="n"/>
      <c r="C753" s="35" t="n"/>
      <c r="D753" s="35" t="n"/>
      <c r="G753" s="36" t="n"/>
      <c r="H753" s="35" t="n"/>
      <c r="K753" s="39" t="n"/>
      <c r="L753" s="38" t="n"/>
      <c r="M753" s="38" t="n"/>
      <c r="N753" s="38" t="n"/>
      <c r="O753" s="38" t="n"/>
      <c r="P753" s="38" t="n"/>
      <c r="Q753" s="38" t="n"/>
      <c r="U753" s="63" t="n"/>
    </row>
    <row r="754" ht="99.5" customHeight="1" thickBot="1">
      <c r="A754" s="26" t="n"/>
      <c r="B754" s="35" t="n"/>
      <c r="C754" s="35" t="n"/>
      <c r="D754" s="35" t="n"/>
      <c r="G754" s="36" t="n"/>
      <c r="H754" s="35" t="n"/>
      <c r="K754" s="39" t="n"/>
      <c r="L754" s="38" t="n"/>
      <c r="M754" s="38" t="n"/>
      <c r="N754" s="38" t="n"/>
      <c r="O754" s="38" t="n"/>
      <c r="P754" s="38" t="n"/>
      <c r="Q754" s="38" t="n"/>
      <c r="U754" s="63" t="n"/>
    </row>
    <row r="755" ht="99.5" customHeight="1" thickBot="1">
      <c r="A755" s="26" t="n"/>
      <c r="B755" s="35" t="n"/>
      <c r="C755" s="35" t="n"/>
      <c r="D755" s="35" t="n"/>
      <c r="G755" s="36" t="n"/>
      <c r="H755" s="35" t="n"/>
      <c r="K755" s="39" t="n"/>
      <c r="L755" s="38" t="n"/>
      <c r="M755" s="38" t="n"/>
      <c r="N755" s="38" t="n"/>
      <c r="O755" s="38" t="n"/>
      <c r="P755" s="38" t="n"/>
      <c r="Q755" s="38" t="n"/>
      <c r="U755" s="63" t="n"/>
    </row>
    <row r="756" ht="99.5" customHeight="1" thickBot="1">
      <c r="A756" s="26" t="n"/>
      <c r="B756" s="35" t="n"/>
      <c r="C756" s="35" t="n"/>
      <c r="D756" s="35" t="n"/>
      <c r="G756" s="36" t="n"/>
      <c r="H756" s="35" t="n"/>
      <c r="K756" s="39" t="n"/>
      <c r="L756" s="38" t="n"/>
      <c r="M756" s="38" t="n"/>
      <c r="N756" s="38" t="n"/>
      <c r="O756" s="38" t="n"/>
      <c r="P756" s="38" t="n"/>
      <c r="Q756" s="38" t="n"/>
      <c r="U756" s="63" t="n"/>
    </row>
    <row r="757" ht="99.5" customHeight="1" thickBot="1">
      <c r="A757" s="26" t="n"/>
      <c r="B757" s="35" t="n"/>
      <c r="C757" s="35" t="n"/>
      <c r="D757" s="35" t="n"/>
      <c r="G757" s="36" t="n"/>
      <c r="H757" s="35" t="n"/>
      <c r="K757" s="39" t="n"/>
      <c r="L757" s="38" t="n"/>
      <c r="M757" s="38" t="n"/>
      <c r="N757" s="38" t="n"/>
      <c r="O757" s="38" t="n"/>
      <c r="P757" s="38" t="n"/>
      <c r="Q757" s="38" t="n"/>
      <c r="U757" s="63" t="n"/>
    </row>
    <row r="758" ht="99.5" customHeight="1" thickBot="1">
      <c r="A758" s="26" t="n"/>
      <c r="B758" s="35" t="n"/>
      <c r="C758" s="35" t="n"/>
      <c r="D758" s="35" t="n"/>
      <c r="G758" s="36" t="n"/>
      <c r="H758" s="35" t="n"/>
      <c r="K758" s="39" t="n"/>
      <c r="L758" s="38" t="n"/>
      <c r="M758" s="38" t="n"/>
      <c r="N758" s="38" t="n"/>
      <c r="O758" s="38" t="n"/>
      <c r="P758" s="38" t="n"/>
      <c r="Q758" s="38" t="n"/>
      <c r="U758" s="63" t="n"/>
    </row>
    <row r="759" ht="99.5" customHeight="1" thickBot="1">
      <c r="A759" s="26" t="n"/>
      <c r="B759" s="35" t="n"/>
      <c r="C759" s="35" t="n"/>
      <c r="D759" s="35" t="n"/>
      <c r="G759" s="36" t="n"/>
      <c r="H759" s="35" t="n"/>
      <c r="K759" s="39" t="n"/>
      <c r="L759" s="38" t="n"/>
      <c r="M759" s="38" t="n"/>
      <c r="N759" s="38" t="n"/>
      <c r="O759" s="38" t="n"/>
      <c r="P759" s="38" t="n"/>
      <c r="Q759" s="38" t="n"/>
      <c r="U759" s="63" t="n"/>
    </row>
    <row r="760" ht="99.5" customHeight="1" thickBot="1">
      <c r="A760" s="26" t="n"/>
      <c r="B760" s="35" t="n"/>
      <c r="C760" s="35" t="n"/>
      <c r="D760" s="35" t="n"/>
      <c r="G760" s="36" t="n"/>
      <c r="H760" s="35" t="n"/>
      <c r="K760" s="39" t="n"/>
      <c r="L760" s="38" t="n"/>
      <c r="M760" s="38" t="n"/>
      <c r="N760" s="38" t="n"/>
      <c r="O760" s="38" t="n"/>
      <c r="P760" s="38" t="n"/>
      <c r="Q760" s="38" t="n"/>
      <c r="U760" s="63" t="n"/>
    </row>
    <row r="761" ht="99.5" customHeight="1" thickBot="1">
      <c r="A761" s="26" t="n"/>
      <c r="B761" s="35" t="n"/>
      <c r="C761" s="35" t="n"/>
      <c r="D761" s="35" t="n"/>
      <c r="G761" s="36" t="n"/>
      <c r="H761" s="35" t="n"/>
      <c r="K761" s="39" t="n"/>
      <c r="L761" s="38" t="n"/>
      <c r="M761" s="38" t="n"/>
      <c r="N761" s="38" t="n"/>
      <c r="O761" s="38" t="n"/>
      <c r="P761" s="38" t="n"/>
      <c r="Q761" s="38" t="n"/>
      <c r="U761" s="63" t="n"/>
    </row>
    <row r="762" ht="99.5" customHeight="1" thickBot="1">
      <c r="A762" s="26" t="n"/>
      <c r="B762" s="35" t="n"/>
      <c r="C762" s="35" t="n"/>
      <c r="D762" s="35" t="n"/>
      <c r="G762" s="36" t="n"/>
      <c r="H762" s="35" t="n"/>
      <c r="K762" s="39" t="n"/>
      <c r="L762" s="38" t="n"/>
      <c r="M762" s="38" t="n"/>
      <c r="N762" s="38" t="n"/>
      <c r="O762" s="38" t="n"/>
      <c r="P762" s="38" t="n"/>
      <c r="Q762" s="38" t="n"/>
      <c r="U762" s="63" t="n"/>
    </row>
    <row r="763" ht="99.5" customHeight="1" thickBot="1">
      <c r="A763" s="26" t="n"/>
      <c r="B763" s="35" t="n"/>
      <c r="C763" s="35" t="n"/>
      <c r="D763" s="35" t="n"/>
      <c r="G763" s="36" t="n"/>
      <c r="H763" s="35" t="n"/>
      <c r="K763" s="39" t="n"/>
      <c r="L763" s="38" t="n"/>
      <c r="M763" s="38" t="n"/>
      <c r="N763" s="38" t="n"/>
      <c r="O763" s="38" t="n"/>
      <c r="P763" s="38" t="n"/>
      <c r="Q763" s="38" t="n"/>
      <c r="U763" s="63" t="n"/>
    </row>
    <row r="764" ht="99.5" customHeight="1" thickBot="1">
      <c r="A764" s="26" t="n"/>
      <c r="B764" s="35" t="n"/>
      <c r="C764" s="35" t="n"/>
      <c r="D764" s="35" t="n"/>
      <c r="G764" s="36" t="n"/>
      <c r="H764" s="35" t="n"/>
      <c r="K764" s="39" t="n"/>
      <c r="L764" s="38" t="n"/>
      <c r="M764" s="38" t="n"/>
      <c r="N764" s="38" t="n"/>
      <c r="O764" s="38" t="n"/>
      <c r="P764" s="38" t="n"/>
      <c r="Q764" s="38" t="n"/>
      <c r="U764" s="63" t="n"/>
    </row>
    <row r="765" ht="99.5" customHeight="1" thickBot="1">
      <c r="A765" s="26" t="n"/>
      <c r="B765" s="35" t="n"/>
      <c r="C765" s="35" t="n"/>
      <c r="D765" s="35" t="n"/>
      <c r="G765" s="36" t="n"/>
      <c r="H765" s="35" t="n"/>
      <c r="K765" s="39" t="n"/>
      <c r="L765" s="38" t="n"/>
      <c r="M765" s="38" t="n"/>
      <c r="N765" s="38" t="n"/>
      <c r="O765" s="38" t="n"/>
      <c r="P765" s="38" t="n"/>
      <c r="Q765" s="38" t="n"/>
      <c r="U765" s="63" t="n"/>
    </row>
    <row r="766" ht="99.5" customHeight="1" thickBot="1">
      <c r="A766" s="26" t="n"/>
      <c r="B766" s="35" t="n"/>
      <c r="C766" s="35" t="n"/>
      <c r="D766" s="35" t="n"/>
      <c r="G766" s="36" t="n"/>
      <c r="H766" s="35" t="n"/>
      <c r="K766" s="39" t="n"/>
      <c r="L766" s="38" t="n"/>
      <c r="M766" s="38" t="n"/>
      <c r="N766" s="38" t="n"/>
      <c r="O766" s="38" t="n"/>
      <c r="P766" s="38" t="n"/>
      <c r="Q766" s="38" t="n"/>
      <c r="U766" s="63" t="n"/>
    </row>
    <row r="767" ht="99.5" customHeight="1" thickBot="1">
      <c r="A767" s="26" t="n"/>
      <c r="B767" s="35" t="n"/>
      <c r="C767" s="35" t="n"/>
      <c r="D767" s="35" t="n"/>
      <c r="G767" s="36" t="n"/>
      <c r="H767" s="35" t="n"/>
      <c r="K767" s="39" t="n"/>
      <c r="L767" s="38" t="n"/>
      <c r="M767" s="38" t="n"/>
      <c r="N767" s="38" t="n"/>
      <c r="O767" s="38" t="n"/>
      <c r="P767" s="38" t="n"/>
      <c r="Q767" s="38" t="n"/>
      <c r="U767" s="63" t="n"/>
    </row>
    <row r="768" ht="99.5" customHeight="1" thickBot="1">
      <c r="A768" s="26" t="n"/>
      <c r="B768" s="35" t="n"/>
      <c r="C768" s="35" t="n"/>
      <c r="D768" s="35" t="n"/>
      <c r="G768" s="36" t="n"/>
      <c r="H768" s="35" t="n"/>
      <c r="K768" s="39" t="n"/>
      <c r="L768" s="38" t="n"/>
      <c r="M768" s="38" t="n"/>
      <c r="N768" s="38" t="n"/>
      <c r="O768" s="38" t="n"/>
      <c r="P768" s="38" t="n"/>
      <c r="Q768" s="38" t="n"/>
      <c r="U768" s="63" t="n"/>
    </row>
    <row r="769" ht="99.5" customHeight="1" thickBot="1">
      <c r="A769" s="26" t="n"/>
      <c r="B769" s="35" t="n"/>
      <c r="C769" s="35" t="n"/>
      <c r="D769" s="35" t="n"/>
      <c r="G769" s="36" t="n"/>
      <c r="H769" s="35" t="n"/>
      <c r="K769" s="39" t="n"/>
      <c r="L769" s="38" t="n"/>
      <c r="M769" s="38" t="n"/>
      <c r="N769" s="38" t="n"/>
      <c r="O769" s="38" t="n"/>
      <c r="P769" s="38" t="n"/>
      <c r="Q769" s="38" t="n"/>
      <c r="U769" s="63" t="n"/>
    </row>
    <row r="770" ht="99.5" customHeight="1" thickBot="1">
      <c r="A770" s="26" t="n"/>
      <c r="B770" s="35" t="n"/>
      <c r="C770" s="35" t="n"/>
      <c r="D770" s="35" t="n"/>
      <c r="G770" s="36" t="n"/>
      <c r="H770" s="35" t="n"/>
      <c r="K770" s="39" t="n"/>
      <c r="L770" s="38" t="n"/>
      <c r="M770" s="38" t="n"/>
      <c r="N770" s="38" t="n"/>
      <c r="O770" s="38" t="n"/>
      <c r="P770" s="38" t="n"/>
      <c r="Q770" s="38" t="n"/>
      <c r="U770" s="63" t="n"/>
    </row>
    <row r="771" ht="99.5" customHeight="1" thickBot="1">
      <c r="A771" s="26" t="n"/>
      <c r="B771" s="35" t="n"/>
      <c r="C771" s="35" t="n"/>
      <c r="D771" s="35" t="n"/>
      <c r="G771" s="36" t="n"/>
      <c r="H771" s="35" t="n"/>
      <c r="K771" s="39" t="n"/>
      <c r="L771" s="38" t="n"/>
      <c r="M771" s="38" t="n"/>
      <c r="N771" s="38" t="n"/>
      <c r="O771" s="38" t="n"/>
      <c r="P771" s="38" t="n"/>
      <c r="Q771" s="38" t="n"/>
      <c r="U771" s="63" t="n"/>
    </row>
    <row r="772" ht="99.5" customHeight="1" thickBot="1">
      <c r="A772" s="26" t="n"/>
      <c r="B772" s="35" t="n"/>
      <c r="C772" s="35" t="n"/>
      <c r="D772" s="35" t="n"/>
      <c r="G772" s="36" t="n"/>
      <c r="H772" s="35" t="n"/>
      <c r="K772" s="39" t="n"/>
      <c r="L772" s="38" t="n"/>
      <c r="M772" s="38" t="n"/>
      <c r="N772" s="38" t="n"/>
      <c r="O772" s="38" t="n"/>
      <c r="P772" s="38" t="n"/>
      <c r="Q772" s="38" t="n"/>
      <c r="U772" s="63" t="n"/>
    </row>
    <row r="773" ht="99.5" customHeight="1" thickBot="1">
      <c r="A773" s="26" t="n"/>
      <c r="B773" s="35" t="n"/>
      <c r="C773" s="35" t="n"/>
      <c r="D773" s="35" t="n"/>
      <c r="G773" s="36" t="n"/>
      <c r="H773" s="35" t="n"/>
      <c r="K773" s="39" t="n"/>
      <c r="L773" s="38" t="n"/>
      <c r="M773" s="38" t="n"/>
      <c r="N773" s="38" t="n"/>
      <c r="O773" s="38" t="n"/>
      <c r="P773" s="38" t="n"/>
      <c r="Q773" s="38" t="n"/>
      <c r="U773" s="63" t="n"/>
    </row>
    <row r="774" ht="99.5" customHeight="1" thickBot="1">
      <c r="A774" s="26" t="n"/>
      <c r="B774" s="35" t="n"/>
      <c r="C774" s="35" t="n"/>
      <c r="D774" s="35" t="n"/>
      <c r="G774" s="36" t="n"/>
      <c r="H774" s="35" t="n"/>
      <c r="K774" s="39" t="n"/>
      <c r="L774" s="38" t="n"/>
      <c r="M774" s="38" t="n"/>
      <c r="N774" s="38" t="n"/>
      <c r="O774" s="38" t="n"/>
      <c r="P774" s="38" t="n"/>
      <c r="Q774" s="38" t="n"/>
      <c r="U774" s="63" t="n"/>
    </row>
    <row r="775" ht="99.5" customHeight="1" thickBot="1">
      <c r="A775" s="26" t="n"/>
      <c r="B775" s="35" t="n"/>
      <c r="C775" s="35" t="n"/>
      <c r="D775" s="35" t="n"/>
      <c r="G775" s="36" t="n"/>
      <c r="H775" s="35" t="n"/>
      <c r="K775" s="39" t="n"/>
      <c r="L775" s="38" t="n"/>
      <c r="M775" s="38" t="n"/>
      <c r="N775" s="38" t="n"/>
      <c r="O775" s="38" t="n"/>
      <c r="P775" s="38" t="n"/>
      <c r="Q775" s="38" t="n"/>
      <c r="U775" s="63" t="n"/>
    </row>
    <row r="776" ht="99.5" customHeight="1" thickBot="1">
      <c r="A776" s="26" t="n"/>
      <c r="B776" s="35" t="n"/>
      <c r="C776" s="35" t="n"/>
      <c r="D776" s="35" t="n"/>
      <c r="G776" s="36" t="n"/>
      <c r="H776" s="35" t="n"/>
      <c r="K776" s="39" t="n"/>
      <c r="L776" s="38" t="n"/>
      <c r="M776" s="38" t="n"/>
      <c r="N776" s="38" t="n"/>
      <c r="O776" s="38" t="n"/>
      <c r="P776" s="38" t="n"/>
      <c r="Q776" s="38" t="n"/>
      <c r="U776" s="63" t="n"/>
    </row>
    <row r="777" ht="99.5" customHeight="1" thickBot="1">
      <c r="A777" s="26" t="n"/>
      <c r="B777" s="35" t="n"/>
      <c r="C777" s="35" t="n"/>
      <c r="D777" s="35" t="n"/>
      <c r="G777" s="36" t="n"/>
      <c r="H777" s="35" t="n"/>
      <c r="K777" s="39" t="n"/>
      <c r="L777" s="38" t="n"/>
      <c r="M777" s="38" t="n"/>
      <c r="N777" s="38" t="n"/>
      <c r="O777" s="38" t="n"/>
      <c r="P777" s="38" t="n"/>
      <c r="Q777" s="38" t="n"/>
      <c r="U777" s="63" t="n"/>
    </row>
    <row r="778" ht="99.5" customHeight="1" thickBot="1">
      <c r="A778" s="26" t="n"/>
      <c r="B778" s="35" t="n"/>
      <c r="C778" s="35" t="n"/>
      <c r="D778" s="35" t="n"/>
      <c r="G778" s="36" t="n"/>
      <c r="H778" s="35" t="n"/>
      <c r="K778" s="39" t="n"/>
      <c r="L778" s="38" t="n"/>
      <c r="M778" s="38" t="n"/>
      <c r="N778" s="38" t="n"/>
      <c r="O778" s="38" t="n"/>
      <c r="P778" s="38" t="n"/>
      <c r="Q778" s="38" t="n"/>
      <c r="U778" s="63" t="n"/>
    </row>
    <row r="779" ht="99.5" customHeight="1" thickBot="1">
      <c r="A779" s="26" t="n"/>
      <c r="B779" s="35" t="n"/>
      <c r="C779" s="35" t="n"/>
      <c r="D779" s="35" t="n"/>
      <c r="G779" s="36" t="n"/>
      <c r="H779" s="35" t="n"/>
      <c r="K779" s="39" t="n"/>
      <c r="L779" s="38" t="n"/>
      <c r="M779" s="38" t="n"/>
      <c r="N779" s="38" t="n"/>
      <c r="O779" s="38" t="n"/>
      <c r="P779" s="38" t="n"/>
      <c r="Q779" s="38" t="n"/>
      <c r="U779" s="63" t="n"/>
    </row>
    <row r="780" ht="99.5" customHeight="1" thickBot="1">
      <c r="A780" s="26" t="n"/>
      <c r="B780" s="35" t="n"/>
      <c r="C780" s="35" t="n"/>
      <c r="D780" s="35" t="n"/>
      <c r="G780" s="36" t="n"/>
      <c r="H780" s="35" t="n"/>
      <c r="K780" s="39" t="n"/>
      <c r="L780" s="38" t="n"/>
      <c r="M780" s="38" t="n"/>
      <c r="N780" s="38" t="n"/>
      <c r="O780" s="38" t="n"/>
      <c r="P780" s="38" t="n"/>
      <c r="Q780" s="38" t="n"/>
      <c r="U780" s="63" t="n"/>
    </row>
    <row r="781" ht="99.5" customHeight="1" thickBot="1">
      <c r="A781" s="26" t="n"/>
      <c r="B781" s="35" t="n"/>
      <c r="C781" s="35" t="n"/>
      <c r="D781" s="35" t="n"/>
      <c r="G781" s="36" t="n"/>
      <c r="H781" s="35" t="n"/>
      <c r="K781" s="39" t="n"/>
      <c r="L781" s="38" t="n"/>
      <c r="M781" s="38" t="n"/>
      <c r="N781" s="38" t="n"/>
      <c r="O781" s="38" t="n"/>
      <c r="P781" s="38" t="n"/>
      <c r="Q781" s="38" t="n"/>
      <c r="U781" s="63" t="n"/>
    </row>
    <row r="782" ht="99.5" customHeight="1" thickBot="1">
      <c r="A782" s="26" t="n"/>
      <c r="B782" s="35" t="n"/>
      <c r="C782" s="35" t="n"/>
      <c r="D782" s="35" t="n"/>
      <c r="G782" s="36" t="n"/>
      <c r="H782" s="35" t="n"/>
      <c r="K782" s="39" t="n"/>
      <c r="L782" s="38" t="n"/>
      <c r="M782" s="38" t="n"/>
      <c r="N782" s="38" t="n"/>
      <c r="O782" s="38" t="n"/>
      <c r="P782" s="38" t="n"/>
      <c r="Q782" s="38" t="n"/>
      <c r="U782" s="63" t="n"/>
    </row>
    <row r="783" ht="99.5" customHeight="1" thickBot="1">
      <c r="A783" s="26" t="n"/>
      <c r="B783" s="35" t="n"/>
      <c r="C783" s="35" t="n"/>
      <c r="D783" s="35" t="n"/>
      <c r="G783" s="36" t="n"/>
      <c r="H783" s="35" t="n"/>
      <c r="K783" s="39" t="n"/>
      <c r="L783" s="38" t="n"/>
      <c r="M783" s="38" t="n"/>
      <c r="N783" s="38" t="n"/>
      <c r="O783" s="38" t="n"/>
      <c r="P783" s="38" t="n"/>
      <c r="Q783" s="38" t="n"/>
      <c r="U783" s="63" t="n"/>
    </row>
    <row r="784" ht="99.5" customHeight="1" thickBot="1">
      <c r="A784" s="26" t="n"/>
      <c r="B784" s="35" t="n"/>
      <c r="C784" s="35" t="n"/>
      <c r="D784" s="35" t="n"/>
      <c r="G784" s="36" t="n"/>
      <c r="H784" s="35" t="n"/>
      <c r="K784" s="39" t="n"/>
      <c r="L784" s="38" t="n"/>
      <c r="M784" s="38" t="n"/>
      <c r="N784" s="38" t="n"/>
      <c r="O784" s="38" t="n"/>
      <c r="P784" s="38" t="n"/>
      <c r="Q784" s="38" t="n"/>
      <c r="U784" s="63" t="n"/>
    </row>
    <row r="785" ht="99.5" customHeight="1" thickBot="1">
      <c r="A785" s="26" t="n"/>
      <c r="B785" s="35" t="n"/>
      <c r="C785" s="35" t="n"/>
      <c r="D785" s="35" t="n"/>
      <c r="G785" s="36" t="n"/>
      <c r="H785" s="35" t="n"/>
      <c r="K785" s="39" t="n"/>
      <c r="L785" s="38" t="n"/>
      <c r="M785" s="38" t="n"/>
      <c r="N785" s="38" t="n"/>
      <c r="O785" s="38" t="n"/>
      <c r="P785" s="38" t="n"/>
      <c r="Q785" s="38" t="n"/>
      <c r="U785" s="63" t="n"/>
    </row>
    <row r="786" ht="99.5" customHeight="1" thickBot="1">
      <c r="A786" s="26" t="n"/>
      <c r="B786" s="35" t="n"/>
      <c r="C786" s="35" t="n"/>
      <c r="D786" s="35" t="n"/>
      <c r="G786" s="36" t="n"/>
      <c r="H786" s="35" t="n"/>
      <c r="K786" s="39" t="n"/>
      <c r="L786" s="38" t="n"/>
      <c r="M786" s="38" t="n"/>
      <c r="N786" s="38" t="n"/>
      <c r="O786" s="38" t="n"/>
      <c r="P786" s="38" t="n"/>
      <c r="Q786" s="38" t="n"/>
      <c r="U786" s="63" t="n"/>
    </row>
    <row r="787" ht="99.5" customHeight="1" thickBot="1">
      <c r="A787" s="26" t="n"/>
      <c r="B787" s="35" t="n"/>
      <c r="C787" s="35" t="n"/>
      <c r="D787" s="35" t="n"/>
      <c r="G787" s="36" t="n"/>
      <c r="H787" s="35" t="n"/>
      <c r="K787" s="39" t="n"/>
      <c r="L787" s="38" t="n"/>
      <c r="M787" s="38" t="n"/>
      <c r="N787" s="38" t="n"/>
      <c r="O787" s="38" t="n"/>
      <c r="P787" s="38" t="n"/>
      <c r="Q787" s="38" t="n"/>
      <c r="U787" s="63" t="n"/>
    </row>
    <row r="788" ht="99.5" customHeight="1" thickBot="1">
      <c r="A788" s="26" t="n"/>
      <c r="B788" s="35" t="n"/>
      <c r="C788" s="35" t="n"/>
      <c r="D788" s="35" t="n"/>
      <c r="G788" s="36" t="n"/>
      <c r="H788" s="35" t="n"/>
      <c r="K788" s="39" t="n"/>
      <c r="L788" s="38" t="n"/>
      <c r="M788" s="38" t="n"/>
      <c r="N788" s="38" t="n"/>
      <c r="O788" s="38" t="n"/>
      <c r="P788" s="38" t="n"/>
      <c r="Q788" s="38" t="n"/>
      <c r="U788" s="63" t="n"/>
    </row>
    <row r="789" ht="99.5" customHeight="1" thickBot="1">
      <c r="A789" s="26" t="n"/>
      <c r="B789" s="35" t="n"/>
      <c r="C789" s="35" t="n"/>
      <c r="D789" s="35" t="n"/>
      <c r="G789" s="36" t="n"/>
      <c r="H789" s="35" t="n"/>
      <c r="K789" s="39" t="n"/>
      <c r="L789" s="38" t="n"/>
      <c r="M789" s="38" t="n"/>
      <c r="N789" s="38" t="n"/>
      <c r="O789" s="38" t="n"/>
      <c r="P789" s="38" t="n"/>
      <c r="Q789" s="38" t="n"/>
      <c r="U789" s="63" t="n"/>
    </row>
    <row r="790" ht="99.5" customHeight="1" thickBot="1">
      <c r="A790" s="26" t="n"/>
      <c r="B790" s="35" t="n"/>
      <c r="C790" s="35" t="n"/>
      <c r="D790" s="35" t="n"/>
      <c r="G790" s="36" t="n"/>
      <c r="H790" s="35" t="n"/>
      <c r="K790" s="39" t="n"/>
      <c r="L790" s="38" t="n"/>
      <c r="M790" s="38" t="n"/>
      <c r="N790" s="38" t="n"/>
      <c r="O790" s="38" t="n"/>
      <c r="P790" s="38" t="n"/>
      <c r="Q790" s="38" t="n"/>
      <c r="U790" s="63" t="n"/>
    </row>
    <row r="791" ht="99.5" customHeight="1" thickBot="1">
      <c r="A791" s="26" t="n"/>
      <c r="B791" s="35" t="n"/>
      <c r="C791" s="35" t="n"/>
      <c r="D791" s="35" t="n"/>
      <c r="G791" s="36" t="n"/>
      <c r="H791" s="35" t="n"/>
      <c r="K791" s="39" t="n"/>
      <c r="L791" s="38" t="n"/>
      <c r="M791" s="38" t="n"/>
      <c r="N791" s="38" t="n"/>
      <c r="O791" s="38" t="n"/>
      <c r="P791" s="38" t="n"/>
      <c r="Q791" s="38" t="n"/>
      <c r="U791" s="63" t="n"/>
    </row>
    <row r="792" ht="99.5" customHeight="1" thickBot="1">
      <c r="A792" s="26" t="n"/>
      <c r="B792" s="35" t="n"/>
      <c r="C792" s="35" t="n"/>
      <c r="D792" s="35" t="n"/>
      <c r="G792" s="36" t="n"/>
      <c r="H792" s="35" t="n"/>
      <c r="K792" s="39" t="n"/>
      <c r="L792" s="38" t="n"/>
      <c r="M792" s="38" t="n"/>
      <c r="N792" s="38" t="n"/>
      <c r="O792" s="38" t="n"/>
      <c r="P792" s="38" t="n"/>
      <c r="Q792" s="38" t="n"/>
      <c r="U792" s="63" t="n"/>
    </row>
    <row r="793" ht="99.5" customHeight="1" thickBot="1">
      <c r="A793" s="26" t="n"/>
      <c r="B793" s="35" t="n"/>
      <c r="C793" s="35" t="n"/>
      <c r="D793" s="35" t="n"/>
      <c r="G793" s="36" t="n"/>
      <c r="H793" s="35" t="n"/>
      <c r="K793" s="39" t="n"/>
      <c r="L793" s="38" t="n"/>
      <c r="M793" s="38" t="n"/>
      <c r="N793" s="38" t="n"/>
      <c r="O793" s="38" t="n"/>
      <c r="P793" s="38" t="n"/>
      <c r="Q793" s="38" t="n"/>
      <c r="U793" s="63" t="n"/>
    </row>
    <row r="794" ht="99.5" customHeight="1" thickBot="1">
      <c r="A794" s="26" t="n"/>
      <c r="B794" s="35" t="n"/>
      <c r="C794" s="35" t="n"/>
      <c r="D794" s="35" t="n"/>
      <c r="G794" s="36" t="n"/>
      <c r="H794" s="35" t="n"/>
      <c r="K794" s="39" t="n"/>
      <c r="L794" s="38" t="n"/>
      <c r="M794" s="38" t="n"/>
      <c r="N794" s="38" t="n"/>
      <c r="O794" s="38" t="n"/>
      <c r="P794" s="38" t="n"/>
      <c r="Q794" s="38" t="n"/>
      <c r="U794" s="63" t="n"/>
    </row>
    <row r="795" ht="99.5" customHeight="1" thickBot="1">
      <c r="A795" s="26" t="n"/>
      <c r="B795" s="35" t="n"/>
      <c r="C795" s="35" t="n"/>
      <c r="D795" s="35" t="n"/>
      <c r="G795" s="36" t="n"/>
      <c r="H795" s="35" t="n"/>
      <c r="K795" s="39" t="n"/>
      <c r="L795" s="38" t="n"/>
      <c r="M795" s="38" t="n"/>
      <c r="N795" s="38" t="n"/>
      <c r="O795" s="38" t="n"/>
      <c r="P795" s="38" t="n"/>
      <c r="Q795" s="38" t="n"/>
      <c r="U795" s="63" t="n"/>
    </row>
    <row r="796" ht="99.5" customHeight="1" thickBot="1">
      <c r="A796" s="26" t="n"/>
      <c r="B796" s="35" t="n"/>
      <c r="C796" s="35" t="n"/>
      <c r="D796" s="35" t="n"/>
      <c r="G796" s="36" t="n"/>
      <c r="H796" s="35" t="n"/>
      <c r="K796" s="39" t="n"/>
      <c r="L796" s="38" t="n"/>
      <c r="M796" s="38" t="n"/>
      <c r="N796" s="38" t="n"/>
      <c r="O796" s="38" t="n"/>
      <c r="P796" s="38" t="n"/>
      <c r="Q796" s="38" t="n"/>
      <c r="U796" s="63" t="n"/>
    </row>
    <row r="797" ht="99.5" customHeight="1" thickBot="1">
      <c r="A797" s="26" t="n"/>
      <c r="B797" s="35" t="n"/>
      <c r="C797" s="35" t="n"/>
      <c r="D797" s="35" t="n"/>
      <c r="G797" s="36" t="n"/>
      <c r="H797" s="35" t="n"/>
      <c r="K797" s="39" t="n"/>
      <c r="L797" s="38" t="n"/>
      <c r="M797" s="38" t="n"/>
      <c r="N797" s="38" t="n"/>
      <c r="O797" s="38" t="n"/>
      <c r="P797" s="38" t="n"/>
      <c r="Q797" s="38" t="n"/>
      <c r="U797" s="63" t="n"/>
    </row>
    <row r="798" ht="99.5" customHeight="1" thickBot="1">
      <c r="A798" s="26" t="n"/>
      <c r="B798" s="35" t="n"/>
      <c r="C798" s="35" t="n"/>
      <c r="D798" s="35" t="n"/>
      <c r="G798" s="36" t="n"/>
      <c r="H798" s="35" t="n"/>
      <c r="K798" s="39" t="n"/>
      <c r="L798" s="38" t="n"/>
      <c r="M798" s="38" t="n"/>
      <c r="N798" s="38" t="n"/>
      <c r="O798" s="38" t="n"/>
      <c r="P798" s="38" t="n"/>
      <c r="Q798" s="38" t="n"/>
      <c r="U798" s="63" t="n"/>
    </row>
    <row r="799" ht="99.5" customHeight="1" thickBot="1">
      <c r="A799" s="26" t="n"/>
      <c r="B799" s="35" t="n"/>
      <c r="C799" s="35" t="n"/>
      <c r="D799" s="35" t="n"/>
      <c r="G799" s="36" t="n"/>
      <c r="H799" s="35" t="n"/>
      <c r="K799" s="39" t="n"/>
      <c r="L799" s="38" t="n"/>
      <c r="M799" s="38" t="n"/>
      <c r="N799" s="38" t="n"/>
      <c r="O799" s="38" t="n"/>
      <c r="P799" s="38" t="n"/>
      <c r="Q799" s="38" t="n"/>
      <c r="U799" s="63" t="n"/>
    </row>
    <row r="800" ht="99.5" customHeight="1" thickBot="1">
      <c r="A800" s="26" t="n"/>
      <c r="B800" s="35" t="n"/>
      <c r="C800" s="35" t="n"/>
      <c r="D800" s="35" t="n"/>
      <c r="G800" s="36" t="n"/>
      <c r="H800" s="35" t="n"/>
      <c r="K800" s="39" t="n"/>
      <c r="L800" s="38" t="n"/>
      <c r="M800" s="38" t="n"/>
      <c r="N800" s="38" t="n"/>
      <c r="O800" s="38" t="n"/>
      <c r="P800" s="38" t="n"/>
      <c r="Q800" s="38" t="n"/>
      <c r="U800" s="63" t="n"/>
    </row>
    <row r="801" ht="99.5" customHeight="1" thickBot="1">
      <c r="A801" s="26" t="n"/>
      <c r="B801" s="35" t="n"/>
      <c r="C801" s="35" t="n"/>
      <c r="D801" s="35" t="n"/>
      <c r="G801" s="36" t="n"/>
      <c r="H801" s="35" t="n"/>
      <c r="K801" s="39" t="n"/>
      <c r="L801" s="38" t="n"/>
      <c r="M801" s="38" t="n"/>
      <c r="N801" s="38" t="n"/>
      <c r="O801" s="38" t="n"/>
      <c r="P801" s="38" t="n"/>
      <c r="Q801" s="38" t="n"/>
      <c r="U801" s="63" t="n"/>
    </row>
    <row r="802" ht="99.5" customHeight="1" thickBot="1">
      <c r="A802" s="26" t="n"/>
      <c r="B802" s="35" t="n"/>
      <c r="C802" s="35" t="n"/>
      <c r="D802" s="35" t="n"/>
      <c r="G802" s="36" t="n"/>
      <c r="H802" s="35" t="n"/>
      <c r="K802" s="39" t="n"/>
      <c r="L802" s="38" t="n"/>
      <c r="M802" s="38" t="n"/>
      <c r="N802" s="38" t="n"/>
      <c r="O802" s="38" t="n"/>
      <c r="P802" s="38" t="n"/>
      <c r="Q802" s="38" t="n"/>
      <c r="U802" s="63" t="n"/>
    </row>
    <row r="803" ht="99.5" customHeight="1" thickBot="1">
      <c r="A803" s="26" t="n"/>
      <c r="B803" s="35" t="n"/>
      <c r="C803" s="35" t="n"/>
      <c r="D803" s="35" t="n"/>
      <c r="G803" s="36" t="n"/>
      <c r="H803" s="35" t="n"/>
      <c r="K803" s="39" t="n"/>
      <c r="L803" s="38" t="n"/>
      <c r="M803" s="38" t="n"/>
      <c r="N803" s="38" t="n"/>
      <c r="O803" s="38" t="n"/>
      <c r="P803" s="38" t="n"/>
      <c r="Q803" s="38" t="n"/>
      <c r="U803" s="63" t="n"/>
    </row>
    <row r="804" ht="99.5" customHeight="1" thickBot="1">
      <c r="A804" s="26" t="n"/>
      <c r="B804" s="35" t="n"/>
      <c r="C804" s="35" t="n"/>
      <c r="D804" s="35" t="n"/>
      <c r="G804" s="36" t="n"/>
      <c r="H804" s="35" t="n"/>
      <c r="K804" s="39" t="n"/>
      <c r="L804" s="38" t="n"/>
      <c r="M804" s="38" t="n"/>
      <c r="N804" s="38" t="n"/>
      <c r="O804" s="38" t="n"/>
      <c r="P804" s="38" t="n"/>
      <c r="Q804" s="38" t="n"/>
      <c r="U804" s="63" t="n"/>
    </row>
    <row r="805" ht="99.5" customHeight="1" thickBot="1">
      <c r="A805" s="26" t="n"/>
      <c r="B805" s="35" t="n"/>
      <c r="C805" s="35" t="n"/>
      <c r="D805" s="35" t="n"/>
      <c r="G805" s="36" t="n"/>
      <c r="H805" s="35" t="n"/>
      <c r="K805" s="39" t="n"/>
      <c r="L805" s="38" t="n"/>
      <c r="M805" s="38" t="n"/>
      <c r="N805" s="38" t="n"/>
      <c r="O805" s="38" t="n"/>
      <c r="P805" s="38" t="n"/>
      <c r="Q805" s="38" t="n"/>
      <c r="U805" s="63" t="n"/>
    </row>
    <row r="806" ht="99.5" customHeight="1" thickBot="1">
      <c r="A806" s="26" t="n"/>
      <c r="B806" s="35" t="n"/>
      <c r="C806" s="35" t="n"/>
      <c r="D806" s="35" t="n"/>
      <c r="G806" s="36" t="n"/>
      <c r="H806" s="35" t="n"/>
      <c r="K806" s="39" t="n"/>
      <c r="L806" s="38" t="n"/>
      <c r="M806" s="38" t="n"/>
      <c r="N806" s="38" t="n"/>
      <c r="O806" s="38" t="n"/>
      <c r="P806" s="38" t="n"/>
      <c r="Q806" s="38" t="n"/>
      <c r="U806" s="63" t="n"/>
    </row>
    <row r="807" ht="99.5" customHeight="1" thickBot="1">
      <c r="A807" s="26" t="n"/>
      <c r="B807" s="35" t="n"/>
      <c r="C807" s="35" t="n"/>
      <c r="D807" s="35" t="n"/>
      <c r="G807" s="36" t="n"/>
      <c r="H807" s="35" t="n"/>
      <c r="K807" s="39" t="n"/>
      <c r="L807" s="38" t="n"/>
      <c r="M807" s="38" t="n"/>
      <c r="N807" s="38" t="n"/>
      <c r="O807" s="38" t="n"/>
      <c r="P807" s="38" t="n"/>
      <c r="Q807" s="38" t="n"/>
      <c r="U807" s="63" t="n"/>
    </row>
    <row r="808" ht="99.5" customHeight="1" thickBot="1">
      <c r="A808" s="26" t="n"/>
      <c r="B808" s="35" t="n"/>
      <c r="C808" s="35" t="n"/>
      <c r="D808" s="35" t="n"/>
      <c r="G808" s="36" t="n"/>
      <c r="H808" s="35" t="n"/>
      <c r="K808" s="39" t="n"/>
      <c r="L808" s="38" t="n"/>
      <c r="M808" s="38" t="n"/>
      <c r="N808" s="38" t="n"/>
      <c r="O808" s="38" t="n"/>
      <c r="P808" s="38" t="n"/>
      <c r="Q808" s="38" t="n"/>
      <c r="U808" s="63" t="n"/>
    </row>
    <row r="809" ht="99.5" customHeight="1" thickBot="1">
      <c r="A809" s="26" t="n"/>
      <c r="B809" s="35" t="n"/>
      <c r="C809" s="35" t="n"/>
      <c r="D809" s="35" t="n"/>
      <c r="G809" s="36" t="n"/>
      <c r="H809" s="35" t="n"/>
      <c r="K809" s="39" t="n"/>
      <c r="L809" s="38" t="n"/>
      <c r="M809" s="38" t="n"/>
      <c r="N809" s="38" t="n"/>
      <c r="O809" s="38" t="n"/>
      <c r="P809" s="38" t="n"/>
      <c r="Q809" s="38" t="n"/>
      <c r="U809" s="63" t="n"/>
    </row>
    <row r="810" ht="99.5" customHeight="1" thickBot="1">
      <c r="A810" s="26" t="n"/>
      <c r="B810" s="35" t="n"/>
      <c r="C810" s="35" t="n"/>
      <c r="D810" s="35" t="n"/>
      <c r="G810" s="36" t="n"/>
      <c r="H810" s="35" t="n"/>
      <c r="K810" s="39" t="n"/>
      <c r="L810" s="38" t="n"/>
      <c r="M810" s="38" t="n"/>
      <c r="N810" s="38" t="n"/>
      <c r="O810" s="38" t="n"/>
      <c r="P810" s="38" t="n"/>
      <c r="Q810" s="38" t="n"/>
      <c r="U810" s="63" t="n"/>
    </row>
    <row r="811" ht="99.5" customHeight="1" thickBot="1">
      <c r="A811" s="26" t="n"/>
      <c r="B811" s="35" t="n"/>
      <c r="C811" s="35" t="n"/>
      <c r="D811" s="35" t="n"/>
      <c r="G811" s="36" t="n"/>
      <c r="H811" s="35" t="n"/>
      <c r="K811" s="39" t="n"/>
      <c r="L811" s="38" t="n"/>
      <c r="M811" s="38" t="n"/>
      <c r="N811" s="38" t="n"/>
      <c r="O811" s="38" t="n"/>
      <c r="P811" s="38" t="n"/>
      <c r="Q811" s="38" t="n"/>
      <c r="U811" s="63" t="n"/>
    </row>
    <row r="812" ht="99.5" customHeight="1" thickBot="1">
      <c r="A812" s="26" t="n"/>
      <c r="B812" s="35" t="n"/>
      <c r="C812" s="35" t="n"/>
      <c r="D812" s="35" t="n"/>
      <c r="G812" s="36" t="n"/>
      <c r="H812" s="35" t="n"/>
      <c r="K812" s="39" t="n"/>
      <c r="L812" s="38" t="n"/>
      <c r="M812" s="38" t="n"/>
      <c r="N812" s="38" t="n"/>
      <c r="O812" s="38" t="n"/>
      <c r="P812" s="38" t="n"/>
      <c r="Q812" s="38" t="n"/>
      <c r="U812" s="63" t="n"/>
    </row>
    <row r="813" ht="99.5" customHeight="1" thickBot="1">
      <c r="A813" s="26" t="n"/>
      <c r="B813" s="35" t="n"/>
      <c r="C813" s="35" t="n"/>
      <c r="D813" s="35" t="n"/>
      <c r="G813" s="36" t="n"/>
      <c r="H813" s="35" t="n"/>
      <c r="K813" s="39" t="n"/>
      <c r="L813" s="38" t="n"/>
      <c r="M813" s="38" t="n"/>
      <c r="N813" s="38" t="n"/>
      <c r="O813" s="38" t="n"/>
      <c r="P813" s="38" t="n"/>
      <c r="Q813" s="38" t="n"/>
      <c r="U813" s="63" t="n"/>
    </row>
    <row r="814" ht="99.5" customHeight="1" thickBot="1">
      <c r="A814" s="26" t="n"/>
      <c r="B814" s="35" t="n"/>
      <c r="C814" s="35" t="n"/>
      <c r="D814" s="35" t="n"/>
      <c r="G814" s="36" t="n"/>
      <c r="H814" s="35" t="n"/>
      <c r="K814" s="39" t="n"/>
      <c r="L814" s="38" t="n"/>
      <c r="M814" s="38" t="n"/>
      <c r="N814" s="38" t="n"/>
      <c r="O814" s="38" t="n"/>
      <c r="P814" s="38" t="n"/>
      <c r="Q814" s="38" t="n"/>
      <c r="U814" s="63" t="n"/>
    </row>
    <row r="815" ht="99.5" customHeight="1" thickBot="1">
      <c r="A815" s="26" t="n"/>
      <c r="B815" s="35" t="n"/>
      <c r="C815" s="35" t="n"/>
      <c r="D815" s="35" t="n"/>
      <c r="G815" s="36" t="n"/>
      <c r="H815" s="35" t="n"/>
      <c r="K815" s="39" t="n"/>
      <c r="L815" s="38" t="n"/>
      <c r="M815" s="38" t="n"/>
      <c r="N815" s="38" t="n"/>
      <c r="O815" s="38" t="n"/>
      <c r="P815" s="38" t="n"/>
      <c r="Q815" s="38" t="n"/>
      <c r="U815" s="63" t="n"/>
    </row>
    <row r="816" ht="99.5" customHeight="1" thickBot="1">
      <c r="A816" s="26" t="n"/>
      <c r="B816" s="35" t="n"/>
      <c r="C816" s="35" t="n"/>
      <c r="D816" s="35" t="n"/>
      <c r="G816" s="36" t="n"/>
      <c r="H816" s="35" t="n"/>
      <c r="K816" s="39" t="n"/>
      <c r="L816" s="38" t="n"/>
      <c r="M816" s="38" t="n"/>
      <c r="N816" s="38" t="n"/>
      <c r="O816" s="38" t="n"/>
      <c r="P816" s="38" t="n"/>
      <c r="Q816" s="38" t="n"/>
      <c r="U816" s="63" t="n"/>
    </row>
    <row r="817" ht="99.5" customHeight="1" thickBot="1">
      <c r="A817" s="26" t="n"/>
      <c r="B817" s="35" t="n"/>
      <c r="C817" s="35" t="n"/>
      <c r="D817" s="35" t="n"/>
      <c r="G817" s="36" t="n"/>
      <c r="H817" s="35" t="n"/>
      <c r="K817" s="39" t="n"/>
      <c r="L817" s="38" t="n"/>
      <c r="M817" s="38" t="n"/>
      <c r="N817" s="38" t="n"/>
      <c r="O817" s="38" t="n"/>
      <c r="P817" s="38" t="n"/>
      <c r="Q817" s="38" t="n"/>
      <c r="U817" s="63" t="n"/>
    </row>
    <row r="818" ht="99.5" customHeight="1" thickBot="1">
      <c r="A818" s="26" t="n"/>
      <c r="B818" s="35" t="n"/>
      <c r="C818" s="35" t="n"/>
      <c r="D818" s="35" t="n"/>
      <c r="G818" s="36" t="n"/>
      <c r="H818" s="35" t="n"/>
      <c r="K818" s="39" t="n"/>
      <c r="L818" s="38" t="n"/>
      <c r="M818" s="38" t="n"/>
      <c r="N818" s="38" t="n"/>
      <c r="O818" s="38" t="n"/>
      <c r="P818" s="38" t="n"/>
      <c r="Q818" s="38" t="n"/>
      <c r="U818" s="63" t="n"/>
    </row>
    <row r="819" ht="99.5" customHeight="1" thickBot="1">
      <c r="A819" s="26" t="n"/>
      <c r="B819" s="35" t="n"/>
      <c r="C819" s="35" t="n"/>
      <c r="D819" s="35" t="n"/>
      <c r="G819" s="36" t="n"/>
      <c r="H819" s="35" t="n"/>
      <c r="K819" s="39" t="n"/>
      <c r="L819" s="38" t="n"/>
      <c r="M819" s="38" t="n"/>
      <c r="N819" s="38" t="n"/>
      <c r="O819" s="38" t="n"/>
      <c r="P819" s="38" t="n"/>
      <c r="Q819" s="38" t="n"/>
      <c r="U819" s="63" t="n"/>
    </row>
    <row r="820" ht="99.5" customHeight="1" thickBot="1">
      <c r="A820" s="26" t="n"/>
      <c r="B820" s="35" t="n"/>
      <c r="C820" s="35" t="n"/>
      <c r="D820" s="35" t="n"/>
      <c r="G820" s="36" t="n"/>
      <c r="H820" s="35" t="n"/>
      <c r="K820" s="39" t="n"/>
      <c r="L820" s="38" t="n"/>
      <c r="M820" s="38" t="n"/>
      <c r="N820" s="38" t="n"/>
      <c r="O820" s="38" t="n"/>
      <c r="P820" s="38" t="n"/>
      <c r="Q820" s="38" t="n"/>
      <c r="U820" s="63" t="n"/>
    </row>
    <row r="821" ht="99.5" customHeight="1" thickBot="1">
      <c r="A821" s="26" t="n"/>
      <c r="B821" s="35" t="n"/>
      <c r="C821" s="35" t="n"/>
      <c r="D821" s="35" t="n"/>
      <c r="G821" s="36" t="n"/>
      <c r="H821" s="35" t="n"/>
      <c r="K821" s="39" t="n"/>
      <c r="L821" s="38" t="n"/>
      <c r="M821" s="38" t="n"/>
      <c r="N821" s="38" t="n"/>
      <c r="O821" s="38" t="n"/>
      <c r="P821" s="38" t="n"/>
      <c r="Q821" s="38" t="n"/>
      <c r="U821" s="63" t="n"/>
    </row>
    <row r="822" ht="99.5" customHeight="1" thickBot="1">
      <c r="A822" s="26" t="n"/>
      <c r="B822" s="35" t="n"/>
      <c r="C822" s="35" t="n"/>
      <c r="D822" s="35" t="n"/>
      <c r="G822" s="36" t="n"/>
      <c r="H822" s="35" t="n"/>
      <c r="K822" s="39" t="n"/>
      <c r="L822" s="38" t="n"/>
      <c r="M822" s="38" t="n"/>
      <c r="N822" s="38" t="n"/>
      <c r="O822" s="38" t="n"/>
      <c r="P822" s="38" t="n"/>
      <c r="Q822" s="38" t="n"/>
      <c r="U822" s="63" t="n"/>
    </row>
    <row r="823" ht="99.5" customHeight="1" thickBot="1">
      <c r="A823" s="26" t="n"/>
      <c r="B823" s="35" t="n"/>
      <c r="C823" s="35" t="n"/>
      <c r="D823" s="35" t="n"/>
      <c r="G823" s="36" t="n"/>
      <c r="H823" s="35" t="n"/>
      <c r="K823" s="39" t="n"/>
      <c r="L823" s="38" t="n"/>
      <c r="M823" s="38" t="n"/>
      <c r="N823" s="38" t="n"/>
      <c r="O823" s="38" t="n"/>
      <c r="P823" s="38" t="n"/>
      <c r="Q823" s="38" t="n"/>
      <c r="U823" s="63" t="n"/>
    </row>
    <row r="824" ht="99.5" customHeight="1" thickBot="1">
      <c r="A824" s="26" t="n"/>
      <c r="B824" s="35" t="n"/>
      <c r="C824" s="35" t="n"/>
      <c r="D824" s="35" t="n"/>
      <c r="G824" s="36" t="n"/>
      <c r="H824" s="35" t="n"/>
      <c r="K824" s="39" t="n"/>
      <c r="L824" s="38" t="n"/>
      <c r="M824" s="38" t="n"/>
      <c r="N824" s="38" t="n"/>
      <c r="O824" s="38" t="n"/>
      <c r="P824" s="38" t="n"/>
      <c r="Q824" s="38" t="n"/>
      <c r="U824" s="63" t="n"/>
    </row>
    <row r="825" ht="99.5" customHeight="1" thickBot="1">
      <c r="A825" s="26" t="n"/>
      <c r="B825" s="35" t="n"/>
      <c r="C825" s="35" t="n"/>
      <c r="D825" s="35" t="n"/>
      <c r="G825" s="36" t="n"/>
      <c r="H825" s="35" t="n"/>
      <c r="K825" s="39" t="n"/>
      <c r="L825" s="38" t="n"/>
      <c r="M825" s="38" t="n"/>
      <c r="N825" s="38" t="n"/>
      <c r="O825" s="38" t="n"/>
      <c r="P825" s="38" t="n"/>
      <c r="Q825" s="38" t="n"/>
      <c r="U825" s="63" t="n"/>
    </row>
    <row r="826" ht="99.5" customHeight="1" thickBot="1">
      <c r="A826" s="26" t="n"/>
      <c r="B826" s="35" t="n"/>
      <c r="C826" s="35" t="n"/>
      <c r="D826" s="35" t="n"/>
      <c r="G826" s="36" t="n"/>
      <c r="H826" s="35" t="n"/>
      <c r="K826" s="39" t="n"/>
      <c r="L826" s="38" t="n"/>
      <c r="M826" s="38" t="n"/>
      <c r="N826" s="38" t="n"/>
      <c r="O826" s="38" t="n"/>
      <c r="P826" s="38" t="n"/>
      <c r="Q826" s="38" t="n"/>
      <c r="U826" s="63" t="n"/>
    </row>
    <row r="827" ht="99.5" customHeight="1" thickBot="1">
      <c r="A827" s="26" t="n"/>
      <c r="B827" s="35" t="n"/>
      <c r="C827" s="35" t="n"/>
      <c r="D827" s="35" t="n"/>
      <c r="G827" s="36" t="n"/>
      <c r="H827" s="35" t="n"/>
      <c r="K827" s="39" t="n"/>
      <c r="L827" s="38" t="n"/>
      <c r="M827" s="38" t="n"/>
      <c r="N827" s="38" t="n"/>
      <c r="O827" s="38" t="n"/>
      <c r="P827" s="38" t="n"/>
      <c r="Q827" s="38" t="n"/>
      <c r="U827" s="63" t="n"/>
    </row>
    <row r="828" ht="99.5" customHeight="1" thickBot="1">
      <c r="A828" s="26" t="n"/>
      <c r="B828" s="35" t="n"/>
      <c r="C828" s="35" t="n"/>
      <c r="D828" s="35" t="n"/>
      <c r="G828" s="36" t="n"/>
      <c r="H828" s="35" t="n"/>
      <c r="K828" s="39" t="n"/>
      <c r="L828" s="38" t="n"/>
      <c r="M828" s="38" t="n"/>
      <c r="N828" s="38" t="n"/>
      <c r="O828" s="38" t="n"/>
      <c r="P828" s="38" t="n"/>
      <c r="Q828" s="38" t="n"/>
      <c r="U828" s="63" t="n"/>
    </row>
    <row r="829" ht="99.5" customHeight="1" thickBot="1">
      <c r="A829" s="26" t="n"/>
      <c r="B829" s="35" t="n"/>
      <c r="C829" s="35" t="n"/>
      <c r="D829" s="35" t="n"/>
      <c r="G829" s="36" t="n"/>
      <c r="H829" s="35" t="n"/>
      <c r="K829" s="39" t="n"/>
      <c r="L829" s="38" t="n"/>
      <c r="M829" s="38" t="n"/>
      <c r="N829" s="38" t="n"/>
      <c r="O829" s="38" t="n"/>
      <c r="P829" s="38" t="n"/>
      <c r="Q829" s="38" t="n"/>
      <c r="U829" s="63" t="n"/>
    </row>
    <row r="830" ht="99.5" customHeight="1" thickBot="1">
      <c r="A830" s="26" t="n"/>
      <c r="B830" s="35" t="n"/>
      <c r="C830" s="35" t="n"/>
      <c r="D830" s="35" t="n"/>
      <c r="G830" s="36" t="n"/>
      <c r="H830" s="35" t="n"/>
      <c r="K830" s="39" t="n"/>
      <c r="L830" s="38" t="n"/>
      <c r="M830" s="38" t="n"/>
      <c r="N830" s="38" t="n"/>
      <c r="O830" s="38" t="n"/>
      <c r="P830" s="38" t="n"/>
      <c r="Q830" s="38" t="n"/>
      <c r="U830" s="63" t="n"/>
    </row>
    <row r="831" ht="99.5" customHeight="1" thickBot="1">
      <c r="A831" s="26" t="n"/>
      <c r="B831" s="35" t="n"/>
      <c r="C831" s="35" t="n"/>
      <c r="D831" s="35" t="n"/>
      <c r="G831" s="36" t="n"/>
      <c r="H831" s="35" t="n"/>
      <c r="K831" s="39" t="n"/>
      <c r="L831" s="38" t="n"/>
      <c r="M831" s="38" t="n"/>
      <c r="N831" s="38" t="n"/>
      <c r="O831" s="38" t="n"/>
      <c r="P831" s="38" t="n"/>
      <c r="Q831" s="38" t="n"/>
      <c r="U831" s="63" t="n"/>
    </row>
    <row r="832" ht="99.5" customHeight="1" thickBot="1">
      <c r="A832" s="26" t="n"/>
      <c r="B832" s="35" t="n"/>
      <c r="C832" s="35" t="n"/>
      <c r="D832" s="35" t="n"/>
      <c r="G832" s="36" t="n"/>
      <c r="H832" s="35" t="n"/>
      <c r="K832" s="39" t="n"/>
      <c r="L832" s="38" t="n"/>
      <c r="M832" s="38" t="n"/>
      <c r="N832" s="38" t="n"/>
      <c r="O832" s="38" t="n"/>
      <c r="P832" s="38" t="n"/>
      <c r="Q832" s="38" t="n"/>
      <c r="U832" s="63" t="n"/>
    </row>
    <row r="833" ht="99.5" customHeight="1" thickBot="1">
      <c r="A833" s="26" t="n"/>
      <c r="B833" s="35" t="n"/>
      <c r="C833" s="35" t="n"/>
      <c r="D833" s="35" t="n"/>
      <c r="G833" s="36" t="n"/>
      <c r="H833" s="35" t="n"/>
      <c r="K833" s="39" t="n"/>
      <c r="L833" s="38" t="n"/>
      <c r="M833" s="38" t="n"/>
      <c r="N833" s="38" t="n"/>
      <c r="O833" s="38" t="n"/>
      <c r="P833" s="38" t="n"/>
      <c r="Q833" s="38" t="n"/>
      <c r="U833" s="63" t="n"/>
    </row>
    <row r="834" ht="99.5" customHeight="1" thickBot="1">
      <c r="A834" s="26" t="n"/>
      <c r="B834" s="35" t="n"/>
      <c r="C834" s="35" t="n"/>
      <c r="D834" s="35" t="n"/>
      <c r="G834" s="36" t="n"/>
      <c r="H834" s="35" t="n"/>
      <c r="K834" s="39" t="n"/>
      <c r="L834" s="38" t="n"/>
      <c r="M834" s="38" t="n"/>
      <c r="N834" s="38" t="n"/>
      <c r="O834" s="38" t="n"/>
      <c r="P834" s="38" t="n"/>
      <c r="Q834" s="38" t="n"/>
      <c r="U834" s="63" t="n"/>
    </row>
    <row r="835" ht="99.5" customHeight="1" thickBot="1">
      <c r="A835" s="26" t="n"/>
      <c r="B835" s="35" t="n"/>
      <c r="C835" s="35" t="n"/>
      <c r="D835" s="35" t="n"/>
      <c r="G835" s="36" t="n"/>
      <c r="H835" s="35" t="n"/>
      <c r="K835" s="39" t="n"/>
      <c r="L835" s="38" t="n"/>
      <c r="M835" s="38" t="n"/>
      <c r="N835" s="38" t="n"/>
      <c r="O835" s="38" t="n"/>
      <c r="P835" s="38" t="n"/>
      <c r="Q835" s="38" t="n"/>
      <c r="U835" s="63" t="n"/>
    </row>
    <row r="836" ht="99.5" customHeight="1" thickBot="1">
      <c r="A836" s="26" t="n"/>
      <c r="B836" s="35" t="n"/>
      <c r="C836" s="35" t="n"/>
      <c r="D836" s="35" t="n"/>
      <c r="G836" s="36" t="n"/>
      <c r="H836" s="35" t="n"/>
      <c r="K836" s="39" t="n"/>
      <c r="L836" s="38" t="n"/>
      <c r="M836" s="38" t="n"/>
      <c r="N836" s="38" t="n"/>
      <c r="O836" s="38" t="n"/>
      <c r="P836" s="38" t="n"/>
      <c r="Q836" s="38" t="n"/>
      <c r="U836" s="63" t="n"/>
    </row>
    <row r="837" ht="99.5" customHeight="1" thickBot="1">
      <c r="A837" s="26" t="n"/>
      <c r="B837" s="35" t="n"/>
      <c r="C837" s="35" t="n"/>
      <c r="D837" s="35" t="n"/>
      <c r="G837" s="36" t="n"/>
      <c r="H837" s="35" t="n"/>
      <c r="K837" s="39" t="n"/>
      <c r="L837" s="38" t="n"/>
      <c r="M837" s="38" t="n"/>
      <c r="N837" s="38" t="n"/>
      <c r="O837" s="38" t="n"/>
      <c r="P837" s="38" t="n"/>
      <c r="Q837" s="38" t="n"/>
      <c r="U837" s="63" t="n"/>
    </row>
    <row r="838" ht="99.5" customHeight="1" thickBot="1">
      <c r="A838" s="26" t="n"/>
      <c r="B838" s="35" t="n"/>
      <c r="C838" s="35" t="n"/>
      <c r="D838" s="35" t="n"/>
      <c r="G838" s="36" t="n"/>
      <c r="H838" s="35" t="n"/>
      <c r="K838" s="39" t="n"/>
      <c r="L838" s="38" t="n"/>
      <c r="M838" s="38" t="n"/>
      <c r="N838" s="38" t="n"/>
      <c r="O838" s="38" t="n"/>
      <c r="P838" s="38" t="n"/>
      <c r="Q838" s="38" t="n"/>
      <c r="U838" s="63" t="n"/>
    </row>
    <row r="839" ht="99.5" customHeight="1" thickBot="1">
      <c r="A839" s="26" t="n"/>
      <c r="B839" s="35" t="n"/>
      <c r="C839" s="35" t="n"/>
      <c r="D839" s="35" t="n"/>
      <c r="G839" s="36" t="n"/>
      <c r="H839" s="35" t="n"/>
      <c r="K839" s="39" t="n"/>
      <c r="L839" s="38" t="n"/>
      <c r="M839" s="38" t="n"/>
      <c r="N839" s="38" t="n"/>
      <c r="O839" s="38" t="n"/>
      <c r="P839" s="38" t="n"/>
      <c r="Q839" s="38" t="n"/>
      <c r="U839" s="63" t="n"/>
    </row>
    <row r="840" ht="99.5" customHeight="1" thickBot="1">
      <c r="A840" s="26" t="n"/>
      <c r="B840" s="35" t="n"/>
      <c r="C840" s="35" t="n"/>
      <c r="D840" s="35" t="n"/>
      <c r="G840" s="36" t="n"/>
      <c r="H840" s="35" t="n"/>
      <c r="K840" s="39" t="n"/>
      <c r="L840" s="38" t="n"/>
      <c r="M840" s="38" t="n"/>
      <c r="N840" s="38" t="n"/>
      <c r="O840" s="38" t="n"/>
      <c r="P840" s="38" t="n"/>
      <c r="Q840" s="38" t="n"/>
      <c r="U840" s="63" t="n"/>
    </row>
    <row r="841" ht="99.5" customHeight="1" thickBot="1">
      <c r="A841" s="26" t="n"/>
      <c r="B841" s="35" t="n"/>
      <c r="C841" s="35" t="n"/>
      <c r="D841" s="35" t="n"/>
      <c r="G841" s="36" t="n"/>
      <c r="H841" s="35" t="n"/>
      <c r="K841" s="39" t="n"/>
      <c r="L841" s="38" t="n"/>
      <c r="M841" s="38" t="n"/>
      <c r="N841" s="38" t="n"/>
      <c r="O841" s="38" t="n"/>
      <c r="P841" s="38" t="n"/>
      <c r="Q841" s="38" t="n"/>
      <c r="U841" s="63" t="n"/>
    </row>
    <row r="842" ht="99.5" customHeight="1" thickBot="1">
      <c r="A842" s="26" t="n"/>
      <c r="B842" s="35" t="n"/>
      <c r="C842" s="35" t="n"/>
      <c r="D842" s="35" t="n"/>
      <c r="G842" s="36" t="n"/>
      <c r="H842" s="35" t="n"/>
      <c r="K842" s="39" t="n"/>
      <c r="L842" s="38" t="n"/>
      <c r="M842" s="38" t="n"/>
      <c r="N842" s="38" t="n"/>
      <c r="O842" s="38" t="n"/>
      <c r="P842" s="38" t="n"/>
      <c r="Q842" s="38" t="n"/>
      <c r="U842" s="63" t="n"/>
    </row>
    <row r="843" ht="99.5" customHeight="1" thickBot="1">
      <c r="A843" s="26" t="n"/>
      <c r="B843" s="35" t="n"/>
      <c r="C843" s="35" t="n"/>
      <c r="D843" s="35" t="n"/>
      <c r="G843" s="36" t="n"/>
      <c r="H843" s="35" t="n"/>
      <c r="K843" s="39" t="n"/>
      <c r="L843" s="38" t="n"/>
      <c r="M843" s="38" t="n"/>
      <c r="N843" s="38" t="n"/>
      <c r="O843" s="38" t="n"/>
      <c r="P843" s="38" t="n"/>
      <c r="Q843" s="38" t="n"/>
      <c r="U843" s="63" t="n"/>
    </row>
    <row r="844" ht="99.5" customHeight="1" thickBot="1">
      <c r="A844" s="26" t="n"/>
      <c r="B844" s="35" t="n"/>
      <c r="C844" s="35" t="n"/>
      <c r="D844" s="35" t="n"/>
      <c r="G844" s="36" t="n"/>
      <c r="H844" s="35" t="n"/>
      <c r="K844" s="39" t="n"/>
      <c r="L844" s="38" t="n"/>
      <c r="M844" s="38" t="n"/>
      <c r="N844" s="38" t="n"/>
      <c r="O844" s="38" t="n"/>
      <c r="P844" s="38" t="n"/>
      <c r="Q844" s="38" t="n"/>
      <c r="U844" s="63" t="n"/>
    </row>
    <row r="845" ht="99.5" customHeight="1" thickBot="1">
      <c r="A845" s="26" t="n"/>
      <c r="B845" s="35" t="n"/>
      <c r="C845" s="35" t="n"/>
      <c r="D845" s="35" t="n"/>
      <c r="G845" s="36" t="n"/>
      <c r="H845" s="35" t="n"/>
      <c r="K845" s="39" t="n"/>
      <c r="L845" s="38" t="n"/>
      <c r="M845" s="38" t="n"/>
      <c r="N845" s="38" t="n"/>
      <c r="O845" s="38" t="n"/>
      <c r="P845" s="38" t="n"/>
      <c r="Q845" s="38" t="n"/>
      <c r="U845" s="63" t="n"/>
    </row>
    <row r="846" ht="99.5" customHeight="1" thickBot="1">
      <c r="A846" s="26" t="n"/>
      <c r="B846" s="35" t="n"/>
      <c r="C846" s="35" t="n"/>
      <c r="D846" s="35" t="n"/>
      <c r="G846" s="36" t="n"/>
      <c r="H846" s="35" t="n"/>
      <c r="K846" s="39" t="n"/>
      <c r="L846" s="38" t="n"/>
      <c r="M846" s="38" t="n"/>
      <c r="N846" s="38" t="n"/>
      <c r="O846" s="38" t="n"/>
      <c r="P846" s="38" t="n"/>
      <c r="Q846" s="38" t="n"/>
      <c r="U846" s="63" t="n"/>
    </row>
    <row r="847" ht="99.5" customHeight="1" thickBot="1">
      <c r="A847" s="26" t="n"/>
      <c r="B847" s="35" t="n"/>
      <c r="C847" s="35" t="n"/>
      <c r="D847" s="35" t="n"/>
      <c r="G847" s="36" t="n"/>
      <c r="H847" s="35" t="n"/>
      <c r="K847" s="39" t="n"/>
      <c r="L847" s="38" t="n"/>
      <c r="M847" s="38" t="n"/>
      <c r="N847" s="38" t="n"/>
      <c r="O847" s="38" t="n"/>
      <c r="P847" s="38" t="n"/>
      <c r="Q847" s="38" t="n"/>
      <c r="U847" s="63" t="n"/>
    </row>
    <row r="848" ht="99.5" customHeight="1" thickBot="1">
      <c r="A848" s="26" t="n"/>
      <c r="B848" s="35" t="n"/>
      <c r="C848" s="35" t="n"/>
      <c r="D848" s="35" t="n"/>
      <c r="G848" s="36" t="n"/>
      <c r="H848" s="35" t="n"/>
      <c r="K848" s="39" t="n"/>
      <c r="L848" s="38" t="n"/>
      <c r="M848" s="38" t="n"/>
      <c r="N848" s="38" t="n"/>
      <c r="O848" s="38" t="n"/>
      <c r="P848" s="38" t="n"/>
      <c r="Q848" s="38" t="n"/>
      <c r="U848" s="63" t="n"/>
    </row>
    <row r="849" ht="99.5" customHeight="1" thickBot="1">
      <c r="A849" s="26" t="n"/>
      <c r="B849" s="35" t="n"/>
      <c r="C849" s="35" t="n"/>
      <c r="D849" s="35" t="n"/>
      <c r="G849" s="36" t="n"/>
      <c r="H849" s="35" t="n"/>
      <c r="K849" s="39" t="n"/>
      <c r="L849" s="38" t="n"/>
      <c r="M849" s="38" t="n"/>
      <c r="N849" s="38" t="n"/>
      <c r="O849" s="38" t="n"/>
      <c r="P849" s="38" t="n"/>
      <c r="Q849" s="38" t="n"/>
      <c r="U849" s="63" t="n"/>
    </row>
    <row r="850" ht="99.5" customHeight="1" thickBot="1">
      <c r="A850" s="26" t="n"/>
      <c r="B850" s="35" t="n"/>
      <c r="C850" s="35" t="n"/>
      <c r="D850" s="35" t="n"/>
      <c r="G850" s="36" t="n"/>
      <c r="H850" s="35" t="n"/>
      <c r="K850" s="39" t="n"/>
      <c r="L850" s="38" t="n"/>
      <c r="M850" s="38" t="n"/>
      <c r="N850" s="38" t="n"/>
      <c r="O850" s="38" t="n"/>
      <c r="P850" s="38" t="n"/>
      <c r="Q850" s="38" t="n"/>
      <c r="U850" s="63" t="n"/>
    </row>
    <row r="851" ht="99.5" customHeight="1" thickBot="1">
      <c r="A851" s="26" t="n"/>
      <c r="B851" s="35" t="n"/>
      <c r="C851" s="35" t="n"/>
      <c r="D851" s="35" t="n"/>
      <c r="G851" s="36" t="n"/>
      <c r="H851" s="35" t="n"/>
      <c r="K851" s="39" t="n"/>
      <c r="L851" s="38" t="n"/>
      <c r="M851" s="38" t="n"/>
      <c r="N851" s="38" t="n"/>
      <c r="O851" s="38" t="n"/>
      <c r="P851" s="38" t="n"/>
      <c r="Q851" s="38" t="n"/>
      <c r="U851" s="63" t="n"/>
    </row>
    <row r="852" ht="99.5" customHeight="1" thickBot="1">
      <c r="A852" s="26" t="n"/>
      <c r="B852" s="35" t="n"/>
      <c r="C852" s="35" t="n"/>
      <c r="D852" s="35" t="n"/>
      <c r="G852" s="36" t="n"/>
      <c r="H852" s="35" t="n"/>
      <c r="K852" s="39" t="n"/>
      <c r="L852" s="38" t="n"/>
      <c r="M852" s="38" t="n"/>
      <c r="N852" s="38" t="n"/>
      <c r="O852" s="38" t="n"/>
      <c r="P852" s="38" t="n"/>
      <c r="Q852" s="38" t="n"/>
      <c r="U852" s="63" t="n"/>
    </row>
    <row r="853" ht="99.5" customHeight="1" thickBot="1">
      <c r="A853" s="26" t="n"/>
      <c r="B853" s="35" t="n"/>
      <c r="C853" s="35" t="n"/>
      <c r="D853" s="35" t="n"/>
      <c r="G853" s="36" t="n"/>
      <c r="H853" s="35" t="n"/>
      <c r="K853" s="39" t="n"/>
      <c r="L853" s="38" t="n"/>
      <c r="M853" s="38" t="n"/>
      <c r="N853" s="38" t="n"/>
      <c r="O853" s="38" t="n"/>
      <c r="P853" s="38" t="n"/>
      <c r="Q853" s="38" t="n"/>
      <c r="U853" s="63" t="n"/>
    </row>
    <row r="854" ht="99.5" customHeight="1" thickBot="1">
      <c r="A854" s="26" t="n"/>
      <c r="B854" s="35" t="n"/>
      <c r="C854" s="35" t="n"/>
      <c r="D854" s="35" t="n"/>
      <c r="G854" s="36" t="n"/>
      <c r="H854" s="35" t="n"/>
      <c r="K854" s="39" t="n"/>
      <c r="L854" s="38" t="n"/>
      <c r="M854" s="38" t="n"/>
      <c r="N854" s="38" t="n"/>
      <c r="O854" s="38" t="n"/>
      <c r="P854" s="38" t="n"/>
      <c r="Q854" s="38" t="n"/>
      <c r="U854" s="63" t="n"/>
    </row>
    <row r="855" ht="99.5" customHeight="1" thickBot="1">
      <c r="A855" s="26" t="n"/>
      <c r="B855" s="35" t="n"/>
      <c r="C855" s="35" t="n"/>
      <c r="D855" s="35" t="n"/>
      <c r="G855" s="36" t="n"/>
      <c r="H855" s="35" t="n"/>
      <c r="K855" s="39" t="n"/>
      <c r="L855" s="38" t="n"/>
      <c r="M855" s="38" t="n"/>
      <c r="N855" s="38" t="n"/>
      <c r="O855" s="38" t="n"/>
      <c r="P855" s="38" t="n"/>
      <c r="Q855" s="38" t="n"/>
      <c r="U855" s="63" t="n"/>
    </row>
    <row r="856" ht="99.5" customHeight="1" thickBot="1">
      <c r="A856" s="26" t="n"/>
      <c r="B856" s="35" t="n"/>
      <c r="C856" s="35" t="n"/>
      <c r="D856" s="35" t="n"/>
      <c r="G856" s="36" t="n"/>
      <c r="H856" s="35" t="n"/>
      <c r="K856" s="39" t="n"/>
      <c r="L856" s="38" t="n"/>
      <c r="M856" s="38" t="n"/>
      <c r="N856" s="38" t="n"/>
      <c r="O856" s="38" t="n"/>
      <c r="P856" s="38" t="n"/>
      <c r="Q856" s="38" t="n"/>
      <c r="U856" s="63" t="n"/>
    </row>
    <row r="857" ht="99.5" customHeight="1" thickBot="1">
      <c r="A857" s="26" t="n"/>
      <c r="B857" s="35" t="n"/>
      <c r="C857" s="35" t="n"/>
      <c r="D857" s="35" t="n"/>
      <c r="G857" s="36" t="n"/>
      <c r="H857" s="35" t="n"/>
      <c r="K857" s="39" t="n"/>
      <c r="L857" s="38" t="n"/>
      <c r="M857" s="38" t="n"/>
      <c r="N857" s="38" t="n"/>
      <c r="O857" s="38" t="n"/>
      <c r="P857" s="38" t="n"/>
      <c r="Q857" s="38" t="n"/>
      <c r="U857" s="63" t="n"/>
    </row>
    <row r="858" ht="99.5" customHeight="1" thickBot="1">
      <c r="A858" s="26" t="n"/>
      <c r="B858" s="35" t="n"/>
      <c r="C858" s="35" t="n"/>
      <c r="D858" s="35" t="n"/>
      <c r="G858" s="36" t="n"/>
      <c r="H858" s="35" t="n"/>
      <c r="K858" s="39" t="n"/>
      <c r="L858" s="38" t="n"/>
      <c r="M858" s="38" t="n"/>
      <c r="N858" s="38" t="n"/>
      <c r="O858" s="38" t="n"/>
      <c r="P858" s="38" t="n"/>
      <c r="Q858" s="38" t="n"/>
      <c r="U858" s="63" t="n"/>
    </row>
    <row r="859" ht="99.5" customHeight="1" thickBot="1">
      <c r="A859" s="26" t="n"/>
      <c r="B859" s="35" t="n"/>
      <c r="C859" s="35" t="n"/>
      <c r="D859" s="35" t="n"/>
      <c r="G859" s="36" t="n"/>
      <c r="H859" s="35" t="n"/>
      <c r="K859" s="39" t="n"/>
      <c r="L859" s="38" t="n"/>
      <c r="M859" s="38" t="n"/>
      <c r="N859" s="38" t="n"/>
      <c r="O859" s="38" t="n"/>
      <c r="P859" s="38" t="n"/>
      <c r="Q859" s="38" t="n"/>
      <c r="U859" s="63" t="n"/>
    </row>
    <row r="860" ht="99.5" customHeight="1" thickBot="1">
      <c r="A860" s="26" t="n"/>
      <c r="B860" s="35" t="n"/>
      <c r="C860" s="35" t="n"/>
      <c r="D860" s="35" t="n"/>
      <c r="G860" s="36" t="n"/>
      <c r="H860" s="35" t="n"/>
      <c r="K860" s="39" t="n"/>
      <c r="L860" s="38" t="n"/>
      <c r="M860" s="38" t="n"/>
      <c r="N860" s="38" t="n"/>
      <c r="O860" s="38" t="n"/>
      <c r="P860" s="38" t="n"/>
      <c r="Q860" s="38" t="n"/>
      <c r="U860" s="63" t="n"/>
    </row>
    <row r="861" ht="99.5" customHeight="1" thickBot="1">
      <c r="A861" s="26" t="n"/>
      <c r="B861" s="35" t="n"/>
      <c r="C861" s="35" t="n"/>
      <c r="D861" s="35" t="n"/>
      <c r="G861" s="36" t="n"/>
      <c r="H861" s="35" t="n"/>
      <c r="K861" s="39" t="n"/>
      <c r="L861" s="38" t="n"/>
      <c r="M861" s="38" t="n"/>
      <c r="N861" s="38" t="n"/>
      <c r="O861" s="38" t="n"/>
      <c r="P861" s="38" t="n"/>
      <c r="Q861" s="38" t="n"/>
      <c r="U861" s="63" t="n"/>
    </row>
    <row r="862" ht="99.5" customHeight="1" thickBot="1">
      <c r="A862" s="26" t="n"/>
      <c r="B862" s="35" t="n"/>
      <c r="C862" s="35" t="n"/>
      <c r="D862" s="35" t="n"/>
      <c r="G862" s="36" t="n"/>
      <c r="H862" s="35" t="n"/>
      <c r="K862" s="39" t="n"/>
      <c r="L862" s="38" t="n"/>
      <c r="M862" s="38" t="n"/>
      <c r="N862" s="38" t="n"/>
      <c r="O862" s="38" t="n"/>
      <c r="P862" s="38" t="n"/>
      <c r="Q862" s="38" t="n"/>
      <c r="U862" s="63" t="n"/>
    </row>
    <row r="863" ht="99.5" customHeight="1" thickBot="1">
      <c r="A863" s="26" t="n"/>
      <c r="B863" s="35" t="n"/>
      <c r="C863" s="35" t="n"/>
      <c r="D863" s="35" t="n"/>
      <c r="G863" s="36" t="n"/>
      <c r="H863" s="35" t="n"/>
      <c r="K863" s="39" t="n"/>
      <c r="L863" s="38" t="n"/>
      <c r="M863" s="38" t="n"/>
      <c r="N863" s="38" t="n"/>
      <c r="O863" s="38" t="n"/>
      <c r="P863" s="38" t="n"/>
      <c r="Q863" s="38" t="n"/>
      <c r="U863" s="63" t="n"/>
    </row>
    <row r="864" ht="99.5" customHeight="1" thickBot="1">
      <c r="A864" s="26" t="n"/>
      <c r="B864" s="35" t="n"/>
      <c r="C864" s="35" t="n"/>
      <c r="D864" s="35" t="n"/>
      <c r="G864" s="36" t="n"/>
      <c r="H864" s="35" t="n"/>
      <c r="K864" s="39" t="n"/>
      <c r="L864" s="38" t="n"/>
      <c r="M864" s="38" t="n"/>
      <c r="N864" s="38" t="n"/>
      <c r="O864" s="38" t="n"/>
      <c r="P864" s="38" t="n"/>
      <c r="Q864" s="38" t="n"/>
      <c r="U864" s="63" t="n"/>
    </row>
    <row r="865" ht="99.5" customHeight="1" thickBot="1">
      <c r="A865" s="26" t="n"/>
      <c r="B865" s="35" t="n"/>
      <c r="C865" s="35" t="n"/>
      <c r="D865" s="35" t="n"/>
      <c r="G865" s="36" t="n"/>
      <c r="H865" s="35" t="n"/>
      <c r="K865" s="39" t="n"/>
      <c r="L865" s="38" t="n"/>
      <c r="M865" s="38" t="n"/>
      <c r="N865" s="38" t="n"/>
      <c r="O865" s="38" t="n"/>
      <c r="P865" s="38" t="n"/>
      <c r="Q865" s="38" t="n"/>
      <c r="U865" s="63" t="n"/>
    </row>
    <row r="866" ht="99.5" customHeight="1" thickBot="1">
      <c r="A866" s="26" t="n"/>
      <c r="B866" s="35" t="n"/>
      <c r="C866" s="35" t="n"/>
      <c r="D866" s="35" t="n"/>
      <c r="G866" s="36" t="n"/>
      <c r="H866" s="35" t="n"/>
      <c r="K866" s="39" t="n"/>
      <c r="L866" s="38" t="n"/>
      <c r="M866" s="38" t="n"/>
      <c r="N866" s="38" t="n"/>
      <c r="O866" s="38" t="n"/>
      <c r="P866" s="38" t="n"/>
      <c r="Q866" s="38" t="n"/>
      <c r="U866" s="63" t="n"/>
    </row>
    <row r="867" ht="99.5" customHeight="1" thickBot="1">
      <c r="A867" s="26" t="n"/>
      <c r="B867" s="35" t="n"/>
      <c r="C867" s="35" t="n"/>
      <c r="D867" s="35" t="n"/>
      <c r="G867" s="36" t="n"/>
      <c r="H867" s="35" t="n"/>
      <c r="K867" s="39" t="n"/>
      <c r="L867" s="38" t="n"/>
      <c r="M867" s="38" t="n"/>
      <c r="N867" s="38" t="n"/>
      <c r="O867" s="38" t="n"/>
      <c r="P867" s="38" t="n"/>
      <c r="Q867" s="38" t="n"/>
      <c r="U867" s="63" t="n"/>
    </row>
    <row r="868" ht="99.5" customHeight="1" thickBot="1">
      <c r="A868" s="26" t="n"/>
      <c r="B868" s="35" t="n"/>
      <c r="C868" s="35" t="n"/>
      <c r="D868" s="35" t="n"/>
      <c r="G868" s="36" t="n"/>
      <c r="H868" s="35" t="n"/>
      <c r="K868" s="39" t="n"/>
      <c r="L868" s="38" t="n"/>
      <c r="M868" s="38" t="n"/>
      <c r="N868" s="38" t="n"/>
      <c r="O868" s="38" t="n"/>
      <c r="P868" s="38" t="n"/>
      <c r="Q868" s="38" t="n"/>
      <c r="U868" s="63" t="n"/>
    </row>
    <row r="869" ht="99.5" customHeight="1" thickBot="1">
      <c r="A869" s="26" t="n"/>
      <c r="B869" s="35" t="n"/>
      <c r="C869" s="35" t="n"/>
      <c r="D869" s="35" t="n"/>
      <c r="G869" s="36" t="n"/>
      <c r="H869" s="35" t="n"/>
      <c r="K869" s="39" t="n"/>
      <c r="L869" s="38" t="n"/>
      <c r="M869" s="38" t="n"/>
      <c r="N869" s="38" t="n"/>
      <c r="O869" s="38" t="n"/>
      <c r="P869" s="38" t="n"/>
      <c r="Q869" s="38" t="n"/>
      <c r="U869" s="63" t="n"/>
    </row>
    <row r="870" ht="99.5" customHeight="1" thickBot="1">
      <c r="A870" s="26" t="n"/>
      <c r="B870" s="35" t="n"/>
      <c r="C870" s="35" t="n"/>
      <c r="D870" s="35" t="n"/>
      <c r="G870" s="36" t="n"/>
      <c r="H870" s="35" t="n"/>
      <c r="K870" s="39" t="n"/>
      <c r="L870" s="38" t="n"/>
      <c r="M870" s="38" t="n"/>
      <c r="N870" s="38" t="n"/>
      <c r="O870" s="38" t="n"/>
      <c r="P870" s="38" t="n"/>
      <c r="Q870" s="38" t="n"/>
      <c r="U870" s="63" t="n"/>
    </row>
    <row r="871" ht="99.5" customHeight="1" thickBot="1">
      <c r="A871" s="26" t="n"/>
      <c r="B871" s="35" t="n"/>
      <c r="C871" s="35" t="n"/>
      <c r="D871" s="35" t="n"/>
      <c r="G871" s="36" t="n"/>
      <c r="H871" s="35" t="n"/>
      <c r="K871" s="39" t="n"/>
      <c r="L871" s="38" t="n"/>
      <c r="M871" s="38" t="n"/>
      <c r="N871" s="38" t="n"/>
      <c r="O871" s="38" t="n"/>
      <c r="P871" s="38" t="n"/>
      <c r="Q871" s="38" t="n"/>
      <c r="U871" s="63" t="n"/>
    </row>
    <row r="872" ht="99.5" customHeight="1" thickBot="1">
      <c r="A872" s="26" t="n"/>
      <c r="B872" s="35" t="n"/>
      <c r="C872" s="35" t="n"/>
      <c r="D872" s="35" t="n"/>
      <c r="G872" s="36" t="n"/>
      <c r="H872" s="35" t="n"/>
      <c r="K872" s="39" t="n"/>
      <c r="L872" s="38" t="n"/>
      <c r="M872" s="38" t="n"/>
      <c r="N872" s="38" t="n"/>
      <c r="O872" s="38" t="n"/>
      <c r="P872" s="38" t="n"/>
      <c r="Q872" s="38" t="n"/>
      <c r="U872" s="63" t="n"/>
    </row>
    <row r="873" ht="99.5" customHeight="1" thickBot="1">
      <c r="A873" s="26" t="n"/>
      <c r="B873" s="35" t="n"/>
      <c r="C873" s="35" t="n"/>
      <c r="D873" s="35" t="n"/>
      <c r="G873" s="36" t="n"/>
      <c r="H873" s="35" t="n"/>
      <c r="K873" s="39" t="n"/>
      <c r="L873" s="38" t="n"/>
      <c r="M873" s="38" t="n"/>
      <c r="N873" s="38" t="n"/>
      <c r="O873" s="38" t="n"/>
      <c r="P873" s="38" t="n"/>
      <c r="Q873" s="38" t="n"/>
      <c r="U873" s="63" t="n"/>
    </row>
    <row r="874" ht="99.5" customHeight="1" thickBot="1">
      <c r="A874" s="26" t="n"/>
      <c r="B874" s="35" t="n"/>
      <c r="C874" s="35" t="n"/>
      <c r="D874" s="35" t="n"/>
      <c r="G874" s="36" t="n"/>
      <c r="H874" s="35" t="n"/>
      <c r="K874" s="39" t="n"/>
      <c r="L874" s="38" t="n"/>
      <c r="M874" s="38" t="n"/>
      <c r="N874" s="38" t="n"/>
      <c r="O874" s="38" t="n"/>
      <c r="P874" s="38" t="n"/>
      <c r="Q874" s="38" t="n"/>
      <c r="U874" s="63" t="n"/>
    </row>
    <row r="875" ht="99.5" customHeight="1" thickBot="1">
      <c r="A875" s="26" t="n"/>
      <c r="B875" s="35" t="n"/>
      <c r="C875" s="35" t="n"/>
      <c r="D875" s="35" t="n"/>
      <c r="G875" s="36" t="n"/>
      <c r="H875" s="35" t="n"/>
      <c r="K875" s="39" t="n"/>
      <c r="L875" s="38" t="n"/>
      <c r="M875" s="38" t="n"/>
      <c r="N875" s="38" t="n"/>
      <c r="O875" s="38" t="n"/>
      <c r="P875" s="38" t="n"/>
      <c r="Q875" s="38" t="n"/>
      <c r="U875" s="63" t="n"/>
    </row>
    <row r="876" ht="99.5" customHeight="1" thickBot="1">
      <c r="A876" s="26" t="n"/>
      <c r="B876" s="35" t="n"/>
      <c r="C876" s="35" t="n"/>
      <c r="D876" s="35" t="n"/>
      <c r="G876" s="36" t="n"/>
      <c r="H876" s="35" t="n"/>
      <c r="K876" s="39" t="n"/>
      <c r="L876" s="38" t="n"/>
      <c r="M876" s="38" t="n"/>
      <c r="N876" s="38" t="n"/>
      <c r="O876" s="38" t="n"/>
      <c r="P876" s="38" t="n"/>
      <c r="Q876" s="38" t="n"/>
      <c r="U876" s="63" t="n"/>
    </row>
    <row r="877" ht="99.5" customHeight="1" thickBot="1">
      <c r="A877" s="26" t="n"/>
      <c r="B877" s="35" t="n"/>
      <c r="C877" s="35" t="n"/>
      <c r="D877" s="35" t="n"/>
      <c r="G877" s="36" t="n"/>
      <c r="H877" s="35" t="n"/>
      <c r="K877" s="39" t="n"/>
      <c r="L877" s="38" t="n"/>
      <c r="M877" s="38" t="n"/>
      <c r="N877" s="38" t="n"/>
      <c r="O877" s="38" t="n"/>
      <c r="P877" s="38" t="n"/>
      <c r="Q877" s="38" t="n"/>
      <c r="U877" s="63" t="n"/>
    </row>
    <row r="878" ht="99.5" customHeight="1" thickBot="1">
      <c r="A878" s="26" t="n"/>
      <c r="B878" s="35" t="n"/>
      <c r="C878" s="35" t="n"/>
      <c r="D878" s="35" t="n"/>
      <c r="G878" s="36" t="n"/>
      <c r="H878" s="35" t="n"/>
      <c r="K878" s="39" t="n"/>
      <c r="L878" s="38" t="n"/>
      <c r="M878" s="38" t="n"/>
      <c r="N878" s="38" t="n"/>
      <c r="O878" s="38" t="n"/>
      <c r="P878" s="38" t="n"/>
      <c r="Q878" s="38" t="n"/>
      <c r="U878" s="63" t="n"/>
    </row>
    <row r="879" ht="99.5" customHeight="1" thickBot="1">
      <c r="A879" s="26" t="n"/>
      <c r="B879" s="35" t="n"/>
      <c r="C879" s="35" t="n"/>
      <c r="D879" s="35" t="n"/>
      <c r="G879" s="36" t="n"/>
      <c r="H879" s="35" t="n"/>
      <c r="K879" s="39" t="n"/>
      <c r="L879" s="38" t="n"/>
      <c r="M879" s="38" t="n"/>
      <c r="N879" s="38" t="n"/>
      <c r="O879" s="38" t="n"/>
      <c r="P879" s="38" t="n"/>
      <c r="Q879" s="38" t="n"/>
      <c r="U879" s="63" t="n"/>
    </row>
    <row r="880" ht="99.5" customHeight="1" thickBot="1">
      <c r="A880" s="26" t="n"/>
      <c r="B880" s="35" t="n"/>
      <c r="C880" s="35" t="n"/>
      <c r="D880" s="35" t="n"/>
      <c r="G880" s="36" t="n"/>
      <c r="H880" s="35" t="n"/>
      <c r="K880" s="39" t="n"/>
      <c r="L880" s="38" t="n"/>
      <c r="M880" s="38" t="n"/>
      <c r="N880" s="38" t="n"/>
      <c r="O880" s="38" t="n"/>
      <c r="P880" s="38" t="n"/>
      <c r="Q880" s="38" t="n"/>
      <c r="U880" s="63" t="n"/>
    </row>
    <row r="881" ht="99.5" customHeight="1" thickBot="1">
      <c r="A881" s="26" t="n"/>
      <c r="B881" s="35" t="n"/>
      <c r="C881" s="35" t="n"/>
      <c r="D881" s="35" t="n"/>
      <c r="G881" s="36" t="n"/>
      <c r="H881" s="35" t="n"/>
      <c r="K881" s="39" t="n"/>
      <c r="L881" s="38" t="n"/>
      <c r="M881" s="38" t="n"/>
      <c r="N881" s="38" t="n"/>
      <c r="O881" s="38" t="n"/>
      <c r="P881" s="38" t="n"/>
      <c r="Q881" s="38" t="n"/>
      <c r="U881" s="63" t="n"/>
    </row>
    <row r="882" ht="99.5" customHeight="1" thickBot="1">
      <c r="A882" s="26" t="n"/>
      <c r="B882" s="35" t="n"/>
      <c r="C882" s="35" t="n"/>
      <c r="D882" s="35" t="n"/>
      <c r="G882" s="36" t="n"/>
      <c r="H882" s="35" t="n"/>
      <c r="K882" s="39" t="n"/>
      <c r="L882" s="38" t="n"/>
      <c r="M882" s="38" t="n"/>
      <c r="N882" s="38" t="n"/>
      <c r="O882" s="38" t="n"/>
      <c r="P882" s="38" t="n"/>
      <c r="Q882" s="38" t="n"/>
      <c r="U882" s="63" t="n"/>
    </row>
    <row r="883" ht="99.5" customHeight="1" thickBot="1">
      <c r="A883" s="26" t="n"/>
      <c r="B883" s="35" t="n"/>
      <c r="C883" s="35" t="n"/>
      <c r="D883" s="35" t="n"/>
      <c r="G883" s="36" t="n"/>
      <c r="H883" s="35" t="n"/>
      <c r="K883" s="39" t="n"/>
      <c r="L883" s="38" t="n"/>
      <c r="M883" s="38" t="n"/>
      <c r="N883" s="38" t="n"/>
      <c r="O883" s="38" t="n"/>
      <c r="P883" s="38" t="n"/>
      <c r="Q883" s="38" t="n"/>
      <c r="U883" s="63" t="n"/>
    </row>
    <row r="884" ht="99.5" customHeight="1" thickBot="1">
      <c r="A884" s="26" t="n"/>
      <c r="B884" s="35" t="n"/>
      <c r="C884" s="35" t="n"/>
      <c r="D884" s="35" t="n"/>
      <c r="G884" s="36" t="n"/>
      <c r="H884" s="35" t="n"/>
      <c r="K884" s="39" t="n"/>
      <c r="L884" s="38" t="n"/>
      <c r="M884" s="38" t="n"/>
      <c r="N884" s="38" t="n"/>
      <c r="O884" s="38" t="n"/>
      <c r="P884" s="38" t="n"/>
      <c r="Q884" s="38" t="n"/>
      <c r="U884" s="63" t="n"/>
    </row>
    <row r="885" ht="99.5" customHeight="1" thickBot="1">
      <c r="A885" s="26" t="n"/>
      <c r="B885" s="35" t="n"/>
      <c r="C885" s="35" t="n"/>
      <c r="D885" s="35" t="n"/>
      <c r="G885" s="36" t="n"/>
      <c r="H885" s="35" t="n"/>
      <c r="K885" s="39" t="n"/>
      <c r="L885" s="38" t="n"/>
      <c r="M885" s="38" t="n"/>
      <c r="N885" s="38" t="n"/>
      <c r="O885" s="38" t="n"/>
      <c r="P885" s="38" t="n"/>
      <c r="Q885" s="38" t="n"/>
      <c r="U885" s="63" t="n"/>
    </row>
    <row r="886" ht="99.5" customHeight="1" thickBot="1">
      <c r="A886" s="26" t="n"/>
      <c r="B886" s="35" t="n"/>
      <c r="C886" s="35" t="n"/>
      <c r="D886" s="35" t="n"/>
      <c r="G886" s="36" t="n"/>
      <c r="H886" s="35" t="n"/>
      <c r="K886" s="39" t="n"/>
      <c r="L886" s="38" t="n"/>
      <c r="M886" s="38" t="n"/>
      <c r="N886" s="38" t="n"/>
      <c r="O886" s="38" t="n"/>
      <c r="P886" s="38" t="n"/>
      <c r="Q886" s="38" t="n"/>
      <c r="U886" s="63" t="n"/>
    </row>
    <row r="887" ht="99.5" customHeight="1" thickBot="1">
      <c r="A887" s="26" t="n"/>
      <c r="B887" s="35" t="n"/>
      <c r="C887" s="35" t="n"/>
      <c r="D887" s="35" t="n"/>
      <c r="G887" s="36" t="n"/>
      <c r="H887" s="35" t="n"/>
      <c r="K887" s="39" t="n"/>
      <c r="L887" s="38" t="n"/>
      <c r="M887" s="38" t="n"/>
      <c r="N887" s="38" t="n"/>
      <c r="O887" s="38" t="n"/>
      <c r="P887" s="38" t="n"/>
      <c r="Q887" s="38" t="n"/>
      <c r="U887" s="63" t="n"/>
    </row>
    <row r="888" ht="99.5" customHeight="1" thickBot="1">
      <c r="A888" s="26" t="n"/>
      <c r="B888" s="35" t="n"/>
      <c r="C888" s="35" t="n"/>
      <c r="D888" s="35" t="n"/>
      <c r="G888" s="36" t="n"/>
      <c r="H888" s="35" t="n"/>
      <c r="K888" s="39" t="n"/>
      <c r="L888" s="38" t="n"/>
      <c r="M888" s="38" t="n"/>
      <c r="N888" s="38" t="n"/>
      <c r="O888" s="38" t="n"/>
      <c r="P888" s="38" t="n"/>
      <c r="Q888" s="38" t="n"/>
      <c r="U888" s="63" t="n"/>
    </row>
    <row r="889" ht="99.5" customHeight="1" thickBot="1">
      <c r="A889" s="26" t="n"/>
      <c r="B889" s="35" t="n"/>
      <c r="C889" s="35" t="n"/>
      <c r="D889" s="35" t="n"/>
      <c r="G889" s="36" t="n"/>
      <c r="H889" s="35" t="n"/>
      <c r="K889" s="39" t="n"/>
      <c r="L889" s="38" t="n"/>
      <c r="M889" s="38" t="n"/>
      <c r="N889" s="38" t="n"/>
      <c r="O889" s="38" t="n"/>
      <c r="P889" s="38" t="n"/>
      <c r="Q889" s="38" t="n"/>
      <c r="U889" s="63" t="n"/>
    </row>
    <row r="890" ht="99.5" customHeight="1" thickBot="1">
      <c r="A890" s="26" t="n"/>
      <c r="B890" s="35" t="n"/>
      <c r="C890" s="35" t="n"/>
      <c r="D890" s="35" t="n"/>
      <c r="G890" s="36" t="n"/>
      <c r="H890" s="35" t="n"/>
      <c r="K890" s="39" t="n"/>
      <c r="L890" s="38" t="n"/>
      <c r="M890" s="38" t="n"/>
      <c r="N890" s="38" t="n"/>
      <c r="O890" s="38" t="n"/>
      <c r="P890" s="38" t="n"/>
      <c r="Q890" s="38" t="n"/>
      <c r="U890" s="63" t="n"/>
    </row>
    <row r="891" ht="99.5" customHeight="1" thickBot="1">
      <c r="A891" s="26" t="n"/>
      <c r="B891" s="35" t="n"/>
      <c r="C891" s="35" t="n"/>
      <c r="D891" s="35" t="n"/>
      <c r="G891" s="36" t="n"/>
      <c r="H891" s="35" t="n"/>
      <c r="K891" s="39" t="n"/>
      <c r="L891" s="38" t="n"/>
      <c r="M891" s="38" t="n"/>
      <c r="N891" s="38" t="n"/>
      <c r="O891" s="38" t="n"/>
      <c r="P891" s="38" t="n"/>
      <c r="Q891" s="38" t="n"/>
      <c r="U891" s="63" t="n"/>
    </row>
    <row r="892" ht="99.5" customHeight="1" thickBot="1">
      <c r="A892" s="26" t="n"/>
      <c r="B892" s="35" t="n"/>
      <c r="C892" s="35" t="n"/>
      <c r="D892" s="35" t="n"/>
      <c r="G892" s="36" t="n"/>
      <c r="H892" s="35" t="n"/>
      <c r="K892" s="39" t="n"/>
      <c r="L892" s="38" t="n"/>
      <c r="M892" s="38" t="n"/>
      <c r="N892" s="38" t="n"/>
      <c r="O892" s="38" t="n"/>
      <c r="P892" s="38" t="n"/>
      <c r="Q892" s="38" t="n"/>
      <c r="U892" s="63" t="n"/>
    </row>
    <row r="893" ht="99.5" customHeight="1" thickBot="1">
      <c r="A893" s="26" t="n"/>
      <c r="B893" s="35" t="n"/>
      <c r="C893" s="35" t="n"/>
      <c r="D893" s="35" t="n"/>
      <c r="G893" s="36" t="n"/>
      <c r="H893" s="35" t="n"/>
      <c r="K893" s="39" t="n"/>
      <c r="L893" s="38" t="n"/>
      <c r="M893" s="38" t="n"/>
      <c r="N893" s="38" t="n"/>
      <c r="O893" s="38" t="n"/>
      <c r="P893" s="38" t="n"/>
      <c r="Q893" s="38" t="n"/>
      <c r="U893" s="63" t="n"/>
    </row>
    <row r="894" ht="99.5" customHeight="1" thickBot="1">
      <c r="A894" s="26" t="n"/>
      <c r="B894" s="35" t="n"/>
      <c r="C894" s="35" t="n"/>
      <c r="D894" s="35" t="n"/>
      <c r="G894" s="36" t="n"/>
      <c r="H894" s="35" t="n"/>
      <c r="K894" s="39" t="n"/>
      <c r="L894" s="38" t="n"/>
      <c r="M894" s="38" t="n"/>
      <c r="N894" s="38" t="n"/>
      <c r="O894" s="38" t="n"/>
      <c r="P894" s="38" t="n"/>
      <c r="Q894" s="38" t="n"/>
      <c r="U894" s="63" t="n"/>
    </row>
    <row r="895" ht="99.5" customHeight="1" thickBot="1">
      <c r="A895" s="26" t="n"/>
      <c r="B895" s="35" t="n"/>
      <c r="C895" s="35" t="n"/>
      <c r="D895" s="35" t="n"/>
      <c r="G895" s="36" t="n"/>
      <c r="H895" s="35" t="n"/>
      <c r="K895" s="39" t="n"/>
      <c r="L895" s="38" t="n"/>
      <c r="M895" s="38" t="n"/>
      <c r="N895" s="38" t="n"/>
      <c r="O895" s="38" t="n"/>
      <c r="P895" s="38" t="n"/>
      <c r="Q895" s="38" t="n"/>
      <c r="U895" s="63" t="n"/>
    </row>
    <row r="896" ht="99.5" customHeight="1" thickBot="1">
      <c r="A896" s="26" t="n"/>
      <c r="B896" s="35" t="n"/>
      <c r="C896" s="35" t="n"/>
      <c r="D896" s="35" t="n"/>
      <c r="G896" s="36" t="n"/>
      <c r="H896" s="35" t="n"/>
      <c r="K896" s="39" t="n"/>
      <c r="L896" s="38" t="n"/>
      <c r="M896" s="38" t="n"/>
      <c r="N896" s="38" t="n"/>
      <c r="O896" s="38" t="n"/>
      <c r="P896" s="38" t="n"/>
      <c r="Q896" s="38" t="n"/>
      <c r="U896" s="63" t="n"/>
    </row>
    <row r="897" ht="99.5" customHeight="1" thickBot="1">
      <c r="A897" s="26" t="n"/>
      <c r="B897" s="35" t="n"/>
      <c r="C897" s="35" t="n"/>
      <c r="D897" s="35" t="n"/>
      <c r="G897" s="36" t="n"/>
      <c r="H897" s="35" t="n"/>
      <c r="K897" s="39" t="n"/>
      <c r="L897" s="38" t="n"/>
      <c r="M897" s="38" t="n"/>
      <c r="N897" s="38" t="n"/>
      <c r="O897" s="38" t="n"/>
      <c r="P897" s="38" t="n"/>
      <c r="Q897" s="38" t="n"/>
      <c r="U897" s="63" t="n"/>
    </row>
    <row r="898" ht="99.5" customHeight="1" thickBot="1">
      <c r="A898" s="26" t="n"/>
      <c r="B898" s="35" t="n"/>
      <c r="C898" s="35" t="n"/>
      <c r="D898" s="35" t="n"/>
      <c r="G898" s="36" t="n"/>
      <c r="H898" s="35" t="n"/>
      <c r="K898" s="39" t="n"/>
      <c r="L898" s="38" t="n"/>
      <c r="M898" s="38" t="n"/>
      <c r="N898" s="38" t="n"/>
      <c r="O898" s="38" t="n"/>
      <c r="P898" s="38" t="n"/>
      <c r="Q898" s="38" t="n"/>
      <c r="U898" s="63" t="n"/>
    </row>
    <row r="899" ht="99.5" customHeight="1" thickBot="1">
      <c r="A899" s="26" t="n"/>
      <c r="B899" s="35" t="n"/>
      <c r="C899" s="35" t="n"/>
      <c r="D899" s="35" t="n"/>
      <c r="G899" s="36" t="n"/>
      <c r="H899" s="35" t="n"/>
      <c r="K899" s="39" t="n"/>
      <c r="L899" s="38" t="n"/>
      <c r="M899" s="38" t="n"/>
      <c r="N899" s="38" t="n"/>
      <c r="O899" s="38" t="n"/>
      <c r="P899" s="38" t="n"/>
      <c r="Q899" s="38" t="n"/>
      <c r="U899" s="63" t="n"/>
    </row>
    <row r="900" ht="99.5" customHeight="1" thickBot="1">
      <c r="A900" s="26" t="n"/>
      <c r="B900" s="35" t="n"/>
      <c r="C900" s="35" t="n"/>
      <c r="D900" s="35" t="n"/>
      <c r="G900" s="36" t="n"/>
      <c r="H900" s="35" t="n"/>
      <c r="K900" s="39" t="n"/>
      <c r="L900" s="38" t="n"/>
      <c r="M900" s="38" t="n"/>
      <c r="N900" s="38" t="n"/>
      <c r="O900" s="38" t="n"/>
      <c r="P900" s="38" t="n"/>
      <c r="Q900" s="38" t="n"/>
      <c r="U900" s="63" t="n"/>
    </row>
    <row r="901" ht="99.5" customHeight="1" thickBot="1">
      <c r="A901" s="26" t="n"/>
      <c r="B901" s="35" t="n"/>
      <c r="C901" s="35" t="n"/>
      <c r="D901" s="35" t="n"/>
      <c r="G901" s="36" t="n"/>
      <c r="H901" s="35" t="n"/>
      <c r="K901" s="39" t="n"/>
      <c r="L901" s="38" t="n"/>
      <c r="M901" s="38" t="n"/>
      <c r="N901" s="38" t="n"/>
      <c r="O901" s="38" t="n"/>
      <c r="P901" s="38" t="n"/>
      <c r="Q901" s="38" t="n"/>
      <c r="U901" s="63" t="n"/>
    </row>
    <row r="902" ht="99.5" customHeight="1" thickBot="1">
      <c r="A902" s="26" t="n"/>
      <c r="B902" s="35" t="n"/>
      <c r="C902" s="35" t="n"/>
      <c r="D902" s="35" t="n"/>
      <c r="G902" s="36" t="n"/>
      <c r="H902" s="35" t="n"/>
      <c r="K902" s="39" t="n"/>
      <c r="L902" s="38" t="n"/>
      <c r="M902" s="38" t="n"/>
      <c r="N902" s="38" t="n"/>
      <c r="O902" s="38" t="n"/>
      <c r="P902" s="38" t="n"/>
      <c r="Q902" s="38" t="n"/>
      <c r="U902" s="63" t="n"/>
    </row>
    <row r="903" ht="99.5" customHeight="1" thickBot="1">
      <c r="A903" s="26" t="n"/>
      <c r="B903" s="35" t="n"/>
      <c r="C903" s="35" t="n"/>
      <c r="D903" s="35" t="n"/>
      <c r="G903" s="36" t="n"/>
      <c r="H903" s="35" t="n"/>
      <c r="K903" s="39" t="n"/>
      <c r="L903" s="38" t="n"/>
      <c r="M903" s="38" t="n"/>
      <c r="N903" s="38" t="n"/>
      <c r="O903" s="38" t="n"/>
      <c r="P903" s="38" t="n"/>
      <c r="Q903" s="38" t="n"/>
      <c r="U903" s="63" t="n"/>
    </row>
    <row r="904" ht="99.5" customHeight="1" thickBot="1">
      <c r="A904" s="26" t="n"/>
      <c r="B904" s="35" t="n"/>
      <c r="C904" s="35" t="n"/>
      <c r="D904" s="35" t="n"/>
      <c r="G904" s="36" t="n"/>
      <c r="H904" s="35" t="n"/>
      <c r="K904" s="39" t="n"/>
      <c r="L904" s="38" t="n"/>
      <c r="M904" s="38" t="n"/>
      <c r="N904" s="38" t="n"/>
      <c r="O904" s="38" t="n"/>
      <c r="P904" s="38" t="n"/>
      <c r="Q904" s="38" t="n"/>
      <c r="U904" s="63" t="n"/>
    </row>
    <row r="905" ht="99.5" customHeight="1" thickBot="1">
      <c r="A905" s="26" t="n"/>
      <c r="B905" s="35" t="n"/>
      <c r="C905" s="35" t="n"/>
      <c r="D905" s="35" t="n"/>
      <c r="G905" s="36" t="n"/>
      <c r="H905" s="35" t="n"/>
      <c r="K905" s="39" t="n"/>
      <c r="L905" s="38" t="n"/>
      <c r="M905" s="38" t="n"/>
      <c r="N905" s="38" t="n"/>
      <c r="O905" s="38" t="n"/>
      <c r="P905" s="38" t="n"/>
      <c r="Q905" s="38" t="n"/>
      <c r="U905" s="63" t="n"/>
    </row>
    <row r="906" ht="99.5" customHeight="1" thickBot="1">
      <c r="A906" s="26" t="n"/>
      <c r="B906" s="35" t="n"/>
      <c r="C906" s="35" t="n"/>
      <c r="D906" s="35" t="n"/>
      <c r="G906" s="36" t="n"/>
      <c r="H906" s="35" t="n"/>
      <c r="K906" s="39" t="n"/>
      <c r="L906" s="38" t="n"/>
      <c r="M906" s="38" t="n"/>
      <c r="N906" s="38" t="n"/>
      <c r="O906" s="38" t="n"/>
      <c r="P906" s="38" t="n"/>
      <c r="Q906" s="38" t="n"/>
      <c r="U906" s="63" t="n"/>
    </row>
    <row r="907" ht="99.5" customHeight="1" thickBot="1">
      <c r="A907" s="26" t="n"/>
      <c r="B907" s="35" t="n"/>
      <c r="C907" s="35" t="n"/>
      <c r="D907" s="35" t="n"/>
      <c r="G907" s="36" t="n"/>
      <c r="H907" s="35" t="n"/>
      <c r="K907" s="39" t="n"/>
      <c r="L907" s="38" t="n"/>
      <c r="M907" s="38" t="n"/>
      <c r="N907" s="38" t="n"/>
      <c r="O907" s="38" t="n"/>
      <c r="P907" s="38" t="n"/>
      <c r="Q907" s="38" t="n"/>
      <c r="U907" s="63" t="n"/>
    </row>
    <row r="908" ht="99.5" customHeight="1" thickBot="1">
      <c r="A908" s="26" t="n"/>
      <c r="B908" s="35" t="n"/>
      <c r="C908" s="35" t="n"/>
      <c r="D908" s="35" t="n"/>
      <c r="G908" s="36" t="n"/>
      <c r="H908" s="35" t="n"/>
      <c r="K908" s="39" t="n"/>
      <c r="L908" s="38" t="n"/>
      <c r="M908" s="38" t="n"/>
      <c r="N908" s="38" t="n"/>
      <c r="O908" s="38" t="n"/>
      <c r="P908" s="38" t="n"/>
      <c r="Q908" s="38" t="n"/>
      <c r="U908" s="63" t="n"/>
    </row>
    <row r="909" ht="99.5" customHeight="1" thickBot="1">
      <c r="A909" s="26" t="n"/>
      <c r="B909" s="35" t="n"/>
      <c r="C909" s="35" t="n"/>
      <c r="D909" s="35" t="n"/>
      <c r="G909" s="36" t="n"/>
      <c r="H909" s="35" t="n"/>
      <c r="K909" s="39" t="n"/>
      <c r="L909" s="38" t="n"/>
      <c r="M909" s="38" t="n"/>
      <c r="N909" s="38" t="n"/>
      <c r="O909" s="38" t="n"/>
      <c r="P909" s="38" t="n"/>
      <c r="Q909" s="38" t="n"/>
      <c r="U909" s="63" t="n"/>
    </row>
    <row r="910" ht="99.5" customHeight="1" thickBot="1">
      <c r="A910" s="26" t="n"/>
      <c r="B910" s="35" t="n"/>
      <c r="C910" s="35" t="n"/>
      <c r="D910" s="35" t="n"/>
      <c r="G910" s="36" t="n"/>
      <c r="H910" s="35" t="n"/>
      <c r="K910" s="39" t="n"/>
      <c r="L910" s="38" t="n"/>
      <c r="M910" s="38" t="n"/>
      <c r="N910" s="38" t="n"/>
      <c r="O910" s="38" t="n"/>
      <c r="P910" s="38" t="n"/>
      <c r="Q910" s="38" t="n"/>
      <c r="U910" s="63" t="n"/>
    </row>
    <row r="911" ht="99.5" customHeight="1" thickBot="1">
      <c r="A911" s="26" t="n"/>
      <c r="B911" s="35" t="n"/>
      <c r="C911" s="35" t="n"/>
      <c r="D911" s="35" t="n"/>
      <c r="G911" s="36" t="n"/>
      <c r="H911" s="35" t="n"/>
      <c r="K911" s="39" t="n"/>
      <c r="L911" s="38" t="n"/>
      <c r="M911" s="38" t="n"/>
      <c r="N911" s="38" t="n"/>
      <c r="O911" s="38" t="n"/>
      <c r="P911" s="38" t="n"/>
      <c r="Q911" s="38" t="n"/>
      <c r="U911" s="63" t="n"/>
    </row>
    <row r="912" ht="99.5" customHeight="1" thickBot="1">
      <c r="A912" s="26" t="n"/>
      <c r="B912" s="35" t="n"/>
      <c r="C912" s="35" t="n"/>
      <c r="D912" s="35" t="n"/>
      <c r="G912" s="36" t="n"/>
      <c r="H912" s="35" t="n"/>
      <c r="K912" s="39" t="n"/>
      <c r="L912" s="38" t="n"/>
      <c r="M912" s="38" t="n"/>
      <c r="N912" s="38" t="n"/>
      <c r="O912" s="38" t="n"/>
      <c r="P912" s="38" t="n"/>
      <c r="Q912" s="38" t="n"/>
      <c r="U912" s="63" t="n"/>
    </row>
    <row r="913" ht="99.5" customHeight="1" thickBot="1">
      <c r="A913" s="26" t="n"/>
      <c r="B913" s="35" t="n"/>
      <c r="C913" s="35" t="n"/>
      <c r="D913" s="35" t="n"/>
      <c r="G913" s="36" t="n"/>
      <c r="H913" s="35" t="n"/>
      <c r="K913" s="39" t="n"/>
      <c r="L913" s="38" t="n"/>
      <c r="M913" s="38" t="n"/>
      <c r="N913" s="38" t="n"/>
      <c r="O913" s="38" t="n"/>
      <c r="P913" s="38" t="n"/>
      <c r="Q913" s="38" t="n"/>
      <c r="U913" s="63" t="n"/>
    </row>
    <row r="914" ht="99.5" customHeight="1" thickBot="1">
      <c r="A914" s="26" t="n"/>
      <c r="B914" s="35" t="n"/>
      <c r="C914" s="35" t="n"/>
      <c r="D914" s="35" t="n"/>
      <c r="G914" s="36" t="n"/>
      <c r="H914" s="35" t="n"/>
      <c r="K914" s="39" t="n"/>
      <c r="L914" s="38" t="n"/>
      <c r="M914" s="38" t="n"/>
      <c r="N914" s="38" t="n"/>
      <c r="O914" s="38" t="n"/>
      <c r="P914" s="38" t="n"/>
      <c r="Q914" s="38" t="n"/>
      <c r="U914" s="63" t="n"/>
    </row>
    <row r="915" ht="99.5" customHeight="1" thickBot="1">
      <c r="A915" s="26" t="n"/>
      <c r="B915" s="35" t="n"/>
      <c r="C915" s="35" t="n"/>
      <c r="D915" s="35" t="n"/>
      <c r="G915" s="36" t="n"/>
      <c r="H915" s="35" t="n"/>
      <c r="K915" s="39" t="n"/>
      <c r="L915" s="38" t="n"/>
      <c r="M915" s="38" t="n"/>
      <c r="N915" s="38" t="n"/>
      <c r="O915" s="38" t="n"/>
      <c r="P915" s="38" t="n"/>
      <c r="Q915" s="38" t="n"/>
      <c r="U915" s="63" t="n"/>
    </row>
    <row r="916" ht="99.5" customHeight="1" thickBot="1">
      <c r="A916" s="26" t="n"/>
      <c r="B916" s="35" t="n"/>
      <c r="C916" s="35" t="n"/>
      <c r="D916" s="35" t="n"/>
      <c r="G916" s="36" t="n"/>
      <c r="H916" s="35" t="n"/>
      <c r="K916" s="39" t="n"/>
      <c r="L916" s="38" t="n"/>
      <c r="M916" s="38" t="n"/>
      <c r="N916" s="38" t="n"/>
      <c r="O916" s="38" t="n"/>
      <c r="P916" s="38" t="n"/>
      <c r="Q916" s="38" t="n"/>
      <c r="U916" s="63" t="n"/>
    </row>
    <row r="917" ht="99.5" customHeight="1" thickBot="1">
      <c r="A917" s="26" t="n"/>
      <c r="B917" s="35" t="n"/>
      <c r="C917" s="35" t="n"/>
      <c r="D917" s="35" t="n"/>
      <c r="G917" s="36" t="n"/>
      <c r="H917" s="35" t="n"/>
      <c r="K917" s="39" t="n"/>
      <c r="L917" s="38" t="n"/>
      <c r="M917" s="38" t="n"/>
      <c r="N917" s="38" t="n"/>
      <c r="O917" s="38" t="n"/>
      <c r="P917" s="38" t="n"/>
      <c r="Q917" s="38" t="n"/>
      <c r="U917" s="63" t="n"/>
    </row>
    <row r="918" ht="99.5" customHeight="1" thickBot="1">
      <c r="A918" s="26" t="n"/>
      <c r="B918" s="35" t="n"/>
      <c r="C918" s="35" t="n"/>
      <c r="D918" s="35" t="n"/>
      <c r="G918" s="36" t="n"/>
      <c r="H918" s="35" t="n"/>
      <c r="K918" s="39" t="n"/>
      <c r="L918" s="38" t="n"/>
      <c r="M918" s="38" t="n"/>
      <c r="N918" s="38" t="n"/>
      <c r="O918" s="38" t="n"/>
      <c r="P918" s="38" t="n"/>
      <c r="Q918" s="38" t="n"/>
      <c r="U918" s="63" t="n"/>
    </row>
    <row r="919" ht="99.5" customHeight="1" thickBot="1">
      <c r="A919" s="26" t="n"/>
      <c r="B919" s="35" t="n"/>
      <c r="C919" s="35" t="n"/>
      <c r="D919" s="35" t="n"/>
      <c r="G919" s="36" t="n"/>
      <c r="H919" s="35" t="n"/>
      <c r="K919" s="39" t="n"/>
      <c r="L919" s="38" t="n"/>
      <c r="M919" s="38" t="n"/>
      <c r="N919" s="38" t="n"/>
      <c r="O919" s="38" t="n"/>
      <c r="P919" s="38" t="n"/>
      <c r="Q919" s="38" t="n"/>
      <c r="U919" s="63" t="n"/>
    </row>
    <row r="920" ht="99.5" customHeight="1" thickBot="1">
      <c r="A920" s="26" t="n"/>
      <c r="B920" s="35" t="n"/>
      <c r="C920" s="35" t="n"/>
      <c r="D920" s="35" t="n"/>
      <c r="G920" s="36" t="n"/>
      <c r="H920" s="35" t="n"/>
      <c r="K920" s="39" t="n"/>
      <c r="L920" s="38" t="n"/>
      <c r="M920" s="38" t="n"/>
      <c r="N920" s="38" t="n"/>
      <c r="O920" s="38" t="n"/>
      <c r="P920" s="38" t="n"/>
      <c r="Q920" s="38" t="n"/>
      <c r="U920" s="63" t="n"/>
    </row>
    <row r="921" ht="99.5" customHeight="1" thickBot="1">
      <c r="A921" s="26" t="n"/>
      <c r="B921" s="35" t="n"/>
      <c r="C921" s="35" t="n"/>
      <c r="D921" s="35" t="n"/>
      <c r="G921" s="36" t="n"/>
      <c r="H921" s="35" t="n"/>
      <c r="K921" s="39" t="n"/>
      <c r="L921" s="38" t="n"/>
      <c r="M921" s="38" t="n"/>
      <c r="N921" s="38" t="n"/>
      <c r="O921" s="38" t="n"/>
      <c r="P921" s="38" t="n"/>
      <c r="Q921" s="38" t="n"/>
      <c r="U921" s="63" t="n"/>
    </row>
    <row r="922" ht="99.5" customHeight="1" thickBot="1">
      <c r="A922" s="26" t="n"/>
      <c r="B922" s="35" t="n"/>
      <c r="C922" s="35" t="n"/>
      <c r="D922" s="35" t="n"/>
      <c r="G922" s="36" t="n"/>
      <c r="H922" s="35" t="n"/>
      <c r="K922" s="39" t="n"/>
      <c r="L922" s="38" t="n"/>
      <c r="M922" s="38" t="n"/>
      <c r="N922" s="38" t="n"/>
      <c r="O922" s="38" t="n"/>
      <c r="P922" s="38" t="n"/>
      <c r="Q922" s="38" t="n"/>
      <c r="U922" s="63" t="n"/>
    </row>
    <row r="923" ht="99.5" customHeight="1" thickBot="1">
      <c r="A923" s="26" t="n"/>
      <c r="B923" s="35" t="n"/>
      <c r="C923" s="35" t="n"/>
      <c r="D923" s="35" t="n"/>
      <c r="G923" s="36" t="n"/>
      <c r="H923" s="35" t="n"/>
      <c r="K923" s="39" t="n"/>
      <c r="L923" s="38" t="n"/>
      <c r="M923" s="38" t="n"/>
      <c r="N923" s="38" t="n"/>
      <c r="O923" s="38" t="n"/>
      <c r="P923" s="38" t="n"/>
      <c r="Q923" s="38" t="n"/>
      <c r="U923" s="63" t="n"/>
    </row>
    <row r="924" ht="99.5" customHeight="1" thickBot="1">
      <c r="A924" s="26" t="n"/>
      <c r="B924" s="35" t="n"/>
      <c r="C924" s="35" t="n"/>
      <c r="D924" s="35" t="n"/>
      <c r="G924" s="36" t="n"/>
      <c r="H924" s="35" t="n"/>
      <c r="K924" s="39" t="n"/>
      <c r="L924" s="38" t="n"/>
      <c r="M924" s="38" t="n"/>
      <c r="N924" s="38" t="n"/>
      <c r="O924" s="38" t="n"/>
      <c r="P924" s="38" t="n"/>
      <c r="Q924" s="38" t="n"/>
      <c r="U924" s="63" t="n"/>
    </row>
    <row r="925" ht="99.5" customHeight="1" thickBot="1">
      <c r="A925" s="26" t="n"/>
      <c r="B925" s="35" t="n"/>
      <c r="C925" s="35" t="n"/>
      <c r="D925" s="35" t="n"/>
      <c r="G925" s="36" t="n"/>
      <c r="H925" s="35" t="n"/>
      <c r="K925" s="39" t="n"/>
      <c r="L925" s="38" t="n"/>
      <c r="M925" s="38" t="n"/>
      <c r="N925" s="38" t="n"/>
      <c r="O925" s="38" t="n"/>
      <c r="P925" s="38" t="n"/>
      <c r="Q925" s="38" t="n"/>
      <c r="U925" s="63" t="n"/>
    </row>
    <row r="926" ht="99.5" customHeight="1" thickBot="1">
      <c r="A926" s="26" t="n"/>
      <c r="B926" s="35" t="n"/>
      <c r="C926" s="35" t="n"/>
      <c r="D926" s="35" t="n"/>
      <c r="G926" s="36" t="n"/>
      <c r="H926" s="35" t="n"/>
      <c r="K926" s="39" t="n"/>
      <c r="L926" s="38" t="n"/>
      <c r="M926" s="38" t="n"/>
      <c r="N926" s="38" t="n"/>
      <c r="O926" s="38" t="n"/>
      <c r="P926" s="38" t="n"/>
      <c r="Q926" s="38" t="n"/>
      <c r="U926" s="63" t="n"/>
    </row>
    <row r="927" ht="99.5" customHeight="1" thickBot="1">
      <c r="A927" s="26" t="n"/>
      <c r="B927" s="35" t="n"/>
      <c r="C927" s="35" t="n"/>
      <c r="D927" s="35" t="n"/>
      <c r="G927" s="36" t="n"/>
      <c r="H927" s="35" t="n"/>
      <c r="K927" s="39" t="n"/>
      <c r="L927" s="38" t="n"/>
      <c r="M927" s="38" t="n"/>
      <c r="N927" s="38" t="n"/>
      <c r="O927" s="38" t="n"/>
      <c r="P927" s="38" t="n"/>
      <c r="Q927" s="38" t="n"/>
      <c r="U927" s="63" t="n"/>
    </row>
    <row r="928" ht="99.5" customHeight="1" thickBot="1">
      <c r="A928" s="26" t="n"/>
      <c r="B928" s="35" t="n"/>
      <c r="C928" s="35" t="n"/>
      <c r="D928" s="35" t="n"/>
      <c r="G928" s="36" t="n"/>
      <c r="H928" s="35" t="n"/>
      <c r="K928" s="39" t="n"/>
      <c r="L928" s="38" t="n"/>
      <c r="M928" s="38" t="n"/>
      <c r="N928" s="38" t="n"/>
      <c r="O928" s="38" t="n"/>
      <c r="P928" s="38" t="n"/>
      <c r="Q928" s="38" t="n"/>
      <c r="U928" s="63" t="n"/>
    </row>
    <row r="929" ht="99.5" customHeight="1" thickBot="1">
      <c r="A929" s="26" t="n"/>
      <c r="B929" s="35" t="n"/>
      <c r="C929" s="35" t="n"/>
      <c r="D929" s="35" t="n"/>
      <c r="G929" s="36" t="n"/>
      <c r="H929" s="35" t="n"/>
      <c r="K929" s="39" t="n"/>
      <c r="L929" s="38" t="n"/>
      <c r="M929" s="38" t="n"/>
      <c r="N929" s="38" t="n"/>
      <c r="O929" s="38" t="n"/>
      <c r="P929" s="38" t="n"/>
      <c r="Q929" s="38" t="n"/>
      <c r="U929" s="63" t="n"/>
    </row>
    <row r="930" ht="99.5" customHeight="1" thickBot="1">
      <c r="A930" s="26" t="n"/>
      <c r="B930" s="35" t="n"/>
      <c r="C930" s="35" t="n"/>
      <c r="D930" s="35" t="n"/>
      <c r="G930" s="36" t="n"/>
      <c r="H930" s="35" t="n"/>
      <c r="K930" s="39" t="n"/>
      <c r="L930" s="38" t="n"/>
      <c r="M930" s="38" t="n"/>
      <c r="N930" s="38" t="n"/>
      <c r="O930" s="38" t="n"/>
      <c r="P930" s="38" t="n"/>
      <c r="Q930" s="38" t="n"/>
      <c r="U930" s="63" t="n"/>
    </row>
    <row r="931" ht="99.5" customHeight="1" thickBot="1">
      <c r="A931" s="26" t="n"/>
      <c r="B931" s="35" t="n"/>
      <c r="C931" s="35" t="n"/>
      <c r="D931" s="35" t="n"/>
      <c r="G931" s="36" t="n"/>
      <c r="H931" s="35" t="n"/>
      <c r="K931" s="39" t="n"/>
      <c r="L931" s="38" t="n"/>
      <c r="M931" s="38" t="n"/>
      <c r="N931" s="38" t="n"/>
      <c r="O931" s="38" t="n"/>
      <c r="P931" s="38" t="n"/>
      <c r="Q931" s="38" t="n"/>
      <c r="U931" s="63" t="n"/>
    </row>
    <row r="932" ht="99.5" customHeight="1" thickBot="1">
      <c r="A932" s="26" t="n"/>
      <c r="B932" s="35" t="n"/>
      <c r="C932" s="35" t="n"/>
      <c r="D932" s="35" t="n"/>
      <c r="G932" s="36" t="n"/>
      <c r="H932" s="35" t="n"/>
      <c r="K932" s="39" t="n"/>
      <c r="L932" s="38" t="n"/>
      <c r="M932" s="38" t="n"/>
      <c r="N932" s="38" t="n"/>
      <c r="O932" s="38" t="n"/>
      <c r="P932" s="38" t="n"/>
      <c r="Q932" s="38" t="n"/>
      <c r="U932" s="63" t="n"/>
    </row>
    <row r="933" ht="99.5" customHeight="1" thickBot="1">
      <c r="A933" s="26" t="n"/>
      <c r="B933" s="35" t="n"/>
      <c r="C933" s="35" t="n"/>
      <c r="D933" s="35" t="n"/>
      <c r="G933" s="36" t="n"/>
      <c r="H933" s="35" t="n"/>
      <c r="K933" s="39" t="n"/>
      <c r="L933" s="38" t="n"/>
      <c r="M933" s="38" t="n"/>
      <c r="N933" s="38" t="n"/>
      <c r="O933" s="38" t="n"/>
      <c r="P933" s="38" t="n"/>
      <c r="Q933" s="38" t="n"/>
      <c r="U933" s="63" t="n"/>
    </row>
    <row r="934" ht="99.5" customHeight="1" thickBot="1">
      <c r="A934" s="26" t="n"/>
      <c r="B934" s="35" t="n"/>
      <c r="C934" s="35" t="n"/>
      <c r="D934" s="35" t="n"/>
      <c r="G934" s="36" t="n"/>
      <c r="H934" s="35" t="n"/>
      <c r="K934" s="39" t="n"/>
      <c r="L934" s="38" t="n"/>
      <c r="M934" s="38" t="n"/>
      <c r="N934" s="38" t="n"/>
      <c r="O934" s="38" t="n"/>
      <c r="P934" s="38" t="n"/>
      <c r="Q934" s="38" t="n"/>
      <c r="U934" s="63" t="n"/>
    </row>
    <row r="935" ht="99.5" customHeight="1" thickBot="1">
      <c r="A935" s="26" t="n"/>
      <c r="B935" s="35" t="n"/>
      <c r="C935" s="35" t="n"/>
      <c r="D935" s="35" t="n"/>
      <c r="G935" s="36" t="n"/>
      <c r="H935" s="35" t="n"/>
      <c r="K935" s="39" t="n"/>
      <c r="L935" s="38" t="n"/>
      <c r="M935" s="38" t="n"/>
      <c r="N935" s="38" t="n"/>
      <c r="O935" s="38" t="n"/>
      <c r="P935" s="38" t="n"/>
      <c r="Q935" s="38" t="n"/>
      <c r="U935" s="63" t="n"/>
    </row>
    <row r="936" ht="99.5" customHeight="1" thickBot="1">
      <c r="A936" s="26" t="n"/>
      <c r="B936" s="35" t="n"/>
      <c r="C936" s="35" t="n"/>
      <c r="D936" s="35" t="n"/>
      <c r="G936" s="36" t="n"/>
      <c r="H936" s="35" t="n"/>
      <c r="K936" s="39" t="n"/>
      <c r="L936" s="38" t="n"/>
      <c r="M936" s="38" t="n"/>
      <c r="N936" s="38" t="n"/>
      <c r="O936" s="38" t="n"/>
      <c r="P936" s="38" t="n"/>
      <c r="Q936" s="38" t="n"/>
      <c r="U936" s="63" t="n"/>
    </row>
    <row r="937" ht="99.5" customHeight="1" thickBot="1">
      <c r="A937" s="26" t="n"/>
      <c r="B937" s="35" t="n"/>
      <c r="C937" s="35" t="n"/>
      <c r="D937" s="35" t="n"/>
      <c r="G937" s="36" t="n"/>
      <c r="H937" s="35" t="n"/>
      <c r="K937" s="39" t="n"/>
      <c r="L937" s="38" t="n"/>
      <c r="M937" s="38" t="n"/>
      <c r="N937" s="38" t="n"/>
      <c r="O937" s="38" t="n"/>
      <c r="P937" s="38" t="n"/>
      <c r="Q937" s="38" t="n"/>
      <c r="U937" s="63" t="n"/>
    </row>
    <row r="938" ht="99.5" customHeight="1" thickBot="1">
      <c r="A938" s="26" t="n"/>
      <c r="B938" s="35" t="n"/>
      <c r="C938" s="35" t="n"/>
      <c r="D938" s="35" t="n"/>
      <c r="G938" s="36" t="n"/>
      <c r="H938" s="35" t="n"/>
      <c r="K938" s="39" t="n"/>
      <c r="L938" s="38" t="n"/>
      <c r="M938" s="38" t="n"/>
      <c r="N938" s="38" t="n"/>
      <c r="O938" s="38" t="n"/>
      <c r="P938" s="38" t="n"/>
      <c r="Q938" s="38" t="n"/>
      <c r="U938" s="63" t="n"/>
    </row>
    <row r="939" ht="99.5" customHeight="1" thickBot="1">
      <c r="A939" s="26" t="n"/>
      <c r="B939" s="35" t="n"/>
      <c r="C939" s="35" t="n"/>
      <c r="D939" s="35" t="n"/>
      <c r="G939" s="36" t="n"/>
      <c r="H939" s="35" t="n"/>
      <c r="K939" s="39" t="n"/>
      <c r="L939" s="38" t="n"/>
      <c r="M939" s="38" t="n"/>
      <c r="N939" s="38" t="n"/>
      <c r="O939" s="38" t="n"/>
      <c r="P939" s="38" t="n"/>
      <c r="Q939" s="38" t="n"/>
      <c r="U939" s="63" t="n"/>
    </row>
    <row r="940" ht="99.5" customHeight="1" thickBot="1">
      <c r="A940" s="26" t="n"/>
      <c r="B940" s="35" t="n"/>
      <c r="C940" s="35" t="n"/>
      <c r="D940" s="35" t="n"/>
      <c r="G940" s="36" t="n"/>
      <c r="H940" s="35" t="n"/>
      <c r="K940" s="39" t="n"/>
      <c r="L940" s="38" t="n"/>
      <c r="M940" s="38" t="n"/>
      <c r="N940" s="38" t="n"/>
      <c r="O940" s="38" t="n"/>
      <c r="P940" s="38" t="n"/>
      <c r="Q940" s="38" t="n"/>
      <c r="U940" s="63" t="n"/>
    </row>
    <row r="941" ht="99.5" customHeight="1" thickBot="1">
      <c r="A941" s="26" t="n"/>
      <c r="B941" s="35" t="n"/>
      <c r="C941" s="35" t="n"/>
      <c r="D941" s="35" t="n"/>
      <c r="G941" s="36" t="n"/>
      <c r="H941" s="35" t="n"/>
      <c r="K941" s="39" t="n"/>
      <c r="L941" s="38" t="n"/>
      <c r="M941" s="38" t="n"/>
      <c r="N941" s="38" t="n"/>
      <c r="O941" s="38" t="n"/>
      <c r="P941" s="38" t="n"/>
      <c r="Q941" s="38" t="n"/>
      <c r="U941" s="63" t="n"/>
    </row>
    <row r="942" ht="99.5" customHeight="1" thickBot="1">
      <c r="A942" s="26" t="n"/>
      <c r="B942" s="35" t="n"/>
      <c r="C942" s="35" t="n"/>
      <c r="D942" s="35" t="n"/>
      <c r="G942" s="36" t="n"/>
      <c r="H942" s="35" t="n"/>
      <c r="K942" s="39" t="n"/>
      <c r="L942" s="38" t="n"/>
      <c r="M942" s="38" t="n"/>
      <c r="N942" s="38" t="n"/>
      <c r="O942" s="38" t="n"/>
      <c r="P942" s="38" t="n"/>
      <c r="Q942" s="38" t="n"/>
      <c r="U942" s="63" t="n"/>
    </row>
    <row r="943" ht="99.5" customHeight="1" thickBot="1">
      <c r="A943" s="26" t="n"/>
      <c r="B943" s="35" t="n"/>
      <c r="C943" s="35" t="n"/>
      <c r="D943" s="35" t="n"/>
      <c r="G943" s="36" t="n"/>
      <c r="H943" s="35" t="n"/>
      <c r="K943" s="39" t="n"/>
      <c r="L943" s="38" t="n"/>
      <c r="M943" s="38" t="n"/>
      <c r="N943" s="38" t="n"/>
      <c r="O943" s="38" t="n"/>
      <c r="P943" s="38" t="n"/>
      <c r="Q943" s="38" t="n"/>
      <c r="U943" s="63" t="n"/>
    </row>
    <row r="944" ht="99.5" customHeight="1" thickBot="1">
      <c r="A944" s="26" t="n"/>
      <c r="B944" s="35" t="n"/>
      <c r="C944" s="35" t="n"/>
      <c r="D944" s="35" t="n"/>
      <c r="G944" s="36" t="n"/>
      <c r="H944" s="35" t="n"/>
      <c r="K944" s="39" t="n"/>
      <c r="L944" s="38" t="n"/>
      <c r="M944" s="38" t="n"/>
      <c r="N944" s="38" t="n"/>
      <c r="O944" s="38" t="n"/>
      <c r="P944" s="38" t="n"/>
      <c r="Q944" s="38" t="n"/>
      <c r="U944" s="63" t="n"/>
    </row>
    <row r="945" ht="99.5" customHeight="1" thickBot="1">
      <c r="A945" s="26" t="n"/>
      <c r="B945" s="35" t="n"/>
      <c r="C945" s="35" t="n"/>
      <c r="D945" s="35" t="n"/>
      <c r="G945" s="36" t="n"/>
      <c r="H945" s="35" t="n"/>
      <c r="K945" s="39" t="n"/>
      <c r="L945" s="38" t="n"/>
      <c r="M945" s="38" t="n"/>
      <c r="N945" s="38" t="n"/>
      <c r="O945" s="38" t="n"/>
      <c r="P945" s="38" t="n"/>
      <c r="Q945" s="38" t="n"/>
      <c r="U945" s="63" t="n"/>
    </row>
    <row r="946" ht="99.5" customHeight="1" thickBot="1">
      <c r="A946" s="26" t="n"/>
      <c r="B946" s="35" t="n"/>
      <c r="C946" s="35" t="n"/>
      <c r="D946" s="35" t="n"/>
      <c r="G946" s="36" t="n"/>
      <c r="H946" s="35" t="n"/>
      <c r="K946" s="39" t="n"/>
      <c r="L946" s="38" t="n"/>
      <c r="M946" s="38" t="n"/>
      <c r="N946" s="38" t="n"/>
      <c r="O946" s="38" t="n"/>
      <c r="P946" s="38" t="n"/>
      <c r="Q946" s="38" t="n"/>
      <c r="U946" s="63" t="n"/>
    </row>
    <row r="947" ht="99.5" customHeight="1" thickBot="1">
      <c r="A947" s="26" t="n"/>
      <c r="B947" s="35" t="n"/>
      <c r="C947" s="35" t="n"/>
      <c r="D947" s="35" t="n"/>
      <c r="G947" s="36" t="n"/>
      <c r="H947" s="35" t="n"/>
      <c r="K947" s="39" t="n"/>
      <c r="L947" s="38" t="n"/>
      <c r="M947" s="38" t="n"/>
      <c r="N947" s="38" t="n"/>
      <c r="O947" s="38" t="n"/>
      <c r="P947" s="38" t="n"/>
      <c r="Q947" s="38" t="n"/>
      <c r="U947" s="63" t="n"/>
    </row>
    <row r="948" ht="99.5" customHeight="1" thickBot="1">
      <c r="A948" s="26" t="n"/>
      <c r="B948" s="35" t="n"/>
      <c r="C948" s="35" t="n"/>
      <c r="D948" s="35" t="n"/>
      <c r="G948" s="36" t="n"/>
      <c r="H948" s="35" t="n"/>
      <c r="K948" s="39" t="n"/>
      <c r="L948" s="38" t="n"/>
      <c r="M948" s="38" t="n"/>
      <c r="N948" s="38" t="n"/>
      <c r="O948" s="38" t="n"/>
      <c r="P948" s="38" t="n"/>
      <c r="Q948" s="38" t="n"/>
      <c r="U948" s="63" t="n"/>
    </row>
    <row r="949" ht="99.5" customHeight="1" thickBot="1">
      <c r="A949" s="26" t="n"/>
      <c r="B949" s="35" t="n"/>
      <c r="C949" s="35" t="n"/>
      <c r="D949" s="35" t="n"/>
      <c r="G949" s="36" t="n"/>
      <c r="H949" s="35" t="n"/>
      <c r="K949" s="39" t="n"/>
      <c r="L949" s="38" t="n"/>
      <c r="M949" s="38" t="n"/>
      <c r="N949" s="38" t="n"/>
      <c r="O949" s="38" t="n"/>
      <c r="P949" s="38" t="n"/>
      <c r="Q949" s="38" t="n"/>
      <c r="U949" s="63" t="n"/>
    </row>
    <row r="950" ht="99.5" customHeight="1" thickBot="1">
      <c r="A950" s="26" t="n"/>
      <c r="B950" s="35" t="n"/>
      <c r="C950" s="35" t="n"/>
      <c r="D950" s="35" t="n"/>
      <c r="G950" s="36" t="n"/>
      <c r="H950" s="35" t="n"/>
      <c r="K950" s="39" t="n"/>
      <c r="L950" s="38" t="n"/>
      <c r="M950" s="38" t="n"/>
      <c r="N950" s="38" t="n"/>
      <c r="O950" s="38" t="n"/>
      <c r="P950" s="38" t="n"/>
      <c r="Q950" s="38" t="n"/>
      <c r="U950" s="63" t="n"/>
    </row>
    <row r="951" ht="99.5" customHeight="1" thickBot="1">
      <c r="A951" s="26" t="n"/>
      <c r="B951" s="35" t="n"/>
      <c r="C951" s="35" t="n"/>
      <c r="D951" s="35" t="n"/>
      <c r="G951" s="36" t="n"/>
      <c r="H951" s="35" t="n"/>
      <c r="K951" s="39" t="n"/>
      <c r="L951" s="38" t="n"/>
      <c r="M951" s="38" t="n"/>
      <c r="N951" s="38" t="n"/>
      <c r="O951" s="38" t="n"/>
      <c r="P951" s="38" t="n"/>
      <c r="Q951" s="38" t="n"/>
      <c r="U951" s="63" t="n"/>
    </row>
    <row r="952" ht="99.5" customHeight="1" thickBot="1">
      <c r="A952" s="26" t="n"/>
      <c r="B952" s="35" t="n"/>
      <c r="C952" s="35" t="n"/>
      <c r="D952" s="35" t="n"/>
      <c r="G952" s="36" t="n"/>
      <c r="H952" s="35" t="n"/>
      <c r="K952" s="39" t="n"/>
      <c r="L952" s="38" t="n"/>
      <c r="M952" s="38" t="n"/>
      <c r="N952" s="38" t="n"/>
      <c r="O952" s="38" t="n"/>
      <c r="P952" s="38" t="n"/>
      <c r="Q952" s="38" t="n"/>
      <c r="U952" s="63" t="n"/>
    </row>
    <row r="953" ht="99.5" customHeight="1" thickBot="1">
      <c r="A953" s="26" t="n"/>
      <c r="B953" s="35" t="n"/>
      <c r="C953" s="35" t="n"/>
      <c r="D953" s="35" t="n"/>
      <c r="G953" s="36" t="n"/>
      <c r="H953" s="35" t="n"/>
      <c r="K953" s="39" t="n"/>
      <c r="L953" s="38" t="n"/>
      <c r="M953" s="38" t="n"/>
      <c r="N953" s="38" t="n"/>
      <c r="O953" s="38" t="n"/>
      <c r="P953" s="38" t="n"/>
      <c r="Q953" s="38" t="n"/>
      <c r="U953" s="63" t="n"/>
    </row>
    <row r="954" ht="99.5" customHeight="1" thickBot="1">
      <c r="A954" s="26" t="n"/>
      <c r="B954" s="35" t="n"/>
      <c r="C954" s="35" t="n"/>
      <c r="D954" s="35" t="n"/>
      <c r="G954" s="36" t="n"/>
      <c r="H954" s="35" t="n"/>
      <c r="K954" s="39" t="n"/>
      <c r="L954" s="38" t="n"/>
      <c r="M954" s="38" t="n"/>
      <c r="N954" s="38" t="n"/>
      <c r="O954" s="38" t="n"/>
      <c r="P954" s="38" t="n"/>
      <c r="Q954" s="38" t="n"/>
      <c r="U954" s="63" t="n"/>
    </row>
    <row r="955" ht="99.5" customHeight="1" thickBot="1">
      <c r="A955" s="26" t="n"/>
      <c r="B955" s="35" t="n"/>
      <c r="C955" s="35" t="n"/>
      <c r="D955" s="35" t="n"/>
      <c r="G955" s="36" t="n"/>
      <c r="H955" s="35" t="n"/>
      <c r="K955" s="39" t="n"/>
      <c r="L955" s="38" t="n"/>
      <c r="M955" s="38" t="n"/>
      <c r="N955" s="38" t="n"/>
      <c r="O955" s="38" t="n"/>
      <c r="P955" s="38" t="n"/>
      <c r="Q955" s="38" t="n"/>
      <c r="U955" s="63" t="n"/>
    </row>
    <row r="956" ht="99.5" customHeight="1" thickBot="1">
      <c r="A956" s="26" t="n"/>
      <c r="B956" s="35" t="n"/>
      <c r="C956" s="35" t="n"/>
      <c r="D956" s="35" t="n"/>
      <c r="G956" s="36" t="n"/>
      <c r="H956" s="35" t="n"/>
      <c r="K956" s="39" t="n"/>
      <c r="L956" s="38" t="n"/>
      <c r="M956" s="38" t="n"/>
      <c r="N956" s="38" t="n"/>
      <c r="O956" s="38" t="n"/>
      <c r="P956" s="38" t="n"/>
      <c r="Q956" s="38" t="n"/>
      <c r="U956" s="63" t="n"/>
    </row>
    <row r="957" ht="99.5" customHeight="1" thickBot="1">
      <c r="A957" s="26" t="n"/>
      <c r="B957" s="35" t="n"/>
      <c r="C957" s="35" t="n"/>
      <c r="D957" s="35" t="n"/>
      <c r="G957" s="36" t="n"/>
      <c r="H957" s="35" t="n"/>
      <c r="K957" s="39" t="n"/>
      <c r="L957" s="38" t="n"/>
      <c r="M957" s="38" t="n"/>
      <c r="N957" s="38" t="n"/>
      <c r="O957" s="38" t="n"/>
      <c r="P957" s="38" t="n"/>
      <c r="Q957" s="38" t="n"/>
      <c r="U957" s="63" t="n"/>
    </row>
    <row r="958" ht="99.5" customHeight="1" thickBot="1">
      <c r="A958" s="26" t="n"/>
      <c r="B958" s="35" t="n"/>
      <c r="C958" s="35" t="n"/>
      <c r="D958" s="35" t="n"/>
      <c r="G958" s="36" t="n"/>
      <c r="H958" s="35" t="n"/>
      <c r="K958" s="39" t="n"/>
      <c r="L958" s="38" t="n"/>
      <c r="M958" s="38" t="n"/>
      <c r="N958" s="38" t="n"/>
      <c r="O958" s="38" t="n"/>
      <c r="P958" s="38" t="n"/>
      <c r="Q958" s="38" t="n"/>
      <c r="U958" s="63" t="n"/>
    </row>
    <row r="959" ht="99.5" customHeight="1" thickBot="1">
      <c r="A959" s="26" t="n"/>
      <c r="B959" s="35" t="n"/>
      <c r="C959" s="35" t="n"/>
      <c r="D959" s="35" t="n"/>
      <c r="G959" s="36" t="n"/>
      <c r="H959" s="35" t="n"/>
      <c r="K959" s="39" t="n"/>
      <c r="L959" s="38" t="n"/>
      <c r="M959" s="38" t="n"/>
      <c r="N959" s="38" t="n"/>
      <c r="O959" s="38" t="n"/>
      <c r="P959" s="38" t="n"/>
      <c r="Q959" s="38" t="n"/>
      <c r="U959" s="63" t="n"/>
    </row>
    <row r="960" ht="99.5" customHeight="1" thickBot="1">
      <c r="A960" s="26" t="n"/>
      <c r="B960" s="35" t="n"/>
      <c r="C960" s="35" t="n"/>
      <c r="D960" s="35" t="n"/>
      <c r="G960" s="36" t="n"/>
      <c r="H960" s="35" t="n"/>
      <c r="K960" s="39" t="n"/>
      <c r="L960" s="38" t="n"/>
      <c r="M960" s="38" t="n"/>
      <c r="N960" s="38" t="n"/>
      <c r="O960" s="38" t="n"/>
      <c r="P960" s="38" t="n"/>
      <c r="Q960" s="38" t="n"/>
      <c r="U960" s="63" t="n"/>
    </row>
    <row r="961" ht="99.5" customHeight="1" thickBot="1">
      <c r="A961" s="26" t="n"/>
      <c r="B961" s="35" t="n"/>
      <c r="C961" s="35" t="n"/>
      <c r="D961" s="35" t="n"/>
      <c r="G961" s="36" t="n"/>
      <c r="H961" s="35" t="n"/>
      <c r="K961" s="39" t="n"/>
      <c r="L961" s="38" t="n"/>
      <c r="M961" s="38" t="n"/>
      <c r="N961" s="38" t="n"/>
      <c r="O961" s="38" t="n"/>
      <c r="P961" s="38" t="n"/>
      <c r="Q961" s="38" t="n"/>
      <c r="U961" s="63" t="n"/>
    </row>
    <row r="962" ht="99.5" customHeight="1" thickBot="1">
      <c r="A962" s="26" t="n"/>
      <c r="B962" s="35" t="n"/>
      <c r="C962" s="35" t="n"/>
      <c r="D962" s="35" t="n"/>
      <c r="G962" s="36" t="n"/>
      <c r="H962" s="35" t="n"/>
      <c r="K962" s="39" t="n"/>
      <c r="L962" s="38" t="n"/>
      <c r="M962" s="38" t="n"/>
      <c r="N962" s="38" t="n"/>
      <c r="O962" s="38" t="n"/>
      <c r="P962" s="38" t="n"/>
      <c r="Q962" s="38" t="n"/>
      <c r="U962" s="63" t="n"/>
    </row>
    <row r="963" ht="99.5" customHeight="1" thickBot="1">
      <c r="A963" s="26" t="n"/>
      <c r="B963" s="35" t="n"/>
      <c r="C963" s="35" t="n"/>
      <c r="D963" s="35" t="n"/>
      <c r="G963" s="36" t="n"/>
      <c r="H963" s="35" t="n"/>
      <c r="K963" s="39" t="n"/>
      <c r="L963" s="38" t="n"/>
      <c r="M963" s="38" t="n"/>
      <c r="N963" s="38" t="n"/>
      <c r="O963" s="38" t="n"/>
      <c r="P963" s="38" t="n"/>
      <c r="Q963" s="38" t="n"/>
      <c r="U963" s="63" t="n"/>
    </row>
    <row r="964" ht="99.5" customHeight="1" thickBot="1">
      <c r="A964" s="26" t="n"/>
      <c r="B964" s="35" t="n"/>
      <c r="C964" s="35" t="n"/>
      <c r="D964" s="35" t="n"/>
      <c r="G964" s="36" t="n"/>
      <c r="H964" s="35" t="n"/>
      <c r="K964" s="39" t="n"/>
      <c r="L964" s="38" t="n"/>
      <c r="M964" s="38" t="n"/>
      <c r="N964" s="38" t="n"/>
      <c r="O964" s="38" t="n"/>
      <c r="P964" s="38" t="n"/>
      <c r="Q964" s="38" t="n"/>
      <c r="U964" s="63" t="n"/>
    </row>
    <row r="965" ht="99.5" customHeight="1" thickBot="1">
      <c r="A965" s="26" t="n"/>
      <c r="B965" s="35" t="n"/>
      <c r="C965" s="35" t="n"/>
      <c r="D965" s="35" t="n"/>
      <c r="G965" s="36" t="n"/>
      <c r="H965" s="35" t="n"/>
      <c r="K965" s="39" t="n"/>
      <c r="L965" s="38" t="n"/>
      <c r="M965" s="38" t="n"/>
      <c r="N965" s="38" t="n"/>
      <c r="O965" s="38" t="n"/>
      <c r="P965" s="38" t="n"/>
      <c r="Q965" s="38" t="n"/>
      <c r="U965" s="63" t="n"/>
    </row>
    <row r="966" ht="99.5" customHeight="1" thickBot="1">
      <c r="A966" s="26" t="n"/>
      <c r="B966" s="35" t="n"/>
      <c r="C966" s="35" t="n"/>
      <c r="D966" s="35" t="n"/>
      <c r="G966" s="36" t="n"/>
      <c r="H966" s="35" t="n"/>
      <c r="K966" s="39" t="n"/>
      <c r="L966" s="38" t="n"/>
      <c r="M966" s="38" t="n"/>
      <c r="N966" s="38" t="n"/>
      <c r="O966" s="38" t="n"/>
      <c r="P966" s="38" t="n"/>
      <c r="Q966" s="38" t="n"/>
      <c r="U966" s="63" t="n"/>
    </row>
    <row r="967" ht="99.5" customHeight="1" thickBot="1">
      <c r="A967" s="26" t="n"/>
      <c r="B967" s="35" t="n"/>
      <c r="C967" s="35" t="n"/>
      <c r="D967" s="35" t="n"/>
      <c r="G967" s="36" t="n"/>
      <c r="H967" s="35" t="n"/>
      <c r="K967" s="39" t="n"/>
      <c r="L967" s="38" t="n"/>
      <c r="M967" s="38" t="n"/>
      <c r="N967" s="38" t="n"/>
      <c r="O967" s="38" t="n"/>
      <c r="P967" s="38" t="n"/>
      <c r="Q967" s="38" t="n"/>
      <c r="U967" s="63" t="n"/>
    </row>
    <row r="968" ht="99.5" customHeight="1" thickBot="1">
      <c r="A968" s="26" t="n"/>
      <c r="B968" s="35" t="n"/>
      <c r="C968" s="35" t="n"/>
      <c r="D968" s="35" t="n"/>
      <c r="G968" s="36" t="n"/>
      <c r="H968" s="35" t="n"/>
      <c r="K968" s="39" t="n"/>
      <c r="L968" s="38" t="n"/>
      <c r="M968" s="38" t="n"/>
      <c r="N968" s="38" t="n"/>
      <c r="O968" s="38" t="n"/>
      <c r="P968" s="38" t="n"/>
      <c r="Q968" s="38" t="n"/>
      <c r="U968" s="63" t="n"/>
    </row>
    <row r="969" ht="99.5" customHeight="1" thickBot="1">
      <c r="A969" s="26" t="n"/>
      <c r="B969" s="35" t="n"/>
      <c r="C969" s="35" t="n"/>
      <c r="D969" s="35" t="n"/>
      <c r="G969" s="36" t="n"/>
      <c r="H969" s="35" t="n"/>
      <c r="K969" s="39" t="n"/>
      <c r="L969" s="38" t="n"/>
      <c r="M969" s="38" t="n"/>
      <c r="N969" s="38" t="n"/>
      <c r="O969" s="38" t="n"/>
      <c r="P969" s="38" t="n"/>
      <c r="Q969" s="38" t="n"/>
      <c r="U969" s="63" t="n"/>
    </row>
    <row r="970" ht="99.5" customHeight="1" thickBot="1">
      <c r="A970" s="26" t="n"/>
      <c r="B970" s="35" t="n"/>
      <c r="C970" s="35" t="n"/>
      <c r="D970" s="35" t="n"/>
      <c r="G970" s="36" t="n"/>
      <c r="H970" s="35" t="n"/>
      <c r="K970" s="39" t="n"/>
      <c r="L970" s="38" t="n"/>
      <c r="M970" s="38" t="n"/>
      <c r="N970" s="38" t="n"/>
      <c r="O970" s="38" t="n"/>
      <c r="P970" s="38" t="n"/>
      <c r="Q970" s="38" t="n"/>
      <c r="U970" s="63" t="n"/>
    </row>
    <row r="971" ht="99.5" customHeight="1" thickBot="1">
      <c r="A971" s="26" t="n"/>
      <c r="B971" s="35" t="n"/>
      <c r="C971" s="35" t="n"/>
      <c r="D971" s="35" t="n"/>
      <c r="G971" s="36" t="n"/>
      <c r="H971" s="35" t="n"/>
      <c r="K971" s="39" t="n"/>
      <c r="L971" s="38" t="n"/>
      <c r="M971" s="38" t="n"/>
      <c r="N971" s="38" t="n"/>
      <c r="O971" s="38" t="n"/>
      <c r="P971" s="38" t="n"/>
      <c r="Q971" s="38" t="n"/>
      <c r="U971" s="63" t="n"/>
    </row>
    <row r="972" ht="99.5" customHeight="1" thickBot="1">
      <c r="A972" s="26" t="n"/>
      <c r="B972" s="35" t="n"/>
      <c r="C972" s="35" t="n"/>
      <c r="D972" s="35" t="n"/>
      <c r="G972" s="36" t="n"/>
      <c r="H972" s="35" t="n"/>
      <c r="K972" s="39" t="n"/>
      <c r="L972" s="38" t="n"/>
      <c r="M972" s="38" t="n"/>
      <c r="N972" s="38" t="n"/>
      <c r="O972" s="38" t="n"/>
      <c r="P972" s="38" t="n"/>
      <c r="Q972" s="38" t="n"/>
      <c r="U972" s="63" t="n"/>
    </row>
    <row r="973" ht="99.5" customHeight="1" thickBot="1">
      <c r="A973" s="26" t="n"/>
      <c r="B973" s="35" t="n"/>
      <c r="C973" s="35" t="n"/>
      <c r="D973" s="35" t="n"/>
      <c r="G973" s="36" t="n"/>
      <c r="H973" s="35" t="n"/>
      <c r="K973" s="39" t="n"/>
      <c r="L973" s="38" t="n"/>
      <c r="M973" s="38" t="n"/>
      <c r="N973" s="38" t="n"/>
      <c r="O973" s="38" t="n"/>
      <c r="P973" s="38" t="n"/>
      <c r="Q973" s="38" t="n"/>
      <c r="U973" s="63" t="n"/>
    </row>
    <row r="974" ht="99.5" customHeight="1" thickBot="1">
      <c r="A974" s="26" t="n"/>
      <c r="B974" s="35" t="n"/>
      <c r="C974" s="35" t="n"/>
      <c r="D974" s="35" t="n"/>
      <c r="G974" s="36" t="n"/>
      <c r="H974" s="35" t="n"/>
      <c r="K974" s="39" t="n"/>
      <c r="L974" s="38" t="n"/>
      <c r="M974" s="38" t="n"/>
      <c r="N974" s="38" t="n"/>
      <c r="O974" s="38" t="n"/>
      <c r="P974" s="38" t="n"/>
      <c r="Q974" s="38" t="n"/>
      <c r="U974" s="63" t="n"/>
    </row>
    <row r="975" ht="99.5" customHeight="1" thickBot="1">
      <c r="A975" s="26" t="n"/>
      <c r="B975" s="35" t="n"/>
      <c r="C975" s="35" t="n"/>
      <c r="D975" s="35" t="n"/>
      <c r="G975" s="36" t="n"/>
      <c r="H975" s="35" t="n"/>
      <c r="K975" s="39" t="n"/>
      <c r="L975" s="38" t="n"/>
      <c r="M975" s="38" t="n"/>
      <c r="N975" s="38" t="n"/>
      <c r="O975" s="38" t="n"/>
      <c r="P975" s="38" t="n"/>
      <c r="Q975" s="38" t="n"/>
      <c r="U975" s="63" t="n"/>
    </row>
    <row r="976" ht="99.5" customHeight="1" thickBot="1">
      <c r="A976" s="26" t="n"/>
      <c r="B976" s="35" t="n"/>
      <c r="C976" s="35" t="n"/>
      <c r="D976" s="35" t="n"/>
      <c r="G976" s="36" t="n"/>
      <c r="H976" s="35" t="n"/>
      <c r="K976" s="39" t="n"/>
      <c r="L976" s="38" t="n"/>
      <c r="M976" s="38" t="n"/>
      <c r="N976" s="38" t="n"/>
      <c r="O976" s="38" t="n"/>
      <c r="P976" s="38" t="n"/>
      <c r="Q976" s="38" t="n"/>
      <c r="U976" s="63" t="n"/>
    </row>
    <row r="977" ht="99.5" customHeight="1" thickBot="1">
      <c r="A977" s="26" t="n"/>
      <c r="B977" s="35" t="n"/>
      <c r="C977" s="35" t="n"/>
      <c r="D977" s="35" t="n"/>
      <c r="G977" s="36" t="n"/>
      <c r="H977" s="35" t="n"/>
      <c r="K977" s="39" t="n"/>
      <c r="L977" s="38" t="n"/>
      <c r="M977" s="38" t="n"/>
      <c r="N977" s="38" t="n"/>
      <c r="O977" s="38" t="n"/>
      <c r="P977" s="38" t="n"/>
      <c r="Q977" s="38" t="n"/>
      <c r="U977" s="63" t="n"/>
    </row>
    <row r="978" ht="99.5" customHeight="1" thickBot="1">
      <c r="A978" s="26" t="n"/>
      <c r="B978" s="35" t="n"/>
      <c r="C978" s="35" t="n"/>
      <c r="D978" s="35" t="n"/>
      <c r="G978" s="36" t="n"/>
      <c r="H978" s="35" t="n"/>
      <c r="K978" s="39" t="n"/>
      <c r="L978" s="38" t="n"/>
      <c r="M978" s="38" t="n"/>
      <c r="N978" s="38" t="n"/>
      <c r="O978" s="38" t="n"/>
      <c r="P978" s="38" t="n"/>
      <c r="Q978" s="38" t="n"/>
      <c r="U978" s="63" t="n"/>
    </row>
    <row r="979" ht="99.5" customHeight="1" thickBot="1">
      <c r="A979" s="26" t="n"/>
      <c r="B979" s="35" t="n"/>
      <c r="C979" s="35" t="n"/>
      <c r="D979" s="35" t="n"/>
      <c r="G979" s="36" t="n"/>
      <c r="H979" s="35" t="n"/>
      <c r="K979" s="39" t="n"/>
      <c r="L979" s="38" t="n"/>
      <c r="M979" s="38" t="n"/>
      <c r="N979" s="38" t="n"/>
      <c r="O979" s="38" t="n"/>
      <c r="P979" s="38" t="n"/>
      <c r="Q979" s="38" t="n"/>
      <c r="U979" s="63" t="n"/>
    </row>
    <row r="980" ht="99.5" customHeight="1" thickBot="1">
      <c r="A980" s="26" t="n"/>
      <c r="B980" s="35" t="n"/>
      <c r="C980" s="35" t="n"/>
      <c r="D980" s="35" t="n"/>
      <c r="G980" s="36" t="n"/>
      <c r="H980" s="35" t="n"/>
      <c r="K980" s="39" t="n"/>
      <c r="L980" s="38" t="n"/>
      <c r="M980" s="38" t="n"/>
      <c r="N980" s="38" t="n"/>
      <c r="O980" s="38" t="n"/>
      <c r="P980" s="38" t="n"/>
      <c r="Q980" s="38" t="n"/>
      <c r="U980" s="63" t="n"/>
    </row>
    <row r="981" ht="99.5" customHeight="1" thickBot="1">
      <c r="A981" s="26" t="n"/>
      <c r="B981" s="35" t="n"/>
      <c r="C981" s="35" t="n"/>
      <c r="D981" s="35" t="n"/>
      <c r="G981" s="36" t="n"/>
      <c r="H981" s="35" t="n"/>
      <c r="K981" s="39" t="n"/>
      <c r="L981" s="38" t="n"/>
      <c r="M981" s="38" t="n"/>
      <c r="N981" s="38" t="n"/>
      <c r="O981" s="38" t="n"/>
      <c r="P981" s="38" t="n"/>
      <c r="Q981" s="38" t="n"/>
      <c r="U981" s="63" t="n"/>
    </row>
    <row r="982" ht="99.5" customHeight="1" thickBot="1">
      <c r="A982" s="26" t="n"/>
      <c r="B982" s="35" t="n"/>
      <c r="C982" s="35" t="n"/>
      <c r="D982" s="35" t="n"/>
      <c r="G982" s="36" t="n"/>
      <c r="H982" s="35" t="n"/>
      <c r="K982" s="39" t="n"/>
      <c r="L982" s="38" t="n"/>
      <c r="M982" s="38" t="n"/>
      <c r="N982" s="38" t="n"/>
      <c r="O982" s="38" t="n"/>
      <c r="P982" s="38" t="n"/>
      <c r="Q982" s="38" t="n"/>
      <c r="U982" s="63" t="n"/>
    </row>
    <row r="983" ht="99.5" customHeight="1" thickBot="1">
      <c r="A983" s="26" t="n"/>
      <c r="B983" s="35" t="n"/>
      <c r="C983" s="35" t="n"/>
      <c r="D983" s="35" t="n"/>
      <c r="G983" s="36" t="n"/>
      <c r="H983" s="35" t="n"/>
      <c r="K983" s="39" t="n"/>
      <c r="L983" s="38" t="n"/>
      <c r="M983" s="38" t="n"/>
      <c r="N983" s="38" t="n"/>
      <c r="O983" s="38" t="n"/>
      <c r="P983" s="38" t="n"/>
      <c r="Q983" s="38" t="n"/>
      <c r="U983" s="63" t="n"/>
    </row>
    <row r="984" ht="99.5" customHeight="1" thickBot="1">
      <c r="A984" s="26" t="n"/>
      <c r="B984" s="35" t="n"/>
      <c r="C984" s="35" t="n"/>
      <c r="D984" s="35" t="n"/>
      <c r="G984" s="36" t="n"/>
      <c r="H984" s="35" t="n"/>
      <c r="K984" s="39" t="n"/>
      <c r="L984" s="38" t="n"/>
      <c r="M984" s="38" t="n"/>
      <c r="N984" s="38" t="n"/>
      <c r="O984" s="38" t="n"/>
      <c r="P984" s="38" t="n"/>
      <c r="Q984" s="38" t="n"/>
      <c r="U984" s="63" t="n"/>
    </row>
    <row r="985" ht="99.5" customHeight="1" thickBot="1">
      <c r="A985" s="26" t="n"/>
      <c r="B985" s="35" t="n"/>
      <c r="C985" s="35" t="n"/>
      <c r="D985" s="35" t="n"/>
      <c r="G985" s="36" t="n"/>
      <c r="H985" s="35" t="n"/>
      <c r="K985" s="39" t="n"/>
      <c r="L985" s="38" t="n"/>
      <c r="M985" s="38" t="n"/>
      <c r="N985" s="38" t="n"/>
      <c r="O985" s="38" t="n"/>
      <c r="P985" s="38" t="n"/>
      <c r="Q985" s="38" t="n"/>
      <c r="U985" s="63" t="n"/>
    </row>
    <row r="986" ht="99.5" customHeight="1" thickBot="1">
      <c r="A986" s="26" t="n"/>
      <c r="B986" s="35" t="n"/>
      <c r="C986" s="35" t="n"/>
      <c r="D986" s="35" t="n"/>
      <c r="G986" s="36" t="n"/>
      <c r="H986" s="35" t="n"/>
      <c r="K986" s="39" t="n"/>
      <c r="L986" s="38" t="n"/>
      <c r="M986" s="38" t="n"/>
      <c r="N986" s="38" t="n"/>
      <c r="O986" s="38" t="n"/>
      <c r="P986" s="38" t="n"/>
      <c r="Q986" s="38" t="n"/>
      <c r="U986" s="63" t="n"/>
    </row>
    <row r="987" ht="99.5" customHeight="1" thickBot="1">
      <c r="A987" s="26" t="n"/>
      <c r="B987" s="35" t="n"/>
      <c r="C987" s="35" t="n"/>
      <c r="D987" s="35" t="n"/>
      <c r="G987" s="36" t="n"/>
      <c r="H987" s="35" t="n"/>
      <c r="K987" s="39" t="n"/>
      <c r="L987" s="38" t="n"/>
      <c r="M987" s="38" t="n"/>
      <c r="N987" s="38" t="n"/>
      <c r="O987" s="38" t="n"/>
      <c r="P987" s="38" t="n"/>
      <c r="Q987" s="38" t="n"/>
      <c r="U987" s="63" t="n"/>
    </row>
    <row r="988" ht="99.5" customHeight="1" thickBot="1">
      <c r="A988" s="26" t="n"/>
      <c r="B988" s="35" t="n"/>
      <c r="C988" s="35" t="n"/>
      <c r="D988" s="35" t="n"/>
      <c r="G988" s="36" t="n"/>
      <c r="H988" s="35" t="n"/>
      <c r="K988" s="39" t="n"/>
      <c r="L988" s="38" t="n"/>
      <c r="M988" s="38" t="n"/>
      <c r="N988" s="38" t="n"/>
      <c r="O988" s="38" t="n"/>
      <c r="P988" s="38" t="n"/>
      <c r="Q988" s="38" t="n"/>
      <c r="U988" s="63" t="n"/>
    </row>
    <row r="989" ht="99.5" customHeight="1" thickBot="1">
      <c r="A989" s="26" t="n"/>
      <c r="B989" s="35" t="n"/>
      <c r="C989" s="35" t="n"/>
      <c r="D989" s="35" t="n"/>
      <c r="G989" s="36" t="n"/>
      <c r="H989" s="35" t="n"/>
      <c r="K989" s="39" t="n"/>
      <c r="L989" s="38" t="n"/>
      <c r="M989" s="38" t="n"/>
      <c r="N989" s="38" t="n"/>
      <c r="O989" s="38" t="n"/>
      <c r="P989" s="38" t="n"/>
      <c r="Q989" s="38" t="n"/>
      <c r="U989" s="63" t="n"/>
    </row>
    <row r="990" ht="99.5" customHeight="1" thickBot="1">
      <c r="A990" s="26" t="n"/>
      <c r="B990" s="35" t="n"/>
      <c r="C990" s="35" t="n"/>
      <c r="D990" s="35" t="n"/>
      <c r="G990" s="36" t="n"/>
      <c r="H990" s="35" t="n"/>
      <c r="K990" s="39" t="n"/>
      <c r="L990" s="38" t="n"/>
      <c r="M990" s="38" t="n"/>
      <c r="N990" s="38" t="n"/>
      <c r="O990" s="38" t="n"/>
      <c r="P990" s="38" t="n"/>
      <c r="Q990" s="38" t="n"/>
      <c r="U990" s="63" t="n"/>
    </row>
    <row r="991" ht="99.5" customHeight="1" thickBot="1">
      <c r="A991" s="26" t="n"/>
      <c r="B991" s="35" t="n"/>
      <c r="C991" s="35" t="n"/>
      <c r="D991" s="35" t="n"/>
      <c r="G991" s="36" t="n"/>
      <c r="H991" s="35" t="n"/>
      <c r="K991" s="39" t="n"/>
      <c r="L991" s="38" t="n"/>
      <c r="M991" s="38" t="n"/>
      <c r="N991" s="38" t="n"/>
      <c r="O991" s="38" t="n"/>
      <c r="P991" s="38" t="n"/>
      <c r="Q991" s="38" t="n"/>
      <c r="U991" s="63" t="n"/>
    </row>
    <row r="992" ht="99.5" customHeight="1" thickBot="1">
      <c r="A992" s="26" t="n"/>
      <c r="B992" s="35" t="n"/>
      <c r="C992" s="35" t="n"/>
      <c r="D992" s="35" t="n"/>
      <c r="G992" s="36" t="n"/>
      <c r="H992" s="35" t="n"/>
      <c r="K992" s="39" t="n"/>
      <c r="L992" s="38" t="n"/>
      <c r="M992" s="38" t="n"/>
      <c r="N992" s="38" t="n"/>
      <c r="O992" s="38" t="n"/>
      <c r="P992" s="38" t="n"/>
      <c r="Q992" s="38" t="n"/>
      <c r="U992" s="63" t="n"/>
    </row>
    <row r="993" ht="99.5" customHeight="1" thickBot="1">
      <c r="A993" s="26" t="n"/>
      <c r="B993" s="35" t="n"/>
      <c r="C993" s="35" t="n"/>
      <c r="D993" s="35" t="n"/>
      <c r="G993" s="36" t="n"/>
      <c r="H993" s="35" t="n"/>
      <c r="K993" s="39" t="n"/>
      <c r="L993" s="38" t="n"/>
      <c r="M993" s="38" t="n"/>
      <c r="N993" s="38" t="n"/>
      <c r="O993" s="38" t="n"/>
      <c r="P993" s="38" t="n"/>
      <c r="Q993" s="38" t="n"/>
      <c r="U993" s="63" t="n"/>
    </row>
    <row r="994" ht="99.5" customHeight="1" thickBot="1">
      <c r="A994" s="26" t="n"/>
      <c r="B994" s="35" t="n"/>
      <c r="C994" s="35" t="n"/>
      <c r="D994" s="35" t="n"/>
      <c r="G994" s="36" t="n"/>
      <c r="H994" s="35" t="n"/>
      <c r="K994" s="39" t="n"/>
      <c r="L994" s="38" t="n"/>
      <c r="M994" s="38" t="n"/>
      <c r="N994" s="38" t="n"/>
      <c r="O994" s="38" t="n"/>
      <c r="P994" s="38" t="n"/>
      <c r="Q994" s="38" t="n"/>
      <c r="U994" s="63" t="n"/>
    </row>
    <row r="995" ht="99.5" customHeight="1" thickBot="1">
      <c r="A995" s="26" t="n"/>
      <c r="B995" s="35" t="n"/>
      <c r="C995" s="35" t="n"/>
      <c r="D995" s="35" t="n"/>
      <c r="G995" s="36" t="n"/>
      <c r="H995" s="35" t="n"/>
      <c r="K995" s="39" t="n"/>
      <c r="L995" s="38" t="n"/>
      <c r="M995" s="38" t="n"/>
      <c r="N995" s="38" t="n"/>
      <c r="O995" s="38" t="n"/>
      <c r="P995" s="38" t="n"/>
      <c r="Q995" s="38" t="n"/>
      <c r="U995" s="63" t="n"/>
    </row>
    <row r="996" ht="99.5" customHeight="1" thickBot="1">
      <c r="A996" s="26" t="n"/>
      <c r="B996" s="35" t="n"/>
      <c r="C996" s="35" t="n"/>
      <c r="D996" s="35" t="n"/>
      <c r="G996" s="36" t="n"/>
      <c r="H996" s="35" t="n"/>
      <c r="K996" s="39" t="n"/>
      <c r="L996" s="38" t="n"/>
      <c r="M996" s="38" t="n"/>
      <c r="N996" s="38" t="n"/>
      <c r="O996" s="38" t="n"/>
      <c r="P996" s="38" t="n"/>
      <c r="Q996" s="38" t="n"/>
      <c r="U996" s="63" t="n"/>
    </row>
    <row r="997" ht="99.5" customHeight="1" thickBot="1">
      <c r="A997" s="26" t="n"/>
      <c r="B997" s="35" t="n"/>
      <c r="C997" s="35" t="n"/>
      <c r="D997" s="35" t="n"/>
      <c r="G997" s="36" t="n"/>
      <c r="H997" s="35" t="n"/>
      <c r="K997" s="39" t="n"/>
      <c r="L997" s="38" t="n"/>
      <c r="M997" s="38" t="n"/>
      <c r="N997" s="38" t="n"/>
      <c r="O997" s="38" t="n"/>
      <c r="P997" s="38" t="n"/>
      <c r="Q997" s="38" t="n"/>
      <c r="U997" s="63" t="n"/>
    </row>
    <row r="998" ht="99.5" customHeight="1" thickBot="1">
      <c r="A998" s="26" t="n"/>
      <c r="B998" s="35" t="n"/>
      <c r="C998" s="35" t="n"/>
      <c r="D998" s="35" t="n"/>
      <c r="G998" s="36" t="n"/>
      <c r="H998" s="35" t="n"/>
      <c r="K998" s="39" t="n"/>
      <c r="L998" s="38" t="n"/>
      <c r="M998" s="38" t="n"/>
      <c r="N998" s="38" t="n"/>
      <c r="O998" s="38" t="n"/>
      <c r="P998" s="38" t="n"/>
      <c r="Q998" s="38" t="n"/>
      <c r="U998" s="63" t="n"/>
    </row>
    <row r="999" ht="99.5" customHeight="1" thickBot="1">
      <c r="A999" s="26" t="n"/>
      <c r="B999" s="35" t="n"/>
      <c r="C999" s="35" t="n"/>
      <c r="D999" s="35" t="n"/>
      <c r="G999" s="36" t="n"/>
      <c r="H999" s="35" t="n"/>
      <c r="K999" s="39" t="n"/>
      <c r="L999" s="38" t="n"/>
      <c r="M999" s="38" t="n"/>
      <c r="N999" s="38" t="n"/>
      <c r="O999" s="38" t="n"/>
      <c r="P999" s="38" t="n"/>
      <c r="Q999" s="38" t="n"/>
      <c r="U999" s="63" t="n"/>
    </row>
  </sheetData>
  <pageMargins left="0.7" right="0.7" top="0.75" bottom="0.75" header="0.3" footer="0.3"/>
  <pageSetup orientation="portrait"/>
</worksheet>
</file>

<file path=xl/worksheets/sheet2.xml><?xml version="1.0" encoding="utf-8"?>
<worksheet xmlns="http://schemas.openxmlformats.org/spreadsheetml/2006/main">
  <sheetPr filterMode="1">
    <outlinePr summaryBelow="0" summaryRight="0"/>
    <pageSetUpPr/>
  </sheetPr>
  <dimension ref="A1:C332"/>
  <sheetViews>
    <sheetView workbookViewId="0">
      <selection activeCell="A1" sqref="A1"/>
    </sheetView>
  </sheetViews>
  <sheetFormatPr baseColWidth="8" defaultColWidth="12.6328125" defaultRowHeight="15.75" customHeight="1"/>
  <cols>
    <col width="9.36328125" customWidth="1" min="1" max="1"/>
    <col width="12" customWidth="1" min="2" max="2"/>
    <col width="21.08984375" customWidth="1" min="3" max="3"/>
    <col width="9.36328125" customWidth="1" min="4" max="26"/>
  </cols>
  <sheetData>
    <row r="1" ht="17.25" customHeight="1">
      <c r="A1" s="40" t="inlineStr">
        <is>
          <t>Id</t>
        </is>
      </c>
      <c r="B1" s="40" t="inlineStr">
        <is>
          <t>Image</t>
        </is>
      </c>
      <c r="C1" s="40" t="inlineStr">
        <is>
          <t>Name</t>
        </is>
      </c>
    </row>
    <row r="2" ht="72" customHeight="1">
      <c r="A2" s="41">
        <f>IF(Local!F2="Available",Local!A2,"")</f>
        <v/>
      </c>
      <c r="B2" s="41">
        <f>IF(Local!F2="Available",Local!B2,"")</f>
        <v/>
      </c>
      <c r="C2" s="41">
        <f>IF(Local!F2="Available",Local!C2,"")</f>
        <v/>
      </c>
    </row>
    <row r="3" hidden="1" ht="72" customHeight="1">
      <c r="A3" s="41">
        <f>IF(Local!F3="Available",Local!A3,"")</f>
        <v/>
      </c>
      <c r="B3" s="41">
        <f>IF(Local!F3="Available",Local!B3,"")</f>
        <v/>
      </c>
      <c r="C3" s="41">
        <f>IF(Local!F3="Available",Local!C3,"")</f>
        <v/>
      </c>
    </row>
    <row r="4" hidden="1" ht="72" customHeight="1">
      <c r="A4" s="41">
        <f>IF(Local!F4="Available",Local!A4,"")</f>
        <v/>
      </c>
      <c r="B4" s="41">
        <f>IF(Local!F4="Available",Local!B4,"")</f>
        <v/>
      </c>
      <c r="C4" s="41">
        <f>IF(Local!F4="Available",Local!C4,"")</f>
        <v/>
      </c>
    </row>
    <row r="5" ht="72" customHeight="1">
      <c r="A5" s="41">
        <f>IF(Local!F5="Available",Local!A5,"")</f>
        <v/>
      </c>
      <c r="B5" s="41">
        <f>IF(Local!F5="Available",Local!B5,"")</f>
        <v/>
      </c>
      <c r="C5" s="41">
        <f>IF(Local!F5="Available",Local!C5,"")</f>
        <v/>
      </c>
    </row>
    <row r="6" hidden="1" ht="72" customHeight="1">
      <c r="A6" s="41">
        <f>IF(Local!F6="Available",Local!A6,"")</f>
        <v/>
      </c>
      <c r="B6" s="41">
        <f>IF(Local!F6="Available",Local!B6,"")</f>
        <v/>
      </c>
      <c r="C6" s="41">
        <f>IF(Local!F6="Available",Local!C6,"")</f>
        <v/>
      </c>
    </row>
    <row r="7" hidden="1" ht="72" customHeight="1">
      <c r="A7" s="41">
        <f>IF(Local!F7="Available",Local!A7,"")</f>
        <v/>
      </c>
      <c r="B7" s="41">
        <f>IF(Local!F7="Available",Local!B7,"")</f>
        <v/>
      </c>
      <c r="C7" s="41">
        <f>IF(Local!F7="Available",Local!C7,"")</f>
        <v/>
      </c>
    </row>
    <row r="8" ht="72" customHeight="1">
      <c r="A8" s="41">
        <f>IF(Local!F8="Available",Local!A8,"")</f>
        <v/>
      </c>
      <c r="B8" s="41">
        <f>IF(Local!F8="Available",Local!B8,"")</f>
        <v/>
      </c>
      <c r="C8" s="41">
        <f>IF(Local!F8="Available",Local!C8,"")</f>
        <v/>
      </c>
    </row>
    <row r="9" ht="72" customHeight="1">
      <c r="A9" s="41">
        <f>IF(Local!F9="Available",Local!A9,"")</f>
        <v/>
      </c>
      <c r="B9" s="41">
        <f>IF(Local!F9="Available",Local!B9,"")</f>
        <v/>
      </c>
      <c r="C9" s="41">
        <f>IF(Local!F9="Available",Local!C9,"")</f>
        <v/>
      </c>
    </row>
    <row r="10" hidden="1" ht="72" customHeight="1">
      <c r="A10" s="41">
        <f>IF(Local!F10="Available",Local!A10,"")</f>
        <v/>
      </c>
      <c r="B10" s="41">
        <f>IF(Local!F10="Available",Local!B10,"")</f>
        <v/>
      </c>
      <c r="C10" s="41">
        <f>IF(Local!F10="Available",Local!C10,"")</f>
        <v/>
      </c>
    </row>
    <row r="11" hidden="1" ht="72" customHeight="1">
      <c r="A11" s="41">
        <f>IF(Local!F11="Available",Local!A11,"")</f>
        <v/>
      </c>
      <c r="B11" s="41">
        <f>IF(Local!F11="Available",Local!B11,"")</f>
        <v/>
      </c>
      <c r="C11" s="41">
        <f>IF(Local!F11="Available",Local!C11,"")</f>
        <v/>
      </c>
    </row>
    <row r="12" hidden="1" ht="72" customHeight="1">
      <c r="A12" s="41">
        <f>IF(Local!F12="Available",Local!A12,"")</f>
        <v/>
      </c>
      <c r="B12" s="41">
        <f>IF(Local!F12="Available",Local!B12,"")</f>
        <v/>
      </c>
      <c r="C12" s="41">
        <f>IF(Local!F12="Available",Local!C12,"")</f>
        <v/>
      </c>
    </row>
    <row r="13" hidden="1" ht="72" customHeight="1">
      <c r="A13" s="41">
        <f>IF(Local!F13="Available",Local!A13,"")</f>
        <v/>
      </c>
      <c r="B13" s="41">
        <f>IF(Local!F13="Available",Local!B13,"")</f>
        <v/>
      </c>
      <c r="C13" s="41">
        <f>IF(Local!F13="Available",Local!C13,"")</f>
        <v/>
      </c>
    </row>
    <row r="14" ht="72" customHeight="1">
      <c r="A14" s="41">
        <f>IF(Local!F14="Available",Local!A14,"")</f>
        <v/>
      </c>
      <c r="B14" s="41">
        <f>IF(Local!F14="Available",Local!B14,"")</f>
        <v/>
      </c>
      <c r="C14" s="41">
        <f>IF(Local!F14="Available",Local!C14,"")</f>
        <v/>
      </c>
    </row>
    <row r="15" hidden="1" ht="72" customHeight="1">
      <c r="A15" s="41">
        <f>IF(Local!F15="Available",Local!A15,"")</f>
        <v/>
      </c>
      <c r="B15" s="41">
        <f>IF(Local!F15="Available",Local!B15,"")</f>
        <v/>
      </c>
      <c r="C15" s="41">
        <f>IF(Local!F15="Available",Local!C15,"")</f>
        <v/>
      </c>
    </row>
    <row r="16" hidden="1" ht="72" customHeight="1">
      <c r="A16" s="41">
        <f>IF(Local!F16="Available",Local!A16,"")</f>
        <v/>
      </c>
      <c r="B16" s="41">
        <f>IF(Local!F16="Available",Local!B16,"")</f>
        <v/>
      </c>
      <c r="C16" s="41">
        <f>IF(Local!F16="Available",Local!C16,"")</f>
        <v/>
      </c>
    </row>
    <row r="17" hidden="1" ht="72" customHeight="1">
      <c r="A17" s="41">
        <f>IF(Local!F17="Available",Local!A17,"")</f>
        <v/>
      </c>
      <c r="B17" s="41">
        <f>IF(Local!F17="Available",Local!B17,"")</f>
        <v/>
      </c>
      <c r="C17" s="41">
        <f>IF(Local!F17="Available",Local!C17,"")</f>
        <v/>
      </c>
    </row>
    <row r="18" ht="72" customHeight="1">
      <c r="A18" s="41">
        <f>IF(Local!F18="Available",Local!A18,"")</f>
        <v/>
      </c>
      <c r="B18" s="41">
        <f>IF(Local!F18="Available",Local!B18,"")</f>
        <v/>
      </c>
      <c r="C18" s="41">
        <f>IF(Local!F18="Available",Local!C18,"")</f>
        <v/>
      </c>
    </row>
    <row r="19" hidden="1" ht="72" customHeight="1">
      <c r="A19" s="41">
        <f>IF(Local!F19="Available",Local!A19,"")</f>
        <v/>
      </c>
      <c r="B19" s="41">
        <f>IF(Local!F19="Available",Local!B19,"")</f>
        <v/>
      </c>
      <c r="C19" s="41">
        <f>IF(Local!F19="Available",Local!C19,"")</f>
        <v/>
      </c>
    </row>
    <row r="20" hidden="1" ht="72" customHeight="1">
      <c r="A20" s="41">
        <f>IF(Local!F20="Available",Local!A20,"")</f>
        <v/>
      </c>
      <c r="B20" s="41">
        <f>IF(Local!F20="Available",Local!B20,"")</f>
        <v/>
      </c>
      <c r="C20" s="41">
        <f>IF(Local!F20="Available",Local!C20,"")</f>
        <v/>
      </c>
    </row>
    <row r="21" ht="72" customHeight="1">
      <c r="A21" s="41">
        <f>IF(Local!F21="Available",Local!A21,"")</f>
        <v/>
      </c>
      <c r="B21" s="41">
        <f>IF(Local!F21="Available",Local!B21,"")</f>
        <v/>
      </c>
      <c r="C21" s="41">
        <f>IF(Local!F21="Available",Local!C21,"")</f>
        <v/>
      </c>
    </row>
    <row r="22" ht="72" customHeight="1">
      <c r="A22" s="41">
        <f>IF(Local!F22="Available",Local!A22,"")</f>
        <v/>
      </c>
      <c r="B22" s="41">
        <f>IF(Local!F22="Available",Local!B22,"")</f>
        <v/>
      </c>
      <c r="C22" s="41">
        <f>IF(Local!F22="Available",Local!C22,"")</f>
        <v/>
      </c>
    </row>
    <row r="23" ht="72" customHeight="1">
      <c r="A23" s="41">
        <f>IF(Local!F23="Available",Local!A23,"")</f>
        <v/>
      </c>
      <c r="B23" s="41">
        <f>IF(Local!F23="Available",Local!B23,"")</f>
        <v/>
      </c>
      <c r="C23" s="41">
        <f>IF(Local!F23="Available",Local!C23,"")</f>
        <v/>
      </c>
    </row>
    <row r="24" hidden="1" ht="72" customHeight="1">
      <c r="A24" s="41">
        <f>IF(Local!F24="Available",Local!A24,"")</f>
        <v/>
      </c>
      <c r="B24" s="41">
        <f>IF(Local!F24="Available",Local!B24,"")</f>
        <v/>
      </c>
      <c r="C24" s="41">
        <f>IF(Local!F24="Available",Local!C24,"")</f>
        <v/>
      </c>
    </row>
    <row r="25" hidden="1" ht="72" customHeight="1">
      <c r="A25" s="41">
        <f>IF(Local!F25="Available",Local!A25,"")</f>
        <v/>
      </c>
      <c r="B25" s="41">
        <f>IF(Local!F25="Available",Local!B25,"")</f>
        <v/>
      </c>
      <c r="C25" s="41">
        <f>IF(Local!F25="Available",Local!C25,"")</f>
        <v/>
      </c>
    </row>
    <row r="26" ht="72" customHeight="1">
      <c r="A26" s="41">
        <f>IF(Local!F26="Available",Local!A26,"")</f>
        <v/>
      </c>
      <c r="B26" s="41">
        <f>IF(Local!F26="Available",Local!B26,"")</f>
        <v/>
      </c>
      <c r="C26" s="41">
        <f>IF(Local!F26="Available",Local!C26,"")</f>
        <v/>
      </c>
    </row>
    <row r="27" hidden="1" ht="72" customHeight="1">
      <c r="A27" s="41">
        <f>IF(Local!F27="Available",Local!A27,"")</f>
        <v/>
      </c>
      <c r="B27" s="41">
        <f>IF(Local!F27="Available",Local!B27,"")</f>
        <v/>
      </c>
      <c r="C27" s="41">
        <f>IF(Local!F27="Available",Local!C27,"")</f>
        <v/>
      </c>
    </row>
    <row r="28" ht="72" customHeight="1">
      <c r="A28" s="41">
        <f>IF(Local!F28="Available",Local!A28,"")</f>
        <v/>
      </c>
      <c r="B28" s="41">
        <f>IF(Local!F28="Available",Local!B28,"")</f>
        <v/>
      </c>
      <c r="C28" s="41">
        <f>IF(Local!F28="Available",Local!C28,"")</f>
        <v/>
      </c>
    </row>
    <row r="29" hidden="1" ht="72" customHeight="1">
      <c r="A29" s="41">
        <f>IF(Local!F29="Available",Local!A29,"")</f>
        <v/>
      </c>
      <c r="B29" s="41">
        <f>IF(Local!F29="Available",Local!B29,"")</f>
        <v/>
      </c>
      <c r="C29" s="41">
        <f>IF(Local!F29="Available",Local!C29,"")</f>
        <v/>
      </c>
    </row>
    <row r="30" ht="72" customHeight="1">
      <c r="A30" s="41">
        <f>IF(Local!F30="Available",Local!A30,"")</f>
        <v/>
      </c>
      <c r="B30" s="41">
        <f>IF(Local!F30="Available",Local!B30,"")</f>
        <v/>
      </c>
      <c r="C30" s="41">
        <f>IF(Local!F30="Available",Local!C30,"")</f>
        <v/>
      </c>
    </row>
    <row r="31" hidden="1" ht="72" customHeight="1">
      <c r="A31" s="41">
        <f>IF(Local!F31="Available",Local!A31,"")</f>
        <v/>
      </c>
      <c r="B31" s="41">
        <f>IF(Local!F31="Available",Local!B31,"")</f>
        <v/>
      </c>
      <c r="C31" s="41">
        <f>IF(Local!F31="Available",Local!C31,"")</f>
        <v/>
      </c>
    </row>
    <row r="32" ht="72" customHeight="1">
      <c r="A32" s="41">
        <f>IF(Local!F32="Available",Local!A32,"")</f>
        <v/>
      </c>
      <c r="B32" s="41">
        <f>IF(Local!F32="Available",Local!B32,"")</f>
        <v/>
      </c>
      <c r="C32" s="41">
        <f>IF(Local!F32="Available",Local!C32,"")</f>
        <v/>
      </c>
    </row>
    <row r="33" ht="72" customHeight="1">
      <c r="A33" s="41">
        <f>IF(Local!F33="Available",Local!A33,"")</f>
        <v/>
      </c>
      <c r="B33" s="41">
        <f>IF(Local!F33="Available",Local!B33,"")</f>
        <v/>
      </c>
      <c r="C33" s="41">
        <f>IF(Local!F33="Available",Local!C33,"")</f>
        <v/>
      </c>
    </row>
    <row r="34" ht="72" customHeight="1">
      <c r="A34" s="41">
        <f>IF(Local!F34="Available",Local!A34,"")</f>
        <v/>
      </c>
      <c r="B34" s="41">
        <f>IF(Local!F34="Available",Local!B34,"")</f>
        <v/>
      </c>
      <c r="C34" s="41">
        <f>IF(Local!F34="Available",Local!C34,"")</f>
        <v/>
      </c>
    </row>
    <row r="35" hidden="1" ht="72" customHeight="1">
      <c r="A35" s="41">
        <f>IF(Local!F35="Available",Local!A35,"")</f>
        <v/>
      </c>
      <c r="B35" s="41">
        <f>IF(Local!F35="Available",Local!B35,"")</f>
        <v/>
      </c>
      <c r="C35" s="41">
        <f>IF(Local!F35="Available",Local!C35,"")</f>
        <v/>
      </c>
    </row>
    <row r="36" ht="72" customHeight="1">
      <c r="A36" s="41">
        <f>IF(Local!F36="Available",Local!A36,"")</f>
        <v/>
      </c>
      <c r="B36" s="41">
        <f>IF(Local!F36="Available",Local!B36,"")</f>
        <v/>
      </c>
      <c r="C36" s="41">
        <f>IF(Local!F36="Available",Local!C36,"")</f>
        <v/>
      </c>
    </row>
    <row r="37" hidden="1" ht="72" customHeight="1">
      <c r="A37" s="41">
        <f>IF(Local!F37="Available",Local!A37,"")</f>
        <v/>
      </c>
      <c r="B37" s="41">
        <f>IF(Local!F37="Available",Local!B37,"")</f>
        <v/>
      </c>
      <c r="C37" s="41">
        <f>IF(Local!F37="Available",Local!C37,"")</f>
        <v/>
      </c>
    </row>
    <row r="38" hidden="1" ht="72" customHeight="1">
      <c r="A38" s="41">
        <f>IF(Local!F38="Available",Local!A38,"")</f>
        <v/>
      </c>
      <c r="B38" s="41">
        <f>IF(Local!F38="Available",Local!B38,"")</f>
        <v/>
      </c>
      <c r="C38" s="41">
        <f>IF(Local!F38="Available",Local!C38,"")</f>
        <v/>
      </c>
    </row>
    <row r="39" hidden="1" ht="72" customHeight="1">
      <c r="A39" s="41">
        <f>IF(Local!F39="Available",Local!A39,"")</f>
        <v/>
      </c>
      <c r="B39" s="41">
        <f>IF(Local!F39="Available",Local!B39,"")</f>
        <v/>
      </c>
      <c r="C39" s="41">
        <f>IF(Local!F39="Available",Local!C39,"")</f>
        <v/>
      </c>
    </row>
    <row r="40" hidden="1" ht="72" customHeight="1">
      <c r="A40" s="41">
        <f>IF(Local!F40="Available",Local!A40,"")</f>
        <v/>
      </c>
      <c r="B40" s="41">
        <f>IF(Local!F40="Available",Local!B40,"")</f>
        <v/>
      </c>
      <c r="C40" s="41">
        <f>IF(Local!F40="Available",Local!C40,"")</f>
        <v/>
      </c>
    </row>
    <row r="41" ht="72" customHeight="1">
      <c r="A41" s="41">
        <f>IF(#REF!="Available",Local!A41,"")</f>
        <v/>
      </c>
      <c r="B41" s="41">
        <f>IF(#REF!="Available",Local!B41,"")</f>
        <v/>
      </c>
      <c r="C41" s="41">
        <f>IF(#REF!="Available",Local!C41,"")</f>
        <v/>
      </c>
    </row>
    <row r="42" hidden="1" ht="72" customHeight="1">
      <c r="A42" s="41">
        <f>IF(#REF!="Available",Local!A42,"")</f>
        <v/>
      </c>
      <c r="B42" s="41">
        <f>IF(#REF!="Available",Local!B42,"")</f>
        <v/>
      </c>
      <c r="C42" s="41">
        <f>IF(#REF!="Available",Local!C42,"")</f>
        <v/>
      </c>
    </row>
    <row r="43" hidden="1" ht="72" customHeight="1">
      <c r="A43" s="41">
        <f>IF(#REF!="Available",Local!A43,"")</f>
        <v/>
      </c>
      <c r="B43" s="41">
        <f>IF(#REF!="Available",Local!B43,"")</f>
        <v/>
      </c>
      <c r="C43" s="41">
        <f>IF(#REF!="Available",Local!C43,"")</f>
        <v/>
      </c>
    </row>
    <row r="44" hidden="1" ht="72" customHeight="1">
      <c r="A44" s="41">
        <f>IF(#REF!="Available",Local!A44,"")</f>
        <v/>
      </c>
      <c r="B44" s="41">
        <f>IF(#REF!="Available",Local!B44,"")</f>
        <v/>
      </c>
      <c r="C44" s="41">
        <f>IF(#REF!="Available",Local!C44,"")</f>
        <v/>
      </c>
    </row>
    <row r="45" hidden="1" ht="72" customHeight="1">
      <c r="A45" s="41">
        <f>IF(Local!F45="Available",Local!A45,"")</f>
        <v/>
      </c>
      <c r="B45" s="41">
        <f>IF(Local!F45="Available",Local!B45,"")</f>
        <v/>
      </c>
      <c r="C45" s="41">
        <f>IF(Local!F45="Available",Local!C45,"")</f>
        <v/>
      </c>
    </row>
    <row r="46" hidden="1" ht="72" customHeight="1">
      <c r="A46" s="41">
        <f>IF(Local!F46="Available",Local!A46,"")</f>
        <v/>
      </c>
      <c r="B46" s="41">
        <f>IF(Local!F46="Available",Local!B46,"")</f>
        <v/>
      </c>
      <c r="C46" s="41">
        <f>IF(Local!F46="Available",Local!C46,"")</f>
        <v/>
      </c>
    </row>
    <row r="47" ht="72" customHeight="1">
      <c r="A47" s="41">
        <f>IF(Local!F47="Available",Local!A47,"")</f>
        <v/>
      </c>
      <c r="B47" s="41">
        <f>IF(Local!F47="Available",Local!B47,"")</f>
        <v/>
      </c>
      <c r="C47" s="41">
        <f>IF(Local!F47="Available",Local!C47,"")</f>
        <v/>
      </c>
    </row>
    <row r="48" hidden="1" ht="72" customHeight="1">
      <c r="A48" s="41">
        <f>IF(Local!F48="Available",Local!A48,"")</f>
        <v/>
      </c>
      <c r="B48" s="41">
        <f>IF(Local!F48="Available",Local!B48,"")</f>
        <v/>
      </c>
      <c r="C48" s="41">
        <f>IF(Local!F48="Available",Local!C48,"")</f>
        <v/>
      </c>
    </row>
    <row r="49" hidden="1" ht="72" customHeight="1">
      <c r="A49" s="41">
        <f>IF(Local!F49="Available",Local!A49,"")</f>
        <v/>
      </c>
      <c r="B49" s="41">
        <f>IF(Local!F49="Available",Local!B49,"")</f>
        <v/>
      </c>
      <c r="C49" s="41">
        <f>IF(Local!F49="Available",Local!C49,"")</f>
        <v/>
      </c>
    </row>
    <row r="50" ht="72" customHeight="1">
      <c r="A50" s="41">
        <f>IF(Local!F50="Available",Local!A50,"")</f>
        <v/>
      </c>
      <c r="B50" s="41">
        <f>IF(Local!F50="Available",Local!B50,"")</f>
        <v/>
      </c>
      <c r="C50" s="41">
        <f>IF(Local!F50="Available",Local!C50,"")</f>
        <v/>
      </c>
    </row>
    <row r="51" ht="72" customHeight="1">
      <c r="A51" s="41">
        <f>IF(Local!F51="Available",Local!A51,"")</f>
        <v/>
      </c>
      <c r="B51" s="41">
        <f>IF(Local!F51="Available",Local!B51,"")</f>
        <v/>
      </c>
      <c r="C51" s="41">
        <f>IF(Local!F51="Available",Local!C51,"")</f>
        <v/>
      </c>
    </row>
    <row r="52" hidden="1" ht="72" customHeight="1">
      <c r="A52" s="41">
        <f>IF(Local!F52="Available",Local!A52,"")</f>
        <v/>
      </c>
      <c r="B52" s="41">
        <f>IF(Local!F52="Available",Local!B52,"")</f>
        <v/>
      </c>
      <c r="C52" s="41">
        <f>IF(Local!F52="Available",Local!C52,"")</f>
        <v/>
      </c>
    </row>
    <row r="53" hidden="1" ht="72" customHeight="1">
      <c r="A53" s="41">
        <f>IF(Local!F53="Available",Local!A53,"")</f>
        <v/>
      </c>
      <c r="B53" s="41">
        <f>IF(Local!F53="Available",Local!B53,"")</f>
        <v/>
      </c>
      <c r="C53" s="41">
        <f>IF(Local!F53="Available",Local!C53,"")</f>
        <v/>
      </c>
    </row>
    <row r="54" ht="72" customHeight="1">
      <c r="A54" s="41">
        <f>IF(Local!F54="Available",Local!A54,"")</f>
        <v/>
      </c>
      <c r="B54" s="41">
        <f>IF(Local!F54="Available",Local!B54,"")</f>
        <v/>
      </c>
      <c r="C54" s="41">
        <f>IF(Local!F54="Available",Local!C54,"")</f>
        <v/>
      </c>
    </row>
    <row r="55" hidden="1" ht="72" customHeight="1">
      <c r="A55" s="41">
        <f>IF(Local!F55="Available",Local!A55,"")</f>
        <v/>
      </c>
      <c r="B55" s="41">
        <f>IF(Local!F55="Available",Local!B55,"")</f>
        <v/>
      </c>
      <c r="C55" s="41">
        <f>IF(Local!F55="Available",Local!C55,"")</f>
        <v/>
      </c>
    </row>
    <row r="56" ht="72" customHeight="1">
      <c r="A56" s="41">
        <f>IF(Local!F56="Available",Local!A56,"")</f>
        <v/>
      </c>
      <c r="B56" s="41">
        <f>IF(Local!F56="Available",Local!B56,"")</f>
        <v/>
      </c>
      <c r="C56" s="41">
        <f>IF(Local!F56="Available",Local!C56,"")</f>
        <v/>
      </c>
    </row>
    <row r="57" ht="72" customHeight="1">
      <c r="A57" s="41">
        <f>IF(Local!F57="Available",Local!A57,"")</f>
        <v/>
      </c>
      <c r="B57" s="41">
        <f>IF(Local!F57="Available",Local!B57,"")</f>
        <v/>
      </c>
      <c r="C57" s="41">
        <f>IF(Local!F57="Available",Local!C57,"")</f>
        <v/>
      </c>
    </row>
    <row r="58" hidden="1" ht="72" customHeight="1">
      <c r="A58" s="41">
        <f>IF(Local!F58="Available",Local!A58,"")</f>
        <v/>
      </c>
      <c r="B58" s="41">
        <f>IF(Local!F58="Available",Local!B58,"")</f>
        <v/>
      </c>
      <c r="C58" s="41">
        <f>IF(Local!F58="Available",Local!C58,"")</f>
        <v/>
      </c>
    </row>
    <row r="59" hidden="1" ht="72" customHeight="1">
      <c r="A59" s="41">
        <f>IF(Local!F59="Available",Local!A59,"")</f>
        <v/>
      </c>
      <c r="B59" s="41">
        <f>IF(Local!F59="Available",Local!B59,"")</f>
        <v/>
      </c>
      <c r="C59" s="41">
        <f>IF(Local!F59="Available",Local!C59,"")</f>
        <v/>
      </c>
    </row>
    <row r="60" hidden="1" ht="72" customHeight="1">
      <c r="A60" s="41">
        <f>IF(Local!F60="Available",Local!A60,"")</f>
        <v/>
      </c>
      <c r="B60" s="41">
        <f>IF(Local!F60="Available",Local!B60,"")</f>
        <v/>
      </c>
      <c r="C60" s="41">
        <f>IF(Local!F60="Available",Local!C60,"")</f>
        <v/>
      </c>
    </row>
    <row r="61" ht="72" customHeight="1">
      <c r="A61" s="41">
        <f>IF(Local!F61="Available",Local!A61,"")</f>
        <v/>
      </c>
      <c r="B61" s="41">
        <f>IF(Local!F61="Available",Local!B61,"")</f>
        <v/>
      </c>
      <c r="C61" s="41">
        <f>IF(Local!F61="Available",Local!C61,"")</f>
        <v/>
      </c>
    </row>
    <row r="62" hidden="1" ht="72" customHeight="1">
      <c r="A62" s="41">
        <f>IF(Local!F62="Available",Local!A62,"")</f>
        <v/>
      </c>
      <c r="B62" s="41">
        <f>IF(Local!F62="Available",Local!B62,"")</f>
        <v/>
      </c>
      <c r="C62" s="41">
        <f>IF(Local!F62="Available",Local!C62,"")</f>
        <v/>
      </c>
    </row>
    <row r="63" ht="72" customHeight="1">
      <c r="A63" s="41">
        <f>IF(Local!F63="Available",Local!A63,"")</f>
        <v/>
      </c>
      <c r="B63" s="41">
        <f>IF(Local!F63="Available",Local!B63,"")</f>
        <v/>
      </c>
      <c r="C63" s="41">
        <f>IF(Local!F63="Available",Local!C63,"")</f>
        <v/>
      </c>
    </row>
    <row r="64" ht="72" customHeight="1">
      <c r="A64" s="41">
        <f>IF(Local!F64="Available",Local!A64,"")</f>
        <v/>
      </c>
      <c r="B64" s="41">
        <f>IF(Local!F64="Available",Local!B64,"")</f>
        <v/>
      </c>
      <c r="C64" s="41">
        <f>IF(Local!F64="Available",Local!C64,"")</f>
        <v/>
      </c>
    </row>
    <row r="65" hidden="1" ht="72" customHeight="1">
      <c r="A65" s="41">
        <f>IF(Local!F65="Available",Local!A65,"")</f>
        <v/>
      </c>
      <c r="B65" s="41">
        <f>IF(Local!F65="Available",Local!B65,"")</f>
        <v/>
      </c>
      <c r="C65" s="41">
        <f>IF(Local!F65="Available",Local!C65,"")</f>
        <v/>
      </c>
    </row>
    <row r="66" hidden="1" ht="72" customHeight="1">
      <c r="A66" s="41">
        <f>IF(Local!F66="Available",Local!A66,"")</f>
        <v/>
      </c>
      <c r="B66" s="41">
        <f>IF(Local!F66="Available",Local!B66,"")</f>
        <v/>
      </c>
      <c r="C66" s="41">
        <f>IF(Local!F66="Available",Local!C66,"")</f>
        <v/>
      </c>
    </row>
    <row r="67" ht="72" customHeight="1">
      <c r="A67" s="41">
        <f>IF(Local!F67="Available",Local!A67,"")</f>
        <v/>
      </c>
      <c r="B67" s="41">
        <f>IF(Local!F67="Available",Local!B67,"")</f>
        <v/>
      </c>
      <c r="C67" s="41">
        <f>IF(Local!F67="Available",Local!C67,"")</f>
        <v/>
      </c>
    </row>
    <row r="68" ht="72" customHeight="1">
      <c r="A68" s="41">
        <f>IF(Local!F68="Available",Local!A68,"")</f>
        <v/>
      </c>
      <c r="B68" s="41">
        <f>IF(Local!F68="Available",Local!B68,"")</f>
        <v/>
      </c>
      <c r="C68" s="41">
        <f>IF(Local!F68="Available",Local!C68,"")</f>
        <v/>
      </c>
    </row>
    <row r="69" ht="72" customHeight="1">
      <c r="A69" s="41">
        <f>IF(Local!F69="Available",Local!A69,"")</f>
        <v/>
      </c>
      <c r="B69" s="41">
        <f>IF(Local!F69="Available",Local!B69,"")</f>
        <v/>
      </c>
      <c r="C69" s="41">
        <f>IF(Local!F69="Available",Local!C69,"")</f>
        <v/>
      </c>
    </row>
    <row r="70" ht="72" customHeight="1">
      <c r="A70" s="41">
        <f>IF(Local!F70="Available",Local!A70,"")</f>
        <v/>
      </c>
      <c r="B70" s="41">
        <f>IF(Local!F70="Available",Local!B70,"")</f>
        <v/>
      </c>
      <c r="C70" s="41">
        <f>IF(Local!F70="Available",Local!C70,"")</f>
        <v/>
      </c>
    </row>
    <row r="71" hidden="1" ht="72" customHeight="1">
      <c r="A71" s="41">
        <f>IF(Local!F71="Available",Local!A71,"")</f>
        <v/>
      </c>
      <c r="B71" s="41">
        <f>IF(Local!F71="Available",Local!B71,"")</f>
        <v/>
      </c>
      <c r="C71" s="41">
        <f>IF(Local!F71="Available",Local!C71,"")</f>
        <v/>
      </c>
    </row>
    <row r="72" hidden="1" ht="72" customHeight="1">
      <c r="A72" s="41">
        <f>IF(Local!F72="Available",Local!A72,"")</f>
        <v/>
      </c>
      <c r="B72" s="41">
        <f>IF(Local!F72="Available",Local!B72,"")</f>
        <v/>
      </c>
      <c r="C72" s="41">
        <f>IF(Local!F72="Available",Local!C72,"")</f>
        <v/>
      </c>
    </row>
    <row r="73" hidden="1" ht="72" customHeight="1">
      <c r="A73" s="41">
        <f>IF(Local!F73="Available",Local!A73,"")</f>
        <v/>
      </c>
      <c r="B73" s="41">
        <f>IF(Local!F73="Available",Local!B73,"")</f>
        <v/>
      </c>
      <c r="C73" s="41">
        <f>IF(Local!F73="Available",Local!C73,"")</f>
        <v/>
      </c>
    </row>
    <row r="74" hidden="1" ht="72" customHeight="1">
      <c r="A74" s="41">
        <f>IF(Local!F74="Available",Local!A74,"")</f>
        <v/>
      </c>
      <c r="B74" s="41">
        <f>IF(Local!F74="Available",Local!B74,"")</f>
        <v/>
      </c>
      <c r="C74" s="41">
        <f>IF(Local!F74="Available",Local!C74,"")</f>
        <v/>
      </c>
    </row>
    <row r="75" hidden="1" ht="72" customHeight="1">
      <c r="A75" s="41">
        <f>IF(Local!F75="Available",Local!A75,"")</f>
        <v/>
      </c>
      <c r="B75" s="41">
        <f>IF(Local!F75="Available",Local!B75,"")</f>
        <v/>
      </c>
      <c r="C75" s="41">
        <f>IF(Local!F75="Available",Local!C75,"")</f>
        <v/>
      </c>
    </row>
    <row r="76" hidden="1" ht="72" customHeight="1">
      <c r="A76" s="41">
        <f>IF(Local!F76="Available",Local!A76,"")</f>
        <v/>
      </c>
      <c r="B76" s="41">
        <f>IF(Local!F76="Available",Local!B76,"")</f>
        <v/>
      </c>
      <c r="C76" s="41">
        <f>IF(Local!F76="Available",Local!C76,"")</f>
        <v/>
      </c>
    </row>
    <row r="77" ht="72" customHeight="1">
      <c r="A77" s="41">
        <f>IF(Local!F77="Available",Local!A77,"")</f>
        <v/>
      </c>
      <c r="B77" s="41">
        <f>IF(Local!F77="Available",Local!B77,"")</f>
        <v/>
      </c>
      <c r="C77" s="41">
        <f>IF(Local!F77="Available",Local!C77,"")</f>
        <v/>
      </c>
    </row>
    <row r="78" hidden="1" ht="72" customHeight="1">
      <c r="A78" s="41">
        <f>IF(Local!F78="Available",Local!A78,"")</f>
        <v/>
      </c>
      <c r="B78" s="41">
        <f>IF(Local!F78="Available",Local!B78,"")</f>
        <v/>
      </c>
      <c r="C78" s="41">
        <f>IF(Local!F78="Available",Local!C78,"")</f>
        <v/>
      </c>
    </row>
    <row r="79" hidden="1" ht="72" customHeight="1">
      <c r="A79" s="41">
        <f>IF(Local!F79="Available",Local!A79,"")</f>
        <v/>
      </c>
      <c r="B79" s="41">
        <f>IF(Local!F79="Available",Local!B79,"")</f>
        <v/>
      </c>
      <c r="C79" s="41">
        <f>IF(Local!F79="Available",Local!C79,"")</f>
        <v/>
      </c>
    </row>
    <row r="80" hidden="1" ht="72" customHeight="1">
      <c r="A80" s="41">
        <f>IF(Local!F80="Available",Local!A80,"")</f>
        <v/>
      </c>
      <c r="B80" s="41">
        <f>IF(Local!F80="Available",Local!B80,"")</f>
        <v/>
      </c>
      <c r="C80" s="41">
        <f>IF(Local!F80="Available",Local!C80,"")</f>
        <v/>
      </c>
    </row>
    <row r="81" hidden="1" ht="72" customHeight="1">
      <c r="A81" s="41">
        <f>IF(#REF!="Available",Local!A81,"")</f>
        <v/>
      </c>
      <c r="B81" s="41">
        <f>IF(#REF!="Available",Local!B81,"")</f>
        <v/>
      </c>
      <c r="C81" s="41">
        <f>IF(#REF!="Available",Local!C81,"")</f>
        <v/>
      </c>
    </row>
    <row r="82" hidden="1" ht="72" customHeight="1">
      <c r="A82" s="41">
        <f>IF(Local!F81="Available",Local!A82,"")</f>
        <v/>
      </c>
      <c r="B82" s="41">
        <f>IF(Local!F81="Available",Local!B82,"")</f>
        <v/>
      </c>
      <c r="C82" s="41">
        <f>IF(Local!F81="Available",Local!C82,"")</f>
        <v/>
      </c>
    </row>
    <row r="83" hidden="1" ht="72" customHeight="1">
      <c r="A83" s="41">
        <f>IF(Local!F83="Available",Local!A83,"")</f>
        <v/>
      </c>
      <c r="B83" s="41">
        <f>IF(Local!F83="Available",Local!B83,"")</f>
        <v/>
      </c>
      <c r="C83" s="41">
        <f>IF(Local!F83="Available",Local!C83,"")</f>
        <v/>
      </c>
    </row>
    <row r="84" hidden="1" ht="72" customHeight="1">
      <c r="A84" s="41">
        <f>IF(Local!F84="Available",Local!A84,"")</f>
        <v/>
      </c>
      <c r="B84" s="41">
        <f>IF(Local!F84="Available",Local!B84,"")</f>
        <v/>
      </c>
      <c r="C84" s="41">
        <f>IF(Local!F84="Available",Local!C84,"")</f>
        <v/>
      </c>
    </row>
    <row r="85" hidden="1" ht="72" customHeight="1">
      <c r="A85" s="41">
        <f>IF(Local!F85="Available",Local!A85,"")</f>
        <v/>
      </c>
      <c r="B85" s="41">
        <f>IF(Local!F85="Available",Local!B85,"")</f>
        <v/>
      </c>
      <c r="C85" s="41">
        <f>IF(Local!F85="Available",Local!C85,"")</f>
        <v/>
      </c>
    </row>
    <row r="86" hidden="1" ht="72" customHeight="1">
      <c r="A86" s="41">
        <f>IF(Local!F86="Available",Local!A86,"")</f>
        <v/>
      </c>
      <c r="B86" s="41">
        <f>IF(Local!F86="Available",Local!B86,"")</f>
        <v/>
      </c>
      <c r="C86" s="41">
        <f>IF(Local!F86="Available",Local!C86,"")</f>
        <v/>
      </c>
    </row>
    <row r="87" hidden="1" ht="72" customHeight="1">
      <c r="A87" s="41">
        <f>IF(Local!F87="Available",Local!A87,"")</f>
        <v/>
      </c>
      <c r="B87" s="41">
        <f>IF(Local!F87="Available",Local!B87,"")</f>
        <v/>
      </c>
      <c r="C87" s="41">
        <f>IF(Local!F87="Available",Local!C87,"")</f>
        <v/>
      </c>
    </row>
    <row r="88" hidden="1" ht="72" customHeight="1">
      <c r="A88" s="41">
        <f>IF(Local!F88="Available",Local!A88,"")</f>
        <v/>
      </c>
      <c r="B88" s="41">
        <f>IF(Local!F88="Available",Local!B88,"")</f>
        <v/>
      </c>
      <c r="C88" s="41">
        <f>IF(Local!F88="Available",Local!C88,"")</f>
        <v/>
      </c>
    </row>
    <row r="89" hidden="1" ht="72" customHeight="1">
      <c r="A89" s="41">
        <f>IF(Local!F89="Available",Local!A89,"")</f>
        <v/>
      </c>
      <c r="B89" s="41">
        <f>IF(Local!F89="Available",Local!B89,"")</f>
        <v/>
      </c>
      <c r="C89" s="41">
        <f>IF(Local!F89="Available",Local!C89,"")</f>
        <v/>
      </c>
    </row>
    <row r="90" ht="72" customHeight="1">
      <c r="A90" s="41">
        <f>IF(Local!F90="Available",Local!A90,"")</f>
        <v/>
      </c>
      <c r="B90" s="41">
        <f>IF(Local!F90="Available",Local!B90,"")</f>
        <v/>
      </c>
      <c r="C90" s="41">
        <f>IF(Local!F90="Available",Local!C90,"")</f>
        <v/>
      </c>
    </row>
    <row r="91" hidden="1" ht="72" customHeight="1">
      <c r="A91" s="41">
        <f>IF(Local!F91="Available",Local!A91,"")</f>
        <v/>
      </c>
      <c r="B91" s="41">
        <f>IF(Local!F91="Available",Local!B91,"")</f>
        <v/>
      </c>
      <c r="C91" s="41">
        <f>IF(Local!F91="Available",Local!C91,"")</f>
        <v/>
      </c>
    </row>
    <row r="92" hidden="1" ht="72" customHeight="1">
      <c r="A92" s="41">
        <f>IF(Local!F92="Available",Local!A92,"")</f>
        <v/>
      </c>
      <c r="B92" s="41">
        <f>IF(Local!F92="Available",Local!B92,"")</f>
        <v/>
      </c>
      <c r="C92" s="41">
        <f>IF(Local!F92="Available",Local!C92,"")</f>
        <v/>
      </c>
    </row>
    <row r="93" hidden="1" ht="72" customHeight="1">
      <c r="A93" s="41">
        <f>IF(Local!F93="Available",Local!A93,"")</f>
        <v/>
      </c>
      <c r="B93" s="41">
        <f>IF(Local!F93="Available",Local!B93,"")</f>
        <v/>
      </c>
      <c r="C93" s="41">
        <f>IF(Local!F93="Available",Local!C93,"")</f>
        <v/>
      </c>
    </row>
    <row r="94" ht="72" customHeight="1">
      <c r="A94" s="41">
        <f>IF(Local!F94="Available",Local!A94,"")</f>
        <v/>
      </c>
      <c r="B94" s="41">
        <f>IF(Local!F94="Available",Local!B94,"")</f>
        <v/>
      </c>
      <c r="C94" s="41">
        <f>IF(Local!F94="Available",Local!C94,"")</f>
        <v/>
      </c>
    </row>
    <row r="95" hidden="1" ht="72" customHeight="1">
      <c r="A95" s="41">
        <f>IF(Local!F95="Available",Local!A95,"")</f>
        <v/>
      </c>
      <c r="B95" s="41">
        <f>IF(Local!F95="Available",Local!B95,"")</f>
        <v/>
      </c>
      <c r="C95" s="41">
        <f>IF(Local!F95="Available",Local!C95,"")</f>
        <v/>
      </c>
    </row>
    <row r="96" hidden="1" ht="72" customHeight="1">
      <c r="A96" s="41">
        <f>IF(Local!F96="Available",Local!A96,"")</f>
        <v/>
      </c>
      <c r="B96" s="41">
        <f>IF(Local!F96="Available",Local!B96,"")</f>
        <v/>
      </c>
      <c r="C96" s="41">
        <f>IF(Local!F96="Available",Local!C96,"")</f>
        <v/>
      </c>
    </row>
    <row r="97" hidden="1" ht="72" customHeight="1">
      <c r="A97" s="41">
        <f>IF(Local!F97="Available",Local!A97,"")</f>
        <v/>
      </c>
      <c r="B97" s="41">
        <f>IF(Local!F97="Available",Local!B97,"")</f>
        <v/>
      </c>
      <c r="C97" s="41">
        <f>IF(Local!F97="Available",Local!C97,"")</f>
        <v/>
      </c>
    </row>
    <row r="98" hidden="1" ht="72" customHeight="1">
      <c r="A98" s="41">
        <f>IF(Local!F98="Available",Local!A98,"")</f>
        <v/>
      </c>
      <c r="B98" s="41">
        <f>IF(Local!F98="Available",Local!B98,"")</f>
        <v/>
      </c>
      <c r="C98" s="41">
        <f>IF(Local!F98="Available",Local!C98,"")</f>
        <v/>
      </c>
    </row>
    <row r="99" hidden="1" ht="72" customHeight="1">
      <c r="A99" s="41">
        <f>IF(Local!F99="Available",Local!A99,"")</f>
        <v/>
      </c>
      <c r="B99" s="41">
        <f>IF(Local!F99="Available",Local!B99,"")</f>
        <v/>
      </c>
      <c r="C99" s="41">
        <f>IF(Local!F99="Available",Local!C99,"")</f>
        <v/>
      </c>
    </row>
    <row r="100" hidden="1" ht="72" customHeight="1">
      <c r="A100" s="41">
        <f>IF(Local!F100="Available",Local!A100,"")</f>
        <v/>
      </c>
      <c r="B100" s="41">
        <f>IF(Local!F100="Available",Local!B100,"")</f>
        <v/>
      </c>
      <c r="C100" s="41">
        <f>IF(Local!F100="Available",Local!C100,"")</f>
        <v/>
      </c>
    </row>
    <row r="101" hidden="1" ht="72" customHeight="1">
      <c r="A101" s="41">
        <f>IF(Local!F101="Available",Local!A101,"")</f>
        <v/>
      </c>
      <c r="B101" s="41">
        <f>IF(Local!F101="Available",Local!B101,"")</f>
        <v/>
      </c>
      <c r="C101" s="41">
        <f>IF(Local!F101="Available",Local!C101,"")</f>
        <v/>
      </c>
    </row>
    <row r="102" hidden="1" ht="72" customHeight="1">
      <c r="A102" s="41">
        <f>IF(Local!F102="Available",Local!A102,"")</f>
        <v/>
      </c>
      <c r="B102" s="41">
        <f>IF(Local!F102="Available",Local!B102,"")</f>
        <v/>
      </c>
      <c r="C102" s="41">
        <f>IF(Local!F102="Available",Local!C102,"")</f>
        <v/>
      </c>
    </row>
    <row r="103" hidden="1" ht="72" customHeight="1">
      <c r="A103" s="41">
        <f>IF(Local!F103="Available",Local!A103,"")</f>
        <v/>
      </c>
      <c r="B103" s="41">
        <f>IF(Local!F103="Available",Local!B103,"")</f>
        <v/>
      </c>
      <c r="C103" s="41">
        <f>IF(Local!F103="Available",Local!C103,"")</f>
        <v/>
      </c>
    </row>
    <row r="104" hidden="1" ht="72" customHeight="1">
      <c r="A104" s="41">
        <f>IF(Local!F104="Available",Local!A104,"")</f>
        <v/>
      </c>
      <c r="B104" s="41">
        <f>IF(Local!F104="Available",Local!B104,"")</f>
        <v/>
      </c>
      <c r="C104" s="41">
        <f>IF(Local!F104="Available",Local!C104,"")</f>
        <v/>
      </c>
    </row>
    <row r="105" ht="72" customHeight="1">
      <c r="A105" s="41">
        <f>IF(Local!F105="Available",Local!A105,"")</f>
        <v/>
      </c>
      <c r="B105" s="41">
        <f>IF(Local!F105="Available",Local!B105,"")</f>
        <v/>
      </c>
      <c r="C105" s="41">
        <f>IF(Local!F105="Available",Local!C105,"")</f>
        <v/>
      </c>
    </row>
    <row r="106" ht="72" customHeight="1">
      <c r="A106" s="41">
        <f>IF(Local!F106="Available",Local!A106,"")</f>
        <v/>
      </c>
      <c r="B106" s="41">
        <f>IF(Local!F106="Available",Local!B106,"")</f>
        <v/>
      </c>
      <c r="C106" s="41">
        <f>IF(Local!F106="Available",Local!C106,"")</f>
        <v/>
      </c>
    </row>
    <row r="107" ht="72" customHeight="1">
      <c r="A107" s="41">
        <f>IF(Local!F107="Available",Local!A107,"")</f>
        <v/>
      </c>
      <c r="B107" s="41">
        <f>IF(Local!F107="Available",Local!B107,"")</f>
        <v/>
      </c>
      <c r="C107" s="41">
        <f>IF(Local!F107="Available",Local!C107,"")</f>
        <v/>
      </c>
    </row>
    <row r="108" hidden="1" ht="72" customHeight="1">
      <c r="A108" s="41">
        <f>IF(Local!F108="Available",Local!A108,"")</f>
        <v/>
      </c>
      <c r="B108" s="41">
        <f>IF(Local!F108="Available",Local!B108,"")</f>
        <v/>
      </c>
      <c r="C108" s="41">
        <f>IF(Local!F108="Available",Local!C108,"")</f>
        <v/>
      </c>
    </row>
    <row r="109" ht="72" customHeight="1">
      <c r="A109" s="41">
        <f>IF(Local!F109="Available",Local!A109,"")</f>
        <v/>
      </c>
      <c r="B109" s="41">
        <f>IF(Local!F109="Available",Local!B109,"")</f>
        <v/>
      </c>
      <c r="C109" s="41">
        <f>IF(Local!F109="Available",Local!C109,"")</f>
        <v/>
      </c>
    </row>
    <row r="110" ht="72" customHeight="1">
      <c r="A110" s="41">
        <f>IF(Local!F110="Available",Local!A110,"")</f>
        <v/>
      </c>
      <c r="B110" s="41">
        <f>IF(Local!F110="Available",Local!B110,"")</f>
        <v/>
      </c>
      <c r="C110" s="41">
        <f>IF(Local!F110="Available",Local!C110,"")</f>
        <v/>
      </c>
    </row>
    <row r="111" hidden="1" ht="72" customHeight="1">
      <c r="A111" s="41">
        <f>IF(Local!F111="Available",Local!A111,"")</f>
        <v/>
      </c>
      <c r="B111" s="41">
        <f>IF(Local!F111="Available",Local!B111,"")</f>
        <v/>
      </c>
      <c r="C111" s="41">
        <f>IF(Local!F111="Available",Local!C111,"")</f>
        <v/>
      </c>
    </row>
    <row r="112" hidden="1" ht="72" customHeight="1">
      <c r="A112" s="41">
        <f>IF(Local!F112="Available",Local!A112,"")</f>
        <v/>
      </c>
      <c r="B112" s="41">
        <f>IF(Local!F112="Available",Local!B112,"")</f>
        <v/>
      </c>
      <c r="C112" s="41">
        <f>IF(Local!F112="Available",Local!C112,"")</f>
        <v/>
      </c>
    </row>
    <row r="113" hidden="1" ht="72" customHeight="1">
      <c r="A113" s="41">
        <f>IF(Local!F113="Available",Local!A113,"")</f>
        <v/>
      </c>
      <c r="B113" s="41">
        <f>IF(Local!F113="Available",Local!B113,"")</f>
        <v/>
      </c>
      <c r="C113" s="41">
        <f>IF(Local!F113="Available",Local!C113,"")</f>
        <v/>
      </c>
    </row>
    <row r="114" ht="72" customHeight="1">
      <c r="A114" s="41">
        <f>IF(Local!F114="Available",Local!A114,"")</f>
        <v/>
      </c>
      <c r="B114" s="41">
        <f>IF(Local!F114="Available",Local!B114,"")</f>
        <v/>
      </c>
      <c r="C114" s="41">
        <f>IF(Local!F114="Available",Local!C114,"")</f>
        <v/>
      </c>
    </row>
    <row r="115" ht="72" customHeight="1">
      <c r="A115" s="41">
        <f>IF(Local!F115="Available",Local!A115,"")</f>
        <v/>
      </c>
      <c r="B115" s="41">
        <f>IF(Local!F115="Available",Local!B115,"")</f>
        <v/>
      </c>
      <c r="C115" s="41">
        <f>IF(Local!F115="Available",Local!C115,"")</f>
        <v/>
      </c>
    </row>
    <row r="116" hidden="1" ht="72" customHeight="1">
      <c r="A116" s="41">
        <f>IF(Local!F116="Available",Local!A116,"")</f>
        <v/>
      </c>
      <c r="B116" s="41">
        <f>IF(Local!F116="Available",Local!B116,"")</f>
        <v/>
      </c>
      <c r="C116" s="41">
        <f>IF(Local!F116="Available",Local!C116,"")</f>
        <v/>
      </c>
    </row>
    <row r="117" hidden="1" ht="72" customHeight="1">
      <c r="A117" s="41">
        <f>IF(Local!F117="Available",Local!A117,"")</f>
        <v/>
      </c>
      <c r="B117" s="41">
        <f>IF(Local!F117="Available",Local!B117,"")</f>
        <v/>
      </c>
      <c r="C117" s="41">
        <f>IF(Local!F117="Available",Local!C117,"")</f>
        <v/>
      </c>
    </row>
    <row r="118" hidden="1" ht="72" customHeight="1">
      <c r="A118" s="41">
        <f>IF(Local!F118="Available",Local!A118,"")</f>
        <v/>
      </c>
      <c r="B118" s="41">
        <f>IF(Local!F118="Available",Local!B118,"")</f>
        <v/>
      </c>
      <c r="C118" s="41">
        <f>IF(Local!F118="Available",Local!C118,"")</f>
        <v/>
      </c>
    </row>
    <row r="119" hidden="1" ht="72" customHeight="1">
      <c r="A119" s="41">
        <f>IF(Local!F119="Available",Local!A119,"")</f>
        <v/>
      </c>
      <c r="B119" s="41">
        <f>IF(Local!F119="Available",Local!B119,"")</f>
        <v/>
      </c>
      <c r="C119" s="41">
        <f>IF(Local!F119="Available",Local!C119,"")</f>
        <v/>
      </c>
    </row>
    <row r="120" hidden="1" ht="72" customHeight="1">
      <c r="A120" s="41">
        <f>IF(Local!F120="Available",Local!A120,"")</f>
        <v/>
      </c>
      <c r="B120" s="41">
        <f>IF(Local!F120="Available",Local!B120,"")</f>
        <v/>
      </c>
      <c r="C120" s="41">
        <f>IF(Local!F120="Available",Local!C120,"")</f>
        <v/>
      </c>
    </row>
    <row r="121" ht="72" customHeight="1">
      <c r="A121" s="41">
        <f>IF(Local!F121="Available",Local!A121,"")</f>
        <v/>
      </c>
      <c r="B121" s="41">
        <f>IF(Local!F121="Available",Local!B121,"")</f>
        <v/>
      </c>
      <c r="C121" s="41">
        <f>IF(Local!F121="Available",Local!C121,"")</f>
        <v/>
      </c>
    </row>
    <row r="122" hidden="1" ht="72" customHeight="1">
      <c r="A122" s="41">
        <f>IF(Local!F122="Available",Local!A122,"")</f>
        <v/>
      </c>
      <c r="B122" s="41">
        <f>IF(Local!F122="Available",Local!B122,"")</f>
        <v/>
      </c>
      <c r="C122" s="41">
        <f>IF(Local!F122="Available",Local!C122,"")</f>
        <v/>
      </c>
    </row>
    <row r="123" hidden="1" ht="72" customHeight="1">
      <c r="A123" s="41">
        <f>IF(Local!F123="Available",Local!A123,"")</f>
        <v/>
      </c>
      <c r="B123" s="41">
        <f>IF(Local!F123="Available",Local!B123,"")</f>
        <v/>
      </c>
      <c r="C123" s="41">
        <f>IF(Local!F123="Available",Local!C123,"")</f>
        <v/>
      </c>
    </row>
    <row r="124" hidden="1" ht="72" customHeight="1">
      <c r="A124" s="41">
        <f>IF(Local!F124="Available",Local!A124,"")</f>
        <v/>
      </c>
      <c r="B124" s="41">
        <f>IF(Local!F124="Available",Local!B124,"")</f>
        <v/>
      </c>
      <c r="C124" s="41">
        <f>IF(Local!F124="Available",Local!C124,"")</f>
        <v/>
      </c>
    </row>
    <row r="125" hidden="1" ht="72" customHeight="1">
      <c r="A125" s="41">
        <f>IF(Local!F125="Available",Local!A125,"")</f>
        <v/>
      </c>
      <c r="B125" s="41">
        <f>IF(Local!F125="Available",Local!B125,"")</f>
        <v/>
      </c>
      <c r="C125" s="41">
        <f>IF(Local!F125="Available",Local!C125,"")</f>
        <v/>
      </c>
    </row>
    <row r="126" hidden="1" ht="72" customHeight="1">
      <c r="A126" s="41">
        <f>IF(Local!F126="Available",Local!A126,"")</f>
        <v/>
      </c>
      <c r="B126" s="41">
        <f>IF(Local!F126="Available",Local!B126,"")</f>
        <v/>
      </c>
      <c r="C126" s="41">
        <f>IF(Local!F126="Available",Local!C126,"")</f>
        <v/>
      </c>
    </row>
    <row r="127" ht="72" customHeight="1">
      <c r="A127" s="41">
        <f>IF(Local!F127="Available",Local!A127,"")</f>
        <v/>
      </c>
      <c r="B127" s="41">
        <f>IF(Local!F127="Available",Local!B127,"")</f>
        <v/>
      </c>
      <c r="C127" s="41">
        <f>IF(Local!F127="Available",Local!C127,"")</f>
        <v/>
      </c>
    </row>
    <row r="128" hidden="1" ht="72" customHeight="1">
      <c r="A128" s="41">
        <f>IF(Local!F128="Available",Local!A128,"")</f>
        <v/>
      </c>
      <c r="B128" s="41">
        <f>IF(Local!F128="Available",Local!B128,"")</f>
        <v/>
      </c>
      <c r="C128" s="41">
        <f>IF(Local!F128="Available",Local!C128,"")</f>
        <v/>
      </c>
    </row>
    <row r="129" hidden="1" ht="72" customHeight="1">
      <c r="A129" s="41">
        <f>IF(Local!F129="Available",Local!A129,"")</f>
        <v/>
      </c>
      <c r="B129" s="41">
        <f>IF(Local!F129="Available",Local!B129,"")</f>
        <v/>
      </c>
      <c r="C129" s="41">
        <f>IF(Local!F129="Available",Local!C129,"")</f>
        <v/>
      </c>
    </row>
    <row r="130" hidden="1" ht="72" customHeight="1">
      <c r="A130" s="41">
        <f>IF(Local!F130="Available",Local!A130,"")</f>
        <v/>
      </c>
      <c r="B130" s="41">
        <f>IF(Local!F130="Available",Local!B130,"")</f>
        <v/>
      </c>
      <c r="C130" s="41">
        <f>IF(Local!F130="Available",Local!C130,"")</f>
        <v/>
      </c>
    </row>
    <row r="131" ht="72" customHeight="1">
      <c r="A131" s="41">
        <f>IF(Local!F131="Available",Local!A131,"")</f>
        <v/>
      </c>
      <c r="B131" s="41">
        <f>IF(Local!F131="Available",Local!B131,"")</f>
        <v/>
      </c>
      <c r="C131" s="41">
        <f>IF(Local!F131="Available",Local!C131,"")</f>
        <v/>
      </c>
    </row>
    <row r="132" hidden="1" ht="72" customHeight="1">
      <c r="A132" s="41">
        <f>IF(Local!F132="Available",Local!A132,"")</f>
        <v/>
      </c>
      <c r="B132" s="41">
        <f>IF(Local!F132="Available",Local!B132,"")</f>
        <v/>
      </c>
      <c r="C132" s="41">
        <f>IF(Local!F132="Available",Local!C132,"")</f>
        <v/>
      </c>
    </row>
    <row r="133" hidden="1" ht="72" customHeight="1">
      <c r="A133" s="41">
        <f>IF(Local!F133="Available",Local!A133,"")</f>
        <v/>
      </c>
      <c r="B133" s="41">
        <f>IF(Local!F133="Available",Local!B133,"")</f>
        <v/>
      </c>
      <c r="C133" s="41">
        <f>IF(Local!F133="Available",Local!C133,"")</f>
        <v/>
      </c>
    </row>
    <row r="134" hidden="1" ht="72" customHeight="1">
      <c r="A134" s="41">
        <f>IF(Local!F134="Available",Local!A134,"")</f>
        <v/>
      </c>
      <c r="B134" s="41">
        <f>IF(Local!F134="Available",Local!B134,"")</f>
        <v/>
      </c>
      <c r="C134" s="41">
        <f>IF(Local!F134="Available",Local!C134,"")</f>
        <v/>
      </c>
    </row>
    <row r="135" ht="72" customHeight="1">
      <c r="A135" s="41">
        <f>IF(Local!F135="Available",Local!A135,"")</f>
        <v/>
      </c>
      <c r="B135" s="41">
        <f>IF(Local!F135="Available",Local!B135,"")</f>
        <v/>
      </c>
      <c r="C135" s="41">
        <f>IF(Local!F135="Available",Local!C135,"")</f>
        <v/>
      </c>
    </row>
    <row r="136" ht="72" customHeight="1">
      <c r="A136" s="41">
        <f>IF(Local!F136="Available",Local!A136,"")</f>
        <v/>
      </c>
      <c r="B136" s="41">
        <f>IF(Local!F136="Available",Local!B136,"")</f>
        <v/>
      </c>
      <c r="C136" s="41">
        <f>IF(Local!F136="Available",Local!C136,"")</f>
        <v/>
      </c>
    </row>
    <row r="137" hidden="1" ht="72" customHeight="1">
      <c r="A137" s="41">
        <f>IF(Local!F137="Available",Local!A137,"")</f>
        <v/>
      </c>
      <c r="B137" s="41">
        <f>IF(Local!F137="Available",Local!B137,"")</f>
        <v/>
      </c>
      <c r="C137" s="41">
        <f>IF(Local!F137="Available",Local!C137,"")</f>
        <v/>
      </c>
    </row>
    <row r="138" ht="72" customHeight="1">
      <c r="A138" s="41">
        <f>IF(Local!F138="Available",Local!A138,"")</f>
        <v/>
      </c>
      <c r="B138" s="41">
        <f>IF(Local!F138="Available",Local!B138,"")</f>
        <v/>
      </c>
      <c r="C138" s="41">
        <f>IF(Local!F138="Available",Local!C138,"")</f>
        <v/>
      </c>
    </row>
    <row r="139" hidden="1" ht="72" customHeight="1">
      <c r="A139" s="41">
        <f>IF(Local!F139="Available",Local!A139,"")</f>
        <v/>
      </c>
      <c r="B139" s="41">
        <f>IF(Local!F139="Available",Local!B139,"")</f>
        <v/>
      </c>
      <c r="C139" s="41">
        <f>IF(Local!F139="Available",Local!C139,"")</f>
        <v/>
      </c>
    </row>
    <row r="140" hidden="1" ht="72" customHeight="1">
      <c r="A140" s="41">
        <f>IF(Local!F140="Available",Local!A140,"")</f>
        <v/>
      </c>
      <c r="B140" s="41">
        <f>IF(Local!F140="Available",Local!B140,"")</f>
        <v/>
      </c>
      <c r="C140" s="41">
        <f>IF(Local!F140="Available",Local!C140,"")</f>
        <v/>
      </c>
    </row>
    <row r="141" ht="72" customHeight="1">
      <c r="A141" s="41">
        <f>IF(Local!F141="Available",Local!A141,"")</f>
        <v/>
      </c>
      <c r="B141" s="41">
        <f>IF(Local!F141="Available",Local!B141,"")</f>
        <v/>
      </c>
      <c r="C141" s="41">
        <f>IF(Local!F141="Available",Local!C141,"")</f>
        <v/>
      </c>
    </row>
    <row r="142" hidden="1" ht="72" customHeight="1">
      <c r="A142" s="41">
        <f>IF(Local!F142="Available",Local!A142,"")</f>
        <v/>
      </c>
      <c r="B142" s="41">
        <f>IF(Local!F142="Available",Local!B142,"")</f>
        <v/>
      </c>
      <c r="C142" s="41">
        <f>IF(Local!F142="Available",Local!C142,"")</f>
        <v/>
      </c>
    </row>
    <row r="143" hidden="1" ht="72" customHeight="1">
      <c r="A143" s="41">
        <f>IF(Local!F143="Available",Local!A143,"")</f>
        <v/>
      </c>
      <c r="B143" s="41">
        <f>IF(Local!F143="Available",Local!B143,"")</f>
        <v/>
      </c>
      <c r="C143" s="41">
        <f>IF(Local!F143="Available",Local!C143,"")</f>
        <v/>
      </c>
    </row>
    <row r="144" hidden="1" ht="72" customHeight="1">
      <c r="A144" s="41">
        <f>IF(Local!F144="Available",Local!A144,"")</f>
        <v/>
      </c>
      <c r="B144" s="41">
        <f>IF(Local!F144="Available",Local!B144,"")</f>
        <v/>
      </c>
      <c r="C144" s="41">
        <f>IF(Local!F144="Available",Local!C144,"")</f>
        <v/>
      </c>
    </row>
    <row r="145" hidden="1" ht="72" customHeight="1">
      <c r="A145" s="41">
        <f>IF(Local!F145="Available",Local!A145,"")</f>
        <v/>
      </c>
      <c r="B145" s="41">
        <f>IF(Local!F145="Available",Local!B145,"")</f>
        <v/>
      </c>
      <c r="C145" s="41">
        <f>IF(Local!F145="Available",Local!C145,"")</f>
        <v/>
      </c>
    </row>
    <row r="146" ht="72" customHeight="1">
      <c r="A146" s="41">
        <f>IF(Local!F146="Available",Local!A146,"")</f>
        <v/>
      </c>
      <c r="B146" s="41">
        <f>IF(Local!F146="Available",Local!B146,"")</f>
        <v/>
      </c>
      <c r="C146" s="41">
        <f>IF(Local!F146="Available",Local!C146,"")</f>
        <v/>
      </c>
    </row>
    <row r="147" ht="72" customHeight="1">
      <c r="A147" s="41">
        <f>IF(Local!F147="Available",Local!A147,"")</f>
        <v/>
      </c>
      <c r="B147" s="41">
        <f>IF(Local!F147="Available",Local!B147,"")</f>
        <v/>
      </c>
      <c r="C147" s="41">
        <f>IF(Local!F147="Available",Local!C147,"")</f>
        <v/>
      </c>
    </row>
    <row r="148" ht="72" customHeight="1">
      <c r="A148" s="41">
        <f>IF(Local!F148="Available",Local!A148,"")</f>
        <v/>
      </c>
      <c r="B148" s="41">
        <f>IF(Local!F148="Available",Local!B148,"")</f>
        <v/>
      </c>
      <c r="C148" s="41">
        <f>IF(Local!F148="Available",Local!C148,"")</f>
        <v/>
      </c>
    </row>
    <row r="149" hidden="1" ht="72" customHeight="1">
      <c r="A149" s="41">
        <f>IF(Local!F149="Available",Local!A149,"")</f>
        <v/>
      </c>
      <c r="B149" s="41">
        <f>IF(Local!F149="Available",Local!B149,"")</f>
        <v/>
      </c>
      <c r="C149" s="41">
        <f>IF(Local!F149="Available",Local!C149,"")</f>
        <v/>
      </c>
    </row>
    <row r="150" hidden="1" ht="72" customHeight="1">
      <c r="A150" s="41">
        <f>IF(Local!F150="Available",Local!A150,"")</f>
        <v/>
      </c>
      <c r="B150" s="41">
        <f>IF(Local!F150="Available",Local!B150,"")</f>
        <v/>
      </c>
      <c r="C150" s="41">
        <f>IF(Local!F150="Available",Local!C150,"")</f>
        <v/>
      </c>
    </row>
    <row r="151" hidden="1" ht="72" customHeight="1">
      <c r="A151" s="41">
        <f>IF(Local!F151="Available",Local!A151,"")</f>
        <v/>
      </c>
      <c r="B151" s="41">
        <f>IF(Local!F151="Available",Local!B151,"")</f>
        <v/>
      </c>
      <c r="C151" s="41">
        <f>IF(Local!F151="Available",Local!C151,"")</f>
        <v/>
      </c>
    </row>
    <row r="152" ht="72" customHeight="1">
      <c r="A152" s="41">
        <f>IF(Local!F152="Available",Local!A152,"")</f>
        <v/>
      </c>
      <c r="B152" s="41">
        <f>IF(Local!F152="Available",Local!B152,"")</f>
        <v/>
      </c>
      <c r="C152" s="41">
        <f>IF(Local!F152="Available",Local!C152,"")</f>
        <v/>
      </c>
    </row>
    <row r="153" ht="72" customHeight="1">
      <c r="A153" s="41">
        <f>IF(Local!F153="Available",Local!A153,"")</f>
        <v/>
      </c>
      <c r="B153" s="41">
        <f>IF(Local!F153="Available",Local!B153,"")</f>
        <v/>
      </c>
      <c r="C153" s="41">
        <f>IF(Local!F153="Available",Local!C153,"")</f>
        <v/>
      </c>
    </row>
    <row r="154" hidden="1" ht="72" customHeight="1">
      <c r="A154" s="41">
        <f>IF(Local!F154="Available",Local!A154,"")</f>
        <v/>
      </c>
      <c r="B154" s="41">
        <f>IF(Local!F154="Available",Local!B154,"")</f>
        <v/>
      </c>
      <c r="C154" s="41">
        <f>IF(Local!F154="Available",Local!C154,"")</f>
        <v/>
      </c>
    </row>
    <row r="155" ht="72" customHeight="1">
      <c r="A155" s="41">
        <f>IF(Local!F155="Available",Local!A155,"")</f>
        <v/>
      </c>
      <c r="B155" s="41">
        <f>IF(Local!F155="Available",Local!B155,"")</f>
        <v/>
      </c>
      <c r="C155" s="41">
        <f>IF(Local!F155="Available",Local!C155,"")</f>
        <v/>
      </c>
    </row>
    <row r="156" hidden="1" ht="72" customHeight="1">
      <c r="A156" s="41">
        <f>IF(Local!F156="Available",Local!A156,"")</f>
        <v/>
      </c>
      <c r="B156" s="41">
        <f>IF(Local!F156="Available",Local!B156,"")</f>
        <v/>
      </c>
      <c r="C156" s="41">
        <f>IF(Local!F156="Available",Local!C156,"")</f>
        <v/>
      </c>
    </row>
    <row r="157" hidden="1" ht="72" customHeight="1">
      <c r="A157" s="41">
        <f>IF(Local!F157="Available",Local!A157,"")</f>
        <v/>
      </c>
      <c r="B157" s="41">
        <f>IF(Local!F157="Available",Local!B157,"")</f>
        <v/>
      </c>
      <c r="C157" s="41">
        <f>IF(Local!F157="Available",Local!C157,"")</f>
        <v/>
      </c>
    </row>
    <row r="158" hidden="1" ht="72" customHeight="1">
      <c r="A158" s="41">
        <f>IF(Local!F158="Available",Local!A158,"")</f>
        <v/>
      </c>
      <c r="B158" s="41">
        <f>IF(Local!F158="Available",Local!B158,"")</f>
        <v/>
      </c>
      <c r="C158" s="41">
        <f>IF(Local!F158="Available",Local!C158,"")</f>
        <v/>
      </c>
    </row>
    <row r="159" hidden="1" ht="72" customHeight="1">
      <c r="A159" s="41">
        <f>IF(Local!F159="Available",Local!A159,"")</f>
        <v/>
      </c>
      <c r="B159" s="41">
        <f>IF(Local!F159="Available",Local!B159,"")</f>
        <v/>
      </c>
      <c r="C159" s="41">
        <f>IF(Local!F159="Available",Local!C159,"")</f>
        <v/>
      </c>
    </row>
    <row r="160" ht="72" customHeight="1">
      <c r="A160" s="41">
        <f>IF(Local!F160="Available",Local!A160,"")</f>
        <v/>
      </c>
      <c r="B160" s="41">
        <f>IF(Local!F160="Available",Local!B160,"")</f>
        <v/>
      </c>
      <c r="C160" s="41">
        <f>IF(Local!F160="Available",Local!C160,"")</f>
        <v/>
      </c>
    </row>
    <row r="161" hidden="1" ht="72" customHeight="1">
      <c r="A161" s="41">
        <f>IF(Local!F161="Available",Local!A161,"")</f>
        <v/>
      </c>
      <c r="B161" s="41">
        <f>IF(Local!F161="Available",Local!B161,"")</f>
        <v/>
      </c>
      <c r="C161" s="41">
        <f>IF(Local!F161="Available",Local!C161,"")</f>
        <v/>
      </c>
    </row>
    <row r="162" hidden="1" ht="72" customHeight="1">
      <c r="A162" s="41">
        <f>IF(Local!F162="Available",Local!A162,"")</f>
        <v/>
      </c>
      <c r="B162" s="41">
        <f>IF(Local!F162="Available",Local!B162,"")</f>
        <v/>
      </c>
      <c r="C162" s="41">
        <f>IF(Local!F162="Available",Local!C162,"")</f>
        <v/>
      </c>
    </row>
    <row r="163" hidden="1" ht="72" customHeight="1">
      <c r="A163" s="41">
        <f>IF(Local!F163="Available",Local!A163,"")</f>
        <v/>
      </c>
      <c r="B163" s="41">
        <f>IF(Local!F163="Available",Local!B163,"")</f>
        <v/>
      </c>
      <c r="C163" s="41">
        <f>IF(Local!F163="Available",Local!C163,"")</f>
        <v/>
      </c>
    </row>
    <row r="164" hidden="1" ht="72" customHeight="1">
      <c r="A164" s="41">
        <f>IF(Local!F164="Available",Local!A164,"")</f>
        <v/>
      </c>
      <c r="B164" s="41">
        <f>IF(Local!F164="Available",Local!B164,"")</f>
        <v/>
      </c>
      <c r="C164" s="41">
        <f>IF(Local!F164="Available",Local!C164,"")</f>
        <v/>
      </c>
    </row>
    <row r="165" hidden="1" ht="72" customHeight="1">
      <c r="A165" s="41">
        <f>IF(Local!F165="Available",Local!A165,"")</f>
        <v/>
      </c>
      <c r="B165" s="41">
        <f>IF(Local!F165="Available",Local!B165,"")</f>
        <v/>
      </c>
      <c r="C165" s="41">
        <f>IF(Local!F165="Available",Local!C165,"")</f>
        <v/>
      </c>
    </row>
    <row r="166" hidden="1" ht="72" customHeight="1">
      <c r="A166" s="41">
        <f>IF(Local!F166="Available",Local!A166,"")</f>
        <v/>
      </c>
      <c r="B166" s="41">
        <f>IF(Local!F166="Available",Local!B166,"")</f>
        <v/>
      </c>
      <c r="C166" s="41">
        <f>IF(Local!F166="Available",Local!C166,"")</f>
        <v/>
      </c>
    </row>
    <row r="167" hidden="1" ht="72" customHeight="1">
      <c r="A167" s="41">
        <f>IF(Local!F167="Available",Local!A167,"")</f>
        <v/>
      </c>
      <c r="B167" s="41">
        <f>IF(Local!F167="Available",Local!B167,"")</f>
        <v/>
      </c>
      <c r="C167" s="41">
        <f>IF(Local!F167="Available",Local!C167,"")</f>
        <v/>
      </c>
    </row>
    <row r="168" hidden="1" ht="72" customHeight="1">
      <c r="A168" s="41">
        <f>IF(Local!F168="Available",Local!A168,"")</f>
        <v/>
      </c>
      <c r="B168" s="41">
        <f>IF(Local!F168="Available",Local!B168,"")</f>
        <v/>
      </c>
      <c r="C168" s="41">
        <f>IF(Local!F168="Available",Local!C168,"")</f>
        <v/>
      </c>
    </row>
    <row r="169" hidden="1" ht="72" customHeight="1">
      <c r="A169" s="41">
        <f>IF(Local!F169="Available",Local!A169,"")</f>
        <v/>
      </c>
      <c r="B169" s="41">
        <f>IF(Local!F169="Available",Local!B169,"")</f>
        <v/>
      </c>
      <c r="C169" s="41">
        <f>IF(Local!F169="Available",Local!C169,"")</f>
        <v/>
      </c>
    </row>
    <row r="170" hidden="1" ht="72" customHeight="1">
      <c r="A170" s="41">
        <f>IF(Local!F170="Available",Local!A170,"")</f>
        <v/>
      </c>
      <c r="B170" s="41">
        <f>IF(Local!F170="Available",Local!B170,"")</f>
        <v/>
      </c>
      <c r="C170" s="41">
        <f>IF(Local!F170="Available",Local!C170,"")</f>
        <v/>
      </c>
    </row>
    <row r="171" hidden="1" ht="72" customHeight="1">
      <c r="A171" s="41">
        <f>IF(Local!F171="Available",Local!A171,"")</f>
        <v/>
      </c>
      <c r="B171" s="41">
        <f>IF(Local!F171="Available",Local!B171,"")</f>
        <v/>
      </c>
      <c r="C171" s="41">
        <f>IF(Local!F171="Available",Local!C171,"")</f>
        <v/>
      </c>
    </row>
    <row r="172" hidden="1" ht="72" customHeight="1">
      <c r="A172" s="41">
        <f>IF(Local!F172="Available",Local!A172,"")</f>
        <v/>
      </c>
      <c r="B172" s="41">
        <f>IF(Local!F172="Available",Local!B172,"")</f>
        <v/>
      </c>
      <c r="C172" s="41">
        <f>IF(Local!F172="Available",Local!C172,"")</f>
        <v/>
      </c>
    </row>
    <row r="173" hidden="1" ht="72" customHeight="1">
      <c r="A173" s="41">
        <f>IF(Local!F173="Available",Local!A173,"")</f>
        <v/>
      </c>
      <c r="B173" s="41">
        <f>IF(Local!F173="Available",Local!B173,"")</f>
        <v/>
      </c>
      <c r="C173" s="41">
        <f>IF(Local!F173="Available",Local!C173,"")</f>
        <v/>
      </c>
    </row>
    <row r="174" hidden="1" ht="72" customHeight="1">
      <c r="A174" s="41">
        <f>IF(Local!F174="Available",Local!A174,"")</f>
        <v/>
      </c>
      <c r="B174" s="41">
        <f>IF(Local!F174="Available",Local!B174,"")</f>
        <v/>
      </c>
      <c r="C174" s="41">
        <f>IF(Local!F174="Available",Local!C174,"")</f>
        <v/>
      </c>
    </row>
    <row r="175" hidden="1" ht="72" customHeight="1">
      <c r="A175" s="41">
        <f>IF(Local!F175="Available",Local!A175,"")</f>
        <v/>
      </c>
      <c r="B175" s="41">
        <f>IF(Local!F175="Available",Local!B175,"")</f>
        <v/>
      </c>
      <c r="C175" s="41">
        <f>IF(Local!F175="Available",Local!C175,"")</f>
        <v/>
      </c>
    </row>
    <row r="176" ht="72" customHeight="1">
      <c r="A176" s="41">
        <f>IF(Local!F176="Available",Local!A176,"")</f>
        <v/>
      </c>
      <c r="B176" s="41">
        <f>IF(Local!F176="Available",Local!B176,"")</f>
        <v/>
      </c>
      <c r="C176" s="41">
        <f>IF(Local!F176="Available",Local!C176,"")</f>
        <v/>
      </c>
    </row>
    <row r="177" hidden="1" ht="72" customHeight="1">
      <c r="A177" s="41">
        <f>IF(Local!F177="Available",Local!A177,"")</f>
        <v/>
      </c>
      <c r="B177" s="41">
        <f>IF(Local!F177="Available",Local!B177,"")</f>
        <v/>
      </c>
      <c r="C177" s="41">
        <f>IF(Local!F177="Available",Local!C177,"")</f>
        <v/>
      </c>
    </row>
    <row r="178" hidden="1" ht="72" customHeight="1">
      <c r="A178" s="41">
        <f>IF(Local!F178="Available",Local!A178,"")</f>
        <v/>
      </c>
      <c r="B178" s="41">
        <f>IF(Local!F178="Available",Local!B178,"")</f>
        <v/>
      </c>
      <c r="C178" s="41">
        <f>IF(Local!F178="Available",Local!C178,"")</f>
        <v/>
      </c>
    </row>
    <row r="179" ht="72" customHeight="1">
      <c r="A179" s="41">
        <f>IF(Local!F179="Available",Local!A179,"")</f>
        <v/>
      </c>
      <c r="B179" s="41">
        <f>IF(Local!F179="Available",Local!B179,"")</f>
        <v/>
      </c>
      <c r="C179" s="41">
        <f>IF(Local!F179="Available",Local!C179,"")</f>
        <v/>
      </c>
    </row>
    <row r="180" ht="72" customHeight="1">
      <c r="A180" s="41">
        <f>IF(Local!F180="Available",Local!A180,"")</f>
        <v/>
      </c>
      <c r="B180" s="41">
        <f>IF(Local!F180="Available",Local!B180,"")</f>
        <v/>
      </c>
      <c r="C180" s="41">
        <f>IF(Local!F180="Available",Local!C180,"")</f>
        <v/>
      </c>
    </row>
    <row r="181" hidden="1" ht="72" customHeight="1">
      <c r="A181" s="41">
        <f>IF(Local!F181="Available",Local!A181,"")</f>
        <v/>
      </c>
      <c r="B181" s="41">
        <f>IF(Local!F181="Available",Local!B181,"")</f>
        <v/>
      </c>
      <c r="C181" s="41">
        <f>IF(Local!F181="Available",Local!C181,"")</f>
        <v/>
      </c>
    </row>
    <row r="182" hidden="1" ht="72" customHeight="1">
      <c r="A182" s="41">
        <f>IF(Local!F182="Available",Local!A182,"")</f>
        <v/>
      </c>
      <c r="B182" s="41">
        <f>IF(Local!F182="Available",Local!B182,"")</f>
        <v/>
      </c>
      <c r="C182" s="41">
        <f>IF(Local!F182="Available",Local!C182,"")</f>
        <v/>
      </c>
    </row>
    <row r="183" hidden="1" ht="72" customHeight="1">
      <c r="A183" s="41">
        <f>IF(Local!F183="Available",Local!A183,"")</f>
        <v/>
      </c>
      <c r="B183" s="41">
        <f>IF(Local!F183="Available",Local!B183,"")</f>
        <v/>
      </c>
      <c r="C183" s="41">
        <f>IF(Local!F183="Available",Local!C183,"")</f>
        <v/>
      </c>
    </row>
    <row r="184" ht="72" customHeight="1">
      <c r="A184" s="41">
        <f>IF(Local!F184="Available",Local!A184,"")</f>
        <v/>
      </c>
      <c r="B184" s="41">
        <f>IF(Local!F184="Available",Local!B184,"")</f>
        <v/>
      </c>
      <c r="C184" s="41">
        <f>IF(Local!F184="Available",Local!C184,"")</f>
        <v/>
      </c>
    </row>
    <row r="185" hidden="1" ht="72" customHeight="1">
      <c r="A185" s="41">
        <f>IF(Local!F185="Available",Local!A185,"")</f>
        <v/>
      </c>
      <c r="B185" s="41">
        <f>IF(Local!F185="Available",Local!B185,"")</f>
        <v/>
      </c>
      <c r="C185" s="41">
        <f>IF(Local!F185="Available",Local!C185,"")</f>
        <v/>
      </c>
    </row>
    <row r="186" hidden="1" ht="72" customHeight="1">
      <c r="A186" s="41">
        <f>IF(Local!F186="Available",Local!A186,"")</f>
        <v/>
      </c>
      <c r="B186" s="41">
        <f>IF(Local!F186="Available",Local!B186,"")</f>
        <v/>
      </c>
      <c r="C186" s="41">
        <f>IF(Local!F186="Available",Local!C186,"")</f>
        <v/>
      </c>
    </row>
    <row r="187" ht="72" customHeight="1">
      <c r="A187" s="41">
        <f>IF(Local!E156="Available",Local!A187,"")</f>
        <v/>
      </c>
      <c r="B187" s="41">
        <f>IF(Local!E156="Available",Local!B187,"")</f>
        <v/>
      </c>
      <c r="C187" s="41">
        <f>IF(Local!E156="Available",Local!C187,"")</f>
        <v/>
      </c>
    </row>
    <row r="188" hidden="1" ht="72" customHeight="1">
      <c r="A188" s="41">
        <f>IF(Local!F188="Available",Local!A188,"")</f>
        <v/>
      </c>
      <c r="B188" s="41">
        <f>IF(Local!F188="Available",Local!B188,"")</f>
        <v/>
      </c>
      <c r="C188" s="41">
        <f>IF(Local!F188="Available",Local!C188,"")</f>
        <v/>
      </c>
    </row>
    <row r="189" hidden="1" ht="72" customHeight="1">
      <c r="A189" s="41">
        <f>IF(Local!F189="Available",Local!A189,"")</f>
        <v/>
      </c>
      <c r="B189" s="41">
        <f>IF(Local!F189="Available",Local!B189,"")</f>
        <v/>
      </c>
      <c r="C189" s="41">
        <f>IF(Local!F189="Available",Local!C189,"")</f>
        <v/>
      </c>
    </row>
    <row r="190" hidden="1" ht="72" customHeight="1">
      <c r="A190" s="41">
        <f>IF(Local!F190="Available",Local!A190,"")</f>
        <v/>
      </c>
      <c r="B190" s="41">
        <f>IF(Local!F190="Available",Local!B190,"")</f>
        <v/>
      </c>
      <c r="C190" s="41">
        <f>IF(Local!F190="Available",Local!C190,"")</f>
        <v/>
      </c>
    </row>
    <row r="191" hidden="1" ht="72" customHeight="1">
      <c r="A191" s="41">
        <f>IF(Local!F191="Available",Local!A191,"")</f>
        <v/>
      </c>
      <c r="B191" s="41">
        <f>IF(Local!F191="Available",Local!B191,"")</f>
        <v/>
      </c>
      <c r="C191" s="41">
        <f>IF(Local!F191="Available",Local!C191,"")</f>
        <v/>
      </c>
    </row>
    <row r="192" ht="72" customHeight="1">
      <c r="A192" s="41">
        <f>IF(Local!F192="Available",Local!A192,"")</f>
        <v/>
      </c>
      <c r="B192" s="41">
        <f>IF(Local!F192="Available",Local!B192,"")</f>
        <v/>
      </c>
      <c r="C192" s="41">
        <f>IF(Local!F192="Available",Local!C192,"")</f>
        <v/>
      </c>
    </row>
    <row r="193" ht="72" customHeight="1">
      <c r="A193" s="41">
        <f>IF(Local!F193="Available",Local!A193,"")</f>
        <v/>
      </c>
      <c r="B193" s="41">
        <f>IF(Local!F193="Available",Local!B193,"")</f>
        <v/>
      </c>
      <c r="C193" s="41">
        <f>IF(Local!F193="Available",Local!C193,"")</f>
        <v/>
      </c>
    </row>
    <row r="194" hidden="1" ht="72" customHeight="1">
      <c r="A194" s="41">
        <f>IF(Local!F194="Available",Local!A194,"")</f>
        <v/>
      </c>
      <c r="B194" s="41">
        <f>IF(Local!F194="Available",Local!B194,"")</f>
        <v/>
      </c>
      <c r="C194" s="41">
        <f>IF(Local!F194="Available",Local!C194,"")</f>
        <v/>
      </c>
    </row>
    <row r="195" hidden="1" ht="72" customHeight="1">
      <c r="A195" s="41">
        <f>IF(Local!F195="Available",Local!A195,"")</f>
        <v/>
      </c>
      <c r="B195" s="41">
        <f>IF(Local!F195="Available",Local!B195,"")</f>
        <v/>
      </c>
      <c r="C195" s="41">
        <f>IF(Local!F195="Available",Local!C195,"")</f>
        <v/>
      </c>
    </row>
    <row r="196" ht="72" customHeight="1">
      <c r="A196" s="41">
        <f>IF(Local!F196="Available",Local!A196,"")</f>
        <v/>
      </c>
      <c r="B196" s="41">
        <f>IF(Local!F196="Available",Local!B196,"")</f>
        <v/>
      </c>
      <c r="C196" s="41">
        <f>IF(Local!F196="Available",Local!C196,"")</f>
        <v/>
      </c>
    </row>
    <row r="197" ht="72" customHeight="1">
      <c r="A197" s="41">
        <f>IF(Local!F197="Available",Local!A197,"")</f>
        <v/>
      </c>
      <c r="B197" s="41">
        <f>IF(Local!F197="Available",Local!B197,"")</f>
        <v/>
      </c>
      <c r="C197" s="41">
        <f>IF(Local!F197="Available",Local!C197,"")</f>
        <v/>
      </c>
    </row>
    <row r="198" hidden="1" ht="72" customHeight="1">
      <c r="A198" s="41">
        <f>IF(Local!F198="Available",Local!A198,"")</f>
        <v/>
      </c>
      <c r="B198" s="41">
        <f>IF(Local!F198="Available",Local!B198,"")</f>
        <v/>
      </c>
      <c r="C198" s="41">
        <f>IF(Local!F198="Available",Local!C198,"")</f>
        <v/>
      </c>
    </row>
    <row r="199" hidden="1" ht="72" customHeight="1">
      <c r="A199" s="41">
        <f>IF(Local!F199="Available",Local!A199,"")</f>
        <v/>
      </c>
      <c r="B199" s="41">
        <f>IF(Local!F199="Available",Local!B199,"")</f>
        <v/>
      </c>
      <c r="C199" s="41">
        <f>IF(Local!F199="Available",Local!C199,"")</f>
        <v/>
      </c>
    </row>
    <row r="200" hidden="1" ht="72" customHeight="1">
      <c r="A200" s="41">
        <f>IF(Local!F200="Available",Local!A200,"")</f>
        <v/>
      </c>
      <c r="B200" s="41">
        <f>IF(Local!F200="Available",Local!B200,"")</f>
        <v/>
      </c>
      <c r="C200" s="41">
        <f>IF(Local!F200="Available",Local!C200,"")</f>
        <v/>
      </c>
    </row>
    <row r="201" ht="72" customHeight="1">
      <c r="A201" s="41">
        <f>IF(Local!F201="Available",Local!A201,"")</f>
        <v/>
      </c>
      <c r="B201" s="41">
        <f>IF(Local!F201="Available",Local!B201,"")</f>
        <v/>
      </c>
      <c r="C201" s="41">
        <f>IF(Local!F201="Available",Local!C201,"")</f>
        <v/>
      </c>
    </row>
    <row r="202" ht="72" customHeight="1">
      <c r="A202" s="41">
        <f>IF(Local!F202="Available",Local!A202,"")</f>
        <v/>
      </c>
      <c r="B202" s="41">
        <f>IF(Local!F202="Available",Local!B202,"")</f>
        <v/>
      </c>
      <c r="C202" s="41">
        <f>IF(Local!F202="Available",Local!C202,"")</f>
        <v/>
      </c>
    </row>
    <row r="203" ht="72" customHeight="1">
      <c r="A203" s="41">
        <f>IF(Local!F203="Available",Local!A203,"")</f>
        <v/>
      </c>
      <c r="B203" s="41">
        <f>IF(Local!F203="Available",Local!B203,"")</f>
        <v/>
      </c>
      <c r="C203" s="41">
        <f>IF(Local!F203="Available",Local!C203,"")</f>
        <v/>
      </c>
    </row>
    <row r="204" ht="72" customHeight="1">
      <c r="A204" s="41">
        <f>IF(Local!F204="Available",Local!A204,"")</f>
        <v/>
      </c>
      <c r="B204" s="41">
        <f>IF(Local!F204="Available",Local!B204,"")</f>
        <v/>
      </c>
      <c r="C204" s="41">
        <f>IF(Local!F204="Available",Local!C204,"")</f>
        <v/>
      </c>
    </row>
    <row r="205" hidden="1" ht="72" customHeight="1">
      <c r="A205" s="41">
        <f>IF(Local!F205="Available",Local!A205,"")</f>
        <v/>
      </c>
      <c r="B205" s="41">
        <f>IF(Local!F205="Available",Local!B205,"")</f>
        <v/>
      </c>
      <c r="C205" s="41">
        <f>IF(Local!F205="Available",Local!C205,"")</f>
        <v/>
      </c>
    </row>
    <row r="206" hidden="1" ht="72" customHeight="1">
      <c r="A206" s="41">
        <f>IF(Local!F206="Available",Local!A206,"")</f>
        <v/>
      </c>
      <c r="B206" s="41">
        <f>IF(Local!F206="Available",Local!B206,"")</f>
        <v/>
      </c>
      <c r="C206" s="41">
        <f>IF(Local!F206="Available",Local!C206,"")</f>
        <v/>
      </c>
    </row>
    <row r="207" hidden="1" ht="72" customHeight="1">
      <c r="A207" s="41">
        <f>IF(Local!F207="Available",Local!A207,"")</f>
        <v/>
      </c>
      <c r="B207" s="41">
        <f>IF(Local!F207="Available",Local!B207,"")</f>
        <v/>
      </c>
      <c r="C207" s="41">
        <f>IF(Local!F207="Available",Local!C207,"")</f>
        <v/>
      </c>
    </row>
    <row r="208" ht="72" customHeight="1">
      <c r="A208" s="41">
        <f>IF(Local!F208="Available",Local!A208,"")</f>
        <v/>
      </c>
      <c r="B208" s="41">
        <f>IF(Local!F208="Available",Local!B208,"")</f>
        <v/>
      </c>
      <c r="C208" s="41">
        <f>IF(Local!F208="Available",Local!C208,"")</f>
        <v/>
      </c>
    </row>
    <row r="209" hidden="1" ht="72" customHeight="1">
      <c r="A209" s="41">
        <f>IF(Local!F209="Available",Local!A209,"")</f>
        <v/>
      </c>
      <c r="B209" s="41">
        <f>IF(Local!F209="Available",Local!B209,"")</f>
        <v/>
      </c>
      <c r="C209" s="41">
        <f>IF(Local!F209="Available",Local!C209,"")</f>
        <v/>
      </c>
    </row>
    <row r="210" hidden="1" ht="72" customHeight="1">
      <c r="A210" s="41">
        <f>IF(Local!F210="Available",Local!A210,"")</f>
        <v/>
      </c>
      <c r="B210" s="41">
        <f>IF(Local!F210="Available",Local!B210,"")</f>
        <v/>
      </c>
      <c r="C210" s="41">
        <f>IF(Local!F210="Available",Local!C210,"")</f>
        <v/>
      </c>
    </row>
    <row r="211" hidden="1" ht="72" customHeight="1">
      <c r="A211" s="41">
        <f>IF(Local!F211="Available",Local!A211,"")</f>
        <v/>
      </c>
      <c r="B211" s="41">
        <f>IF(Local!F211="Available",Local!B211,"")</f>
        <v/>
      </c>
      <c r="C211" s="41">
        <f>IF(Local!F211="Available",Local!C211,"")</f>
        <v/>
      </c>
    </row>
    <row r="212" ht="72" customHeight="1">
      <c r="A212" s="41">
        <f>IF(Local!F212="Available",Local!A212,"")</f>
        <v/>
      </c>
      <c r="B212" s="41">
        <f>IF(Local!F212="Available",Local!B212,"")</f>
        <v/>
      </c>
      <c r="C212" s="41">
        <f>IF(Local!F212="Available",Local!C212,"")</f>
        <v/>
      </c>
    </row>
    <row r="213" hidden="1" ht="72" customHeight="1">
      <c r="A213" s="41">
        <f>IF(Local!F213="Available",Local!A213,"")</f>
        <v/>
      </c>
      <c r="B213" s="41">
        <f>IF(Local!F213="Available",Local!B213,"")</f>
        <v/>
      </c>
      <c r="C213" s="41">
        <f>IF(Local!F213="Available",Local!C213,"")</f>
        <v/>
      </c>
    </row>
    <row r="214" ht="72" customHeight="1">
      <c r="A214" s="41">
        <f>IF(Local!F214="Available",Local!A214,"")</f>
        <v/>
      </c>
      <c r="B214" s="41">
        <f>IF(Local!F214="Available",Local!B214,"")</f>
        <v/>
      </c>
      <c r="C214" s="41">
        <f>IF(Local!F214="Available",Local!C214,"")</f>
        <v/>
      </c>
    </row>
    <row r="215" hidden="1" ht="72" customHeight="1">
      <c r="A215" s="41">
        <f>IF(Local!F215="Available",Local!A215,"")</f>
        <v/>
      </c>
      <c r="B215" s="41">
        <f>IF(Local!F215="Available",Local!B215,"")</f>
        <v/>
      </c>
      <c r="C215" s="41">
        <f>IF(Local!F215="Available",Local!C215,"")</f>
        <v/>
      </c>
    </row>
    <row r="216" hidden="1" ht="72" customHeight="1">
      <c r="A216" s="41">
        <f>IF(Local!F216="Available",Local!A216,"")</f>
        <v/>
      </c>
      <c r="B216" s="41">
        <f>IF(Local!F216="Available",Local!B216,"")</f>
        <v/>
      </c>
      <c r="C216" s="41">
        <f>IF(Local!F216="Available",Local!C216,"")</f>
        <v/>
      </c>
    </row>
    <row r="217" hidden="1" ht="72" customHeight="1">
      <c r="A217" s="41">
        <f>IF(Local!F217="Available",Local!A217,"")</f>
        <v/>
      </c>
      <c r="B217" s="41">
        <f>IF(Local!F217="Available",Local!B217,"")</f>
        <v/>
      </c>
      <c r="C217" s="41">
        <f>IF(Local!F217="Available",Local!C217,"")</f>
        <v/>
      </c>
    </row>
    <row r="218" ht="72" customHeight="1">
      <c r="A218" s="41">
        <f>IF(Local!F218="Available",Local!A218,"")</f>
        <v/>
      </c>
      <c r="B218" s="41">
        <f>IF(Local!F218="Available",Local!B218,"")</f>
        <v/>
      </c>
      <c r="C218" s="41">
        <f>IF(Local!F218="Available",Local!C218,"")</f>
        <v/>
      </c>
    </row>
    <row r="219" hidden="1" ht="72" customHeight="1">
      <c r="A219" s="41">
        <f>IF(Local!F219="Available",Local!A219,"")</f>
        <v/>
      </c>
      <c r="B219" s="41">
        <f>IF(Local!F219="Available",Local!B219,"")</f>
        <v/>
      </c>
      <c r="C219" s="41">
        <f>IF(Local!F219="Available",Local!C219,"")</f>
        <v/>
      </c>
    </row>
    <row r="220" ht="72" customHeight="1">
      <c r="A220" s="41">
        <f>IF(Local!F220="Available",Local!A220,"")</f>
        <v/>
      </c>
      <c r="B220" s="41">
        <f>IF(Local!F220="Available",Local!B220,"")</f>
        <v/>
      </c>
      <c r="C220" s="41">
        <f>IF(Local!F220="Available",Local!C220,"")</f>
        <v/>
      </c>
    </row>
    <row r="221" hidden="1" ht="72" customHeight="1">
      <c r="A221" s="41">
        <f>IF(Local!F221="Available",Local!A221,"")</f>
        <v/>
      </c>
      <c r="B221" s="41">
        <f>IF(Local!F221="Available",Local!B221,"")</f>
        <v/>
      </c>
      <c r="C221" s="41">
        <f>IF(Local!F221="Available",Local!C221,"")</f>
        <v/>
      </c>
    </row>
    <row r="222" hidden="1" ht="72" customHeight="1">
      <c r="A222" s="41">
        <f>IF(Local!F222="Available",Local!A222,"")</f>
        <v/>
      </c>
      <c r="B222" s="41">
        <f>IF(Local!F222="Available",Local!B222,"")</f>
        <v/>
      </c>
      <c r="C222" s="41">
        <f>IF(Local!F222="Available",Local!C222,"")</f>
        <v/>
      </c>
    </row>
    <row r="223" ht="72" customHeight="1">
      <c r="A223" s="41">
        <f>IF(Local!F223="Available",Local!A223,"")</f>
        <v/>
      </c>
      <c r="B223" s="41">
        <f>IF(Local!F223="Available",Local!B223,"")</f>
        <v/>
      </c>
      <c r="C223" s="41">
        <f>IF(Local!F223="Available",Local!C223,"")</f>
        <v/>
      </c>
    </row>
    <row r="224" hidden="1" ht="72" customHeight="1">
      <c r="A224" s="41">
        <f>IF(Local!F224="Available",Local!A224,"")</f>
        <v/>
      </c>
      <c r="B224" s="41">
        <f>IF(Local!F224="Available",Local!B224,"")</f>
        <v/>
      </c>
      <c r="C224" s="41">
        <f>IF(Local!F224="Available",Local!C224,"")</f>
        <v/>
      </c>
    </row>
    <row r="225" hidden="1" ht="72" customHeight="1">
      <c r="A225" s="41">
        <f>IF(Local!F225="Available",Local!A225,"")</f>
        <v/>
      </c>
      <c r="B225" s="41">
        <f>IF(Local!F225="Available",Local!B225,"")</f>
        <v/>
      </c>
      <c r="C225" s="41">
        <f>IF(Local!F225="Available",Local!C225,"")</f>
        <v/>
      </c>
    </row>
    <row r="226" ht="72" customHeight="1">
      <c r="A226" s="41">
        <f>IF(Local!F226="Available",Local!A226,"")</f>
        <v/>
      </c>
      <c r="B226" s="41">
        <f>IF(Local!F226="Available",Local!B226,"")</f>
        <v/>
      </c>
      <c r="C226" s="41">
        <f>IF(Local!F226="Available",Local!C226,"")</f>
        <v/>
      </c>
    </row>
    <row r="227" hidden="1" ht="72" customHeight="1">
      <c r="A227" s="41">
        <f>IF(Local!F227="Available",Local!A227,"")</f>
        <v/>
      </c>
      <c r="B227" s="41">
        <f>IF(Local!F227="Available",Local!B227,"")</f>
        <v/>
      </c>
      <c r="C227" s="41">
        <f>IF(Local!F227="Available",Local!C227,"")</f>
        <v/>
      </c>
    </row>
    <row r="228" hidden="1" ht="72" customHeight="1">
      <c r="A228" s="41">
        <f>IF(Local!F228="Available",Local!A228,"")</f>
        <v/>
      </c>
      <c r="B228" s="41">
        <f>IF(Local!F228="Available",Local!B228,"")</f>
        <v/>
      </c>
      <c r="C228" s="41">
        <f>IF(Local!F228="Available",Local!C228,"")</f>
        <v/>
      </c>
    </row>
    <row r="229" hidden="1" ht="72" customHeight="1">
      <c r="A229" s="41">
        <f>IF(Local!F229="Available",Local!A229,"")</f>
        <v/>
      </c>
      <c r="B229" s="41">
        <f>IF(Local!F229="Available",Local!B229,"")</f>
        <v/>
      </c>
      <c r="C229" s="41">
        <f>IF(Local!F229="Available",Local!C229,"")</f>
        <v/>
      </c>
    </row>
    <row r="230" hidden="1" ht="72" customHeight="1">
      <c r="A230" s="41">
        <f>IF(Local!F230="Available",Local!A230,"")</f>
        <v/>
      </c>
      <c r="B230" s="41">
        <f>IF(Local!F230="Available",Local!B230,"")</f>
        <v/>
      </c>
      <c r="C230" s="41">
        <f>IF(Local!F230="Available",Local!C230,"")</f>
        <v/>
      </c>
    </row>
    <row r="231" ht="72" customHeight="1">
      <c r="A231" s="41">
        <f>IF(Local!F231="Available",Local!A231,"")</f>
        <v/>
      </c>
      <c r="B231" s="41">
        <f>IF(Local!F231="Available",Local!B231,"")</f>
        <v/>
      </c>
      <c r="C231" s="41">
        <f>IF(Local!F231="Available",Local!C231,"")</f>
        <v/>
      </c>
    </row>
    <row r="232" hidden="1" ht="72" customHeight="1">
      <c r="A232" s="41">
        <f>IF(Local!F232="Available",Local!A232,"")</f>
        <v/>
      </c>
      <c r="B232" s="41">
        <f>IF(Local!F232="Available",Local!B232,"")</f>
        <v/>
      </c>
      <c r="C232" s="41">
        <f>IF(Local!F232="Available",Local!C232,"")</f>
        <v/>
      </c>
    </row>
    <row r="233" hidden="1" ht="72" customHeight="1">
      <c r="A233" s="41">
        <f>IF(Local!F233="Available",Local!A233,"")</f>
        <v/>
      </c>
      <c r="B233" s="41">
        <f>IF(Local!F233="Available",Local!B233,"")</f>
        <v/>
      </c>
      <c r="C233" s="41">
        <f>IF(Local!F233="Available",Local!C233,"")</f>
        <v/>
      </c>
    </row>
    <row r="234" hidden="1" ht="72" customHeight="1">
      <c r="A234" s="41">
        <f>IF(Local!F234="Available",Local!A234,"")</f>
        <v/>
      </c>
      <c r="B234" s="41">
        <f>IF(Local!F234="Available",Local!B234,"")</f>
        <v/>
      </c>
      <c r="C234" s="41">
        <f>IF(Local!F234="Available",Local!C234,"")</f>
        <v/>
      </c>
    </row>
    <row r="235" ht="72" customHeight="1">
      <c r="A235" s="41">
        <f>IF(Local!F235="Available",Local!A235,"")</f>
        <v/>
      </c>
      <c r="B235" s="41">
        <f>IF(Local!F235="Available",Local!B235,"")</f>
        <v/>
      </c>
      <c r="C235" s="41">
        <f>IF(Local!F235="Available",Local!C235,"")</f>
        <v/>
      </c>
    </row>
    <row r="236" ht="72" customHeight="1">
      <c r="A236" s="41">
        <f>IF(Local!F236="Available",Local!A236,"")</f>
        <v/>
      </c>
      <c r="B236" s="41">
        <f>IF(Local!F236="Available",Local!B236,"")</f>
        <v/>
      </c>
      <c r="C236" s="41">
        <f>IF(Local!F236="Available",Local!C236,"")</f>
        <v/>
      </c>
    </row>
    <row r="237" ht="72" customHeight="1">
      <c r="A237" s="41">
        <f>IF(Local!F237="Available",Local!A237,"")</f>
        <v/>
      </c>
      <c r="B237" s="41">
        <f>IF(Local!F237="Available",Local!B237,"")</f>
        <v/>
      </c>
      <c r="C237" s="41">
        <f>IF(Local!F237="Available",Local!C237,"")</f>
        <v/>
      </c>
    </row>
    <row r="238" hidden="1" ht="72" customHeight="1">
      <c r="A238" s="41">
        <f>IF(Local!F238="Available",Local!A238,"")</f>
        <v/>
      </c>
      <c r="B238" s="41">
        <f>IF(Local!F238="Available",Local!B238,"")</f>
        <v/>
      </c>
      <c r="C238" s="41">
        <f>IF(Local!F238="Available",Local!C238,"")</f>
        <v/>
      </c>
    </row>
    <row r="239" ht="72" customHeight="1">
      <c r="A239" s="41">
        <f>IF(Local!F239="Available",Local!A239,"")</f>
        <v/>
      </c>
      <c r="B239" s="41">
        <f>IF(Local!F239="Available",Local!B239,"")</f>
        <v/>
      </c>
      <c r="C239" s="41">
        <f>IF(Local!F239="Available",Local!C239,"")</f>
        <v/>
      </c>
    </row>
    <row r="240" hidden="1" ht="72" customHeight="1">
      <c r="A240" s="41">
        <f>IF(Local!F240="Available",Local!A240,"")</f>
        <v/>
      </c>
      <c r="B240" s="41">
        <f>IF(Local!F240="Available",Local!B240,"")</f>
        <v/>
      </c>
      <c r="C240" s="41">
        <f>IF(Local!F240="Available",Local!C240,"")</f>
        <v/>
      </c>
    </row>
    <row r="241" hidden="1" ht="72" customHeight="1">
      <c r="A241" s="41">
        <f>IF(Local!F241="Available",Local!A241,"")</f>
        <v/>
      </c>
      <c r="B241" s="41">
        <f>IF(Local!F241="Available",Local!B241,"")</f>
        <v/>
      </c>
      <c r="C241" s="41">
        <f>IF(Local!F241="Available",Local!C241,"")</f>
        <v/>
      </c>
    </row>
    <row r="242" hidden="1" ht="72" customHeight="1">
      <c r="A242" s="41">
        <f>IF(Local!F242="Available",Local!A242,"")</f>
        <v/>
      </c>
      <c r="B242" s="41">
        <f>IF(Local!F242="Available",Local!B242,"")</f>
        <v/>
      </c>
      <c r="C242" s="41">
        <f>IF(Local!F242="Available",Local!C242,"")</f>
        <v/>
      </c>
    </row>
    <row r="243" ht="72" customHeight="1">
      <c r="A243" s="41">
        <f>IF(Local!F243="Available",Local!A243,"")</f>
        <v/>
      </c>
      <c r="B243" s="41">
        <f>IF(Local!F243="Available",Local!B243,"")</f>
        <v/>
      </c>
      <c r="C243" s="41">
        <f>IF(Local!F243="Available",Local!C243,"")</f>
        <v/>
      </c>
    </row>
    <row r="244" hidden="1" ht="72" customHeight="1">
      <c r="A244" s="41">
        <f>IF(Local!F244="Available",Local!A244,"")</f>
        <v/>
      </c>
      <c r="B244" s="41">
        <f>IF(Local!F244="Available",Local!B244,"")</f>
        <v/>
      </c>
      <c r="C244" s="41">
        <f>IF(Local!F244="Available",Local!C244,"")</f>
        <v/>
      </c>
    </row>
    <row r="245" ht="72" customHeight="1">
      <c r="A245" s="41">
        <f>IF(Local!F245="Available",Local!A245,"")</f>
        <v/>
      </c>
      <c r="B245" s="41">
        <f>IF(Local!F245="Available",Local!B245,"")</f>
        <v/>
      </c>
      <c r="C245" s="41">
        <f>IF(Local!F245="Available",Local!C245,"")</f>
        <v/>
      </c>
    </row>
    <row r="246" hidden="1" ht="72" customHeight="1">
      <c r="A246" s="41">
        <f>IF(Local!F246="Available",Local!A246,"")</f>
        <v/>
      </c>
      <c r="B246" s="41">
        <f>IF(Local!F246="Available",Local!B246,"")</f>
        <v/>
      </c>
      <c r="C246" s="41">
        <f>IF(Local!F246="Available",Local!C246,"")</f>
        <v/>
      </c>
    </row>
    <row r="247" hidden="1" ht="72" customHeight="1">
      <c r="A247" s="41">
        <f>IF(Local!F247="Available",Local!A247,"")</f>
        <v/>
      </c>
      <c r="B247" s="41">
        <f>IF(Local!F247="Available",Local!B247,"")</f>
        <v/>
      </c>
      <c r="C247" s="41">
        <f>IF(Local!F247="Available",Local!C247,"")</f>
        <v/>
      </c>
    </row>
    <row r="248" hidden="1" ht="72" customHeight="1">
      <c r="A248" s="41">
        <f>IF(Local!F248="Available",Local!A248,"")</f>
        <v/>
      </c>
      <c r="B248" s="41">
        <f>IF(Local!F248="Available",Local!B248,"")</f>
        <v/>
      </c>
      <c r="C248" s="41">
        <f>IF(Local!F248="Available",Local!C248,"")</f>
        <v/>
      </c>
    </row>
    <row r="249" hidden="1" ht="72" customHeight="1">
      <c r="A249" s="41">
        <f>IF(Local!F249="Available",Local!A249,"")</f>
        <v/>
      </c>
      <c r="B249" s="41">
        <f>IF(Local!F249="Available",Local!B249,"")</f>
        <v/>
      </c>
      <c r="C249" s="41">
        <f>IF(Local!F249="Available",Local!C249,"")</f>
        <v/>
      </c>
    </row>
    <row r="250" hidden="1" ht="72" customHeight="1">
      <c r="A250" s="41">
        <f>IF(Local!F250="Available",Local!A250,"")</f>
        <v/>
      </c>
      <c r="B250" s="41">
        <f>IF(Local!F250="Available",Local!B250,"")</f>
        <v/>
      </c>
      <c r="C250" s="41">
        <f>IF(Local!F250="Available",Local!C250,"")</f>
        <v/>
      </c>
    </row>
    <row r="251" hidden="1" ht="72" customHeight="1">
      <c r="A251" s="41">
        <f>IF(Local!F251="Available",Local!A251,"")</f>
        <v/>
      </c>
      <c r="B251" s="41">
        <f>IF(Local!F251="Available",Local!B251,"")</f>
        <v/>
      </c>
      <c r="C251" s="41">
        <f>IF(Local!F251="Available",Local!C251,"")</f>
        <v/>
      </c>
    </row>
    <row r="252" ht="72" customHeight="1">
      <c r="A252" s="41">
        <f>IF(Local!F252="Available",Local!A252,"")</f>
        <v/>
      </c>
      <c r="B252" s="41">
        <f>IF(Local!F252="Available",Local!B252,"")</f>
        <v/>
      </c>
      <c r="C252" s="41">
        <f>IF(Local!F252="Available",Local!C252,"")</f>
        <v/>
      </c>
    </row>
    <row r="253" ht="72" customHeight="1">
      <c r="A253" s="41">
        <f>IF(Local!F253="Available",Local!A253,"")</f>
        <v/>
      </c>
      <c r="B253" s="41">
        <f>IF(Local!F253="Available",Local!B253,"")</f>
        <v/>
      </c>
      <c r="C253" s="41">
        <f>IF(Local!F253="Available",Local!C253,"")</f>
        <v/>
      </c>
    </row>
    <row r="254" ht="72" customHeight="1">
      <c r="A254" s="41">
        <f>IF(Local!F254="Available",Local!A254,"")</f>
        <v/>
      </c>
      <c r="B254" s="41">
        <f>IF(Local!F254="Available",Local!B254,"")</f>
        <v/>
      </c>
      <c r="C254" s="41">
        <f>IF(Local!F254="Available",Local!C254,"")</f>
        <v/>
      </c>
    </row>
    <row r="255" ht="72" customHeight="1">
      <c r="A255" s="41">
        <f>IF(Local!F255="Available",Local!A255,"")</f>
        <v/>
      </c>
      <c r="B255" s="41">
        <f>IF(Local!F255="Available",Local!B255,"")</f>
        <v/>
      </c>
      <c r="C255" s="41">
        <f>IF(Local!F255="Available",Local!C255,"")</f>
        <v/>
      </c>
    </row>
    <row r="256" ht="72" customHeight="1">
      <c r="A256" s="41">
        <f>IF(Local!F256="Available",Local!A256,"")</f>
        <v/>
      </c>
      <c r="B256" s="41">
        <f>IF(Local!F256="Available",Local!B256,"")</f>
        <v/>
      </c>
      <c r="C256" s="41">
        <f>IF(Local!F256="Available",Local!C256,"")</f>
        <v/>
      </c>
    </row>
    <row r="257" ht="72" customHeight="1">
      <c r="A257" s="41">
        <f>IF(Local!F257="Available",Local!A257,"")</f>
        <v/>
      </c>
      <c r="B257" s="41">
        <f>IF(Local!F257="Available",Local!B257,"")</f>
        <v/>
      </c>
      <c r="C257" s="41">
        <f>IF(Local!F257="Available",Local!C257,"")</f>
        <v/>
      </c>
    </row>
    <row r="258" hidden="1" ht="72" customHeight="1">
      <c r="A258" s="41">
        <f>IF(Local!F258="Available",Local!A258,"")</f>
        <v/>
      </c>
      <c r="B258" s="41">
        <f>IF(Local!F258="Available",Local!B258,"")</f>
        <v/>
      </c>
      <c r="C258" s="41">
        <f>IF(Local!F258="Available",Local!C258,"")</f>
        <v/>
      </c>
    </row>
    <row r="259" hidden="1" ht="72" customHeight="1">
      <c r="A259" s="41">
        <f>IF(Local!F259="Available",Local!A259,"")</f>
        <v/>
      </c>
      <c r="B259" s="41">
        <f>IF(Local!F259="Available",Local!B259,"")</f>
        <v/>
      </c>
      <c r="C259" s="41">
        <f>IF(Local!F259="Available",Local!C259,"")</f>
        <v/>
      </c>
    </row>
    <row r="260" hidden="1" ht="72" customHeight="1">
      <c r="A260" s="41">
        <f>IF(Local!F260="Available",Local!A260,"")</f>
        <v/>
      </c>
      <c r="B260" s="41">
        <f>IF(Local!F260="Available",Local!B260,"")</f>
        <v/>
      </c>
      <c r="C260" s="41">
        <f>IF(Local!F260="Available",Local!C260,"")</f>
        <v/>
      </c>
    </row>
    <row r="261" hidden="1" ht="72" customHeight="1">
      <c r="A261" s="41">
        <f>IF(Local!F261="Available",Local!A261,"")</f>
        <v/>
      </c>
      <c r="B261" s="41">
        <f>IF(Local!F261="Available",Local!B261,"")</f>
        <v/>
      </c>
      <c r="C261" s="41">
        <f>IF(Local!F261="Available",Local!C261,"")</f>
        <v/>
      </c>
    </row>
    <row r="262" ht="72" customHeight="1">
      <c r="A262" s="41">
        <f>IF(Local!F262="Available",Local!A262,"")</f>
        <v/>
      </c>
      <c r="B262" s="41">
        <f>IF(Local!F262="Available",Local!B262,"")</f>
        <v/>
      </c>
      <c r="C262" s="41">
        <f>IF(Local!F262="Available",Local!C262,"")</f>
        <v/>
      </c>
    </row>
    <row r="263" ht="72" customHeight="1">
      <c r="A263" s="41">
        <f>IF(Local!F263="Available",Local!A263,"")</f>
        <v/>
      </c>
      <c r="B263" s="41">
        <f>IF(Local!F263="Available",Local!B263,"")</f>
        <v/>
      </c>
      <c r="C263" s="41">
        <f>IF(Local!F263="Available",Local!C263,"")</f>
        <v/>
      </c>
    </row>
    <row r="264" ht="72" customHeight="1">
      <c r="A264" s="41">
        <f>IF(Local!F264="Available",Local!A264,"")</f>
        <v/>
      </c>
      <c r="B264" s="41">
        <f>IF(Local!F264="Available",Local!B264,"")</f>
        <v/>
      </c>
      <c r="C264" s="41">
        <f>IF(Local!F264="Available",Local!C264,"")</f>
        <v/>
      </c>
    </row>
    <row r="265" ht="72" customHeight="1">
      <c r="A265" s="41">
        <f>IF(Local!F265="Available",Local!A265,"")</f>
        <v/>
      </c>
      <c r="B265" s="41">
        <f>IF(Local!F265="Available",Local!B265,"")</f>
        <v/>
      </c>
      <c r="C265" s="41">
        <f>IF(Local!F265="Available",Local!C265,"")</f>
        <v/>
      </c>
    </row>
    <row r="266" ht="72" customHeight="1">
      <c r="A266" s="41">
        <f>IF(Local!F266="Available",Local!A266,"")</f>
        <v/>
      </c>
      <c r="B266" s="41">
        <f>IF(Local!F266="Available",Local!B266,"")</f>
        <v/>
      </c>
      <c r="C266" s="41">
        <f>IF(Local!F266="Available",Local!C266,"")</f>
        <v/>
      </c>
    </row>
    <row r="267" ht="72" customHeight="1">
      <c r="A267" s="41">
        <f>IF(Local!F267="Available",Local!A267,"")</f>
        <v/>
      </c>
      <c r="B267" s="41">
        <f>IF(Local!F267="Available",Local!B267,"")</f>
        <v/>
      </c>
      <c r="C267" s="41">
        <f>IF(Local!F267="Available",Local!C267,"")</f>
        <v/>
      </c>
    </row>
    <row r="268" ht="72" customHeight="1">
      <c r="A268" s="41">
        <f>IF(Local!F268="Available",Local!A268,"")</f>
        <v/>
      </c>
      <c r="B268" s="41">
        <f>IF(Local!F268="Available",Local!B268,"")</f>
        <v/>
      </c>
      <c r="C268" s="41">
        <f>IF(Local!F268="Available",Local!C268,"")</f>
        <v/>
      </c>
    </row>
    <row r="269" ht="72" customHeight="1">
      <c r="A269" s="41">
        <f>IF(Local!F269="Available",Local!A269,"")</f>
        <v/>
      </c>
      <c r="B269" s="41">
        <f>IF(Local!F269="Available",Local!B269,"")</f>
        <v/>
      </c>
      <c r="C269" s="41">
        <f>IF(Local!F269="Available",Local!C269,"")</f>
        <v/>
      </c>
    </row>
    <row r="270" ht="72" customHeight="1">
      <c r="A270" s="41">
        <f>IF(Local!F270="Available",Local!A270,"")</f>
        <v/>
      </c>
      <c r="B270" s="41">
        <f>IF(Local!F270="Available",Local!B270,"")</f>
        <v/>
      </c>
      <c r="C270" s="41">
        <f>IF(Local!F270="Available",Local!C270,"")</f>
        <v/>
      </c>
    </row>
    <row r="271" ht="72" customHeight="1">
      <c r="A271" s="41">
        <f>IF(Local!F271="Available",Local!A271,"")</f>
        <v/>
      </c>
      <c r="B271" s="41">
        <f>IF(Local!F271="Available",Local!B271,"")</f>
        <v/>
      </c>
      <c r="C271" s="41">
        <f>IF(Local!F271="Available",Local!C271,"")</f>
        <v/>
      </c>
    </row>
    <row r="272" hidden="1" ht="72" customHeight="1">
      <c r="A272" s="41">
        <f>IF(Local!F272="Available",Local!A272,"")</f>
        <v/>
      </c>
      <c r="B272" s="41">
        <f>IF(Local!F272="Available",Local!B272,"")</f>
        <v/>
      </c>
      <c r="C272" s="41">
        <f>IF(Local!F272="Available",Local!C272,"")</f>
        <v/>
      </c>
    </row>
    <row r="273" hidden="1" ht="72" customHeight="1">
      <c r="A273" s="41">
        <f>IF(Local!F273="Available",Local!A273,"")</f>
        <v/>
      </c>
      <c r="B273" s="41">
        <f>IF(Local!F273="Available",Local!B273,"")</f>
        <v/>
      </c>
      <c r="C273" s="41">
        <f>IF(Local!F273="Available",Local!C273,"")</f>
        <v/>
      </c>
    </row>
    <row r="274" hidden="1" ht="72" customHeight="1">
      <c r="A274" s="41">
        <f>IF(Local!F274="Available",Local!A274,"")</f>
        <v/>
      </c>
      <c r="B274" s="41">
        <f>IF(Local!F274="Available",Local!B274,"")</f>
        <v/>
      </c>
      <c r="C274" s="41">
        <f>IF(Local!F274="Available",Local!C274,"")</f>
        <v/>
      </c>
    </row>
    <row r="275" ht="72" customHeight="1">
      <c r="A275" s="41">
        <f>IF(Local!F275="Available",Local!A275,"")</f>
        <v/>
      </c>
      <c r="B275" s="41">
        <f>IF(Local!F275="Available",Local!B275,"")</f>
        <v/>
      </c>
      <c r="C275" s="41">
        <f>IF(Local!F275="Available",Local!C275,"")</f>
        <v/>
      </c>
    </row>
    <row r="276" hidden="1" ht="72" customHeight="1">
      <c r="A276" s="41">
        <f>IF(Local!F276="Available",Local!A276,"")</f>
        <v/>
      </c>
      <c r="B276" s="41">
        <f>IF(Local!F276="Available",Local!B276,"")</f>
        <v/>
      </c>
      <c r="C276" s="41">
        <f>IF(Local!F276="Available",Local!C276,"")</f>
        <v/>
      </c>
    </row>
    <row r="277" ht="72" customHeight="1">
      <c r="A277" s="41">
        <f>IF(Local!F277="Available",Local!A277,"")</f>
        <v/>
      </c>
      <c r="B277" s="41">
        <f>IF(Local!F277="Available",Local!B277,"")</f>
        <v/>
      </c>
      <c r="C277" s="41">
        <f>IF(Local!F277="Available",Local!C277,"")</f>
        <v/>
      </c>
    </row>
    <row r="278" ht="72" customHeight="1">
      <c r="A278" s="41">
        <f>IF(Local!F278="Available",Local!A278,"")</f>
        <v/>
      </c>
      <c r="B278" s="41">
        <f>IF(Local!F278="Available",Local!B278,"")</f>
        <v/>
      </c>
      <c r="C278" s="41">
        <f>IF(Local!F278="Available",Local!C278,"")</f>
        <v/>
      </c>
    </row>
    <row r="279" hidden="1" ht="72" customHeight="1">
      <c r="A279" s="41">
        <f>IF(Local!F279="Available",Local!A279,"")</f>
        <v/>
      </c>
      <c r="B279" s="41">
        <f>IF(Local!F279="Available",Local!B279,"")</f>
        <v/>
      </c>
      <c r="C279" s="41">
        <f>IF(Local!F279="Available",Local!C279,"")</f>
        <v/>
      </c>
    </row>
    <row r="280" hidden="1" ht="72" customHeight="1">
      <c r="A280" s="41">
        <f>IF(Local!F280="Available",Local!A280,"")</f>
        <v/>
      </c>
      <c r="B280" s="41">
        <f>IF(Local!F280="Available",Local!B280,"")</f>
        <v/>
      </c>
      <c r="C280" s="41">
        <f>IF(Local!F280="Available",Local!C280,"")</f>
        <v/>
      </c>
    </row>
    <row r="281" hidden="1" ht="72" customHeight="1">
      <c r="A281" s="41">
        <f>IF(Local!F281="Available",Local!A281,"")</f>
        <v/>
      </c>
      <c r="B281" s="41">
        <f>IF(Local!F281="Available",Local!B281,"")</f>
        <v/>
      </c>
      <c r="C281" s="41">
        <f>IF(Local!F281="Available",Local!C281,"")</f>
        <v/>
      </c>
    </row>
    <row r="282" hidden="1" ht="72" customHeight="1">
      <c r="A282" s="41">
        <f>IF(Local!F282="Available",Local!A282,"")</f>
        <v/>
      </c>
      <c r="B282" s="41">
        <f>IF(Local!F282="Available",Local!B282,"")</f>
        <v/>
      </c>
      <c r="C282" s="41">
        <f>IF(Local!F282="Available",Local!C282,"")</f>
        <v/>
      </c>
    </row>
    <row r="283" hidden="1" ht="72" customHeight="1">
      <c r="A283" s="41">
        <f>IF(Local!F283="Available",Local!A283,"")</f>
        <v/>
      </c>
      <c r="B283" s="41">
        <f>IF(Local!F283="Available",Local!B283,"")</f>
        <v/>
      </c>
      <c r="C283" s="41">
        <f>IF(Local!F283="Available",Local!C283,"")</f>
        <v/>
      </c>
    </row>
    <row r="284" ht="72" customHeight="1">
      <c r="A284" s="41">
        <f>IF(Local!F284="Available",Local!A284,"")</f>
        <v/>
      </c>
      <c r="B284" s="41">
        <f>IF(Local!F284="Available",Local!B284,"")</f>
        <v/>
      </c>
      <c r="C284" s="41">
        <f>IF(Local!F284="Available",Local!C284,"")</f>
        <v/>
      </c>
    </row>
    <row r="285" hidden="1" ht="72" customHeight="1">
      <c r="A285" s="41">
        <f>IF(Local!F285="Available",Local!A285,"")</f>
        <v/>
      </c>
      <c r="B285" s="41">
        <f>IF(Local!F285="Available",Local!B285,"")</f>
        <v/>
      </c>
      <c r="C285" s="41">
        <f>IF(Local!F285="Available",Local!C285,"")</f>
        <v/>
      </c>
    </row>
    <row r="286" hidden="1" ht="72" customHeight="1">
      <c r="A286" s="41">
        <f>IF(Local!F286="Available",Local!A286,"")</f>
        <v/>
      </c>
      <c r="B286" s="41">
        <f>IF(Local!F286="Available",Local!B286,"")</f>
        <v/>
      </c>
      <c r="C286" s="41">
        <f>IF(Local!F286="Available",Local!C286,"")</f>
        <v/>
      </c>
    </row>
    <row r="287" ht="72" customHeight="1">
      <c r="A287" s="41">
        <f>IF(Local!F287="Available",Local!A287,"")</f>
        <v/>
      </c>
      <c r="B287" s="41">
        <f>IF(Local!F287="Available",Local!B287,"")</f>
        <v/>
      </c>
      <c r="C287" s="41">
        <f>IF(Local!F287="Available",Local!C287,"")</f>
        <v/>
      </c>
    </row>
    <row r="288" hidden="1" ht="72" customHeight="1">
      <c r="A288" s="41">
        <f>IF(Local!F288="Available",Local!A288,"")</f>
        <v/>
      </c>
      <c r="B288" s="41">
        <f>IF(Local!F288="Available",Local!B288,"")</f>
        <v/>
      </c>
      <c r="C288" s="41">
        <f>IF(Local!F288="Available",Local!C288,"")</f>
        <v/>
      </c>
    </row>
    <row r="289" ht="72" customHeight="1">
      <c r="A289" s="41">
        <f>IF(Local!F289="Available",Local!A289,"")</f>
        <v/>
      </c>
      <c r="B289" s="41">
        <f>IF(Local!F289="Available",Local!B289,"")</f>
        <v/>
      </c>
      <c r="C289" s="41">
        <f>IF(Local!F289="Available",Local!C289,"")</f>
        <v/>
      </c>
    </row>
    <row r="290" hidden="1" ht="72" customHeight="1">
      <c r="A290" s="42">
        <f>IF(Local!F290="Available",Local!A290,"")</f>
        <v/>
      </c>
      <c r="B290" s="42">
        <f>IF(Local!F290="Available",Local!B290,"")</f>
        <v/>
      </c>
      <c r="C290" s="42">
        <f>IF(Local!F290="Available",Local!C290,"")</f>
        <v/>
      </c>
    </row>
    <row r="291" hidden="1" ht="72" customHeight="1">
      <c r="A291" s="42">
        <f>IF(Local!F291="Available",Local!A291,"")</f>
        <v/>
      </c>
      <c r="B291" s="42">
        <f>IF(Local!F291="Available",Local!B291,"")</f>
        <v/>
      </c>
      <c r="C291" s="42">
        <f>IF(Local!F291="Available",Local!C291,"")</f>
        <v/>
      </c>
    </row>
    <row r="292" hidden="1" ht="72" customHeight="1">
      <c r="A292" s="42">
        <f>IF(Local!F292="Available",Local!A292,"")</f>
        <v/>
      </c>
      <c r="B292" s="42">
        <f>IF(Local!F292="Available",Local!B292,"")</f>
        <v/>
      </c>
      <c r="C292" s="42">
        <f>IF(Local!F292="Available",Local!C292,"")</f>
        <v/>
      </c>
    </row>
    <row r="293" hidden="1" ht="72" customHeight="1">
      <c r="A293" s="42">
        <f>IF(Local!F293="Available",Local!A293,"")</f>
        <v/>
      </c>
      <c r="B293" s="42">
        <f>IF(Local!F293="Available",Local!B293,"")</f>
        <v/>
      </c>
      <c r="C293" s="42">
        <f>IF(Local!F293="Available",Local!C293,"")</f>
        <v/>
      </c>
    </row>
    <row r="294" hidden="1" ht="72" customHeight="1">
      <c r="A294" s="42">
        <f>IF(Local!F294="Available",Local!A294,"")</f>
        <v/>
      </c>
      <c r="B294" s="42">
        <f>IF(Local!F294="Available",Local!B294,"")</f>
        <v/>
      </c>
      <c r="C294" s="42">
        <f>IF(Local!F294="Available",Local!C294,"")</f>
        <v/>
      </c>
    </row>
    <row r="295" hidden="1" ht="72" customHeight="1">
      <c r="A295" s="42">
        <f>IF(Local!F295="Available",Local!A295,"")</f>
        <v/>
      </c>
      <c r="B295" s="42">
        <f>IF(Local!F295="Available",Local!B295,"")</f>
        <v/>
      </c>
      <c r="C295" s="42">
        <f>IF(Local!F295="Available",Local!C295,"")</f>
        <v/>
      </c>
    </row>
    <row r="296" hidden="1" ht="72" customHeight="1">
      <c r="A296" s="42">
        <f>IF(Local!F296="Available",Local!A296,"")</f>
        <v/>
      </c>
      <c r="B296" s="42">
        <f>IF(Local!F296="Available",Local!B296,"")</f>
        <v/>
      </c>
      <c r="C296" s="42">
        <f>IF(Local!F296="Available",Local!C296,"")</f>
        <v/>
      </c>
    </row>
    <row r="297" hidden="1" ht="72" customHeight="1">
      <c r="A297" s="42">
        <f>IF(Local!F297="Available",Local!A297,"")</f>
        <v/>
      </c>
      <c r="B297" s="42">
        <f>IF(Local!F297="Available",Local!B297,"")</f>
        <v/>
      </c>
      <c r="C297" s="42">
        <f>IF(Local!F297="Available",Local!C297,"")</f>
        <v/>
      </c>
    </row>
    <row r="298" hidden="1" ht="72" customHeight="1">
      <c r="A298" s="42">
        <f>IF(Local!F298="Available",Local!A298,"")</f>
        <v/>
      </c>
      <c r="B298" s="42">
        <f>IF(Local!F298="Available",Local!B298,"")</f>
        <v/>
      </c>
      <c r="C298" s="42">
        <f>IF(Local!F298="Available",Local!C298,"")</f>
        <v/>
      </c>
    </row>
    <row r="299" hidden="1" ht="72" customHeight="1">
      <c r="A299" s="42">
        <f>IF(Local!F299="Available",Local!A299,"")</f>
        <v/>
      </c>
      <c r="B299" s="42">
        <f>IF(Local!F299="Available",Local!B299,"")</f>
        <v/>
      </c>
      <c r="C299" s="42">
        <f>IF(Local!F299="Available",Local!C299,"")</f>
        <v/>
      </c>
    </row>
    <row r="300" hidden="1" ht="72" customHeight="1">
      <c r="A300" s="42">
        <f>IF(Local!F300="Available",Local!A300,"")</f>
        <v/>
      </c>
      <c r="B300" s="42">
        <f>IF(Local!F300="Available",Local!B300,"")</f>
        <v/>
      </c>
      <c r="C300" s="42">
        <f>IF(Local!F300="Available",Local!C300,"")</f>
        <v/>
      </c>
    </row>
    <row r="301" hidden="1" ht="72" customHeight="1">
      <c r="A301" s="42">
        <f>IF(Local!F301="Available",Local!A301,"")</f>
        <v/>
      </c>
      <c r="B301" s="42">
        <f>IF(Local!F301="Available",Local!B301,"")</f>
        <v/>
      </c>
      <c r="C301" s="42">
        <f>IF(Local!F301="Available",Local!C301,"")</f>
        <v/>
      </c>
    </row>
    <row r="302" hidden="1" ht="72" customHeight="1">
      <c r="A302" s="42">
        <f>IF(Local!F302="Available",Local!A302,"")</f>
        <v/>
      </c>
      <c r="B302" s="42">
        <f>IF(Local!F302="Available",Local!B302,"")</f>
        <v/>
      </c>
      <c r="C302" s="42">
        <f>IF(Local!F302="Available",Local!C302,"")</f>
        <v/>
      </c>
    </row>
    <row r="303" hidden="1" ht="72" customHeight="1">
      <c r="A303" s="42">
        <f>IF(Local!F303="Available",Local!A303,"")</f>
        <v/>
      </c>
      <c r="B303" s="42">
        <f>IF(Local!F303="Available",Local!B303,"")</f>
        <v/>
      </c>
      <c r="C303" s="42">
        <f>IF(Local!F303="Available",Local!C303,"")</f>
        <v/>
      </c>
    </row>
    <row r="304" hidden="1" ht="72" customHeight="1">
      <c r="A304" s="42">
        <f>IF(Local!F304="Available",Local!A304,"")</f>
        <v/>
      </c>
      <c r="B304" s="42">
        <f>IF(Local!F304="Available",Local!B304,"")</f>
        <v/>
      </c>
      <c r="C304" s="42">
        <f>IF(Local!F304="Available",Local!C304,"")</f>
        <v/>
      </c>
    </row>
    <row r="305" hidden="1" ht="72" customHeight="1">
      <c r="A305" s="42">
        <f>IF(Local!F305="Available",Local!A305,"")</f>
        <v/>
      </c>
      <c r="B305" s="42">
        <f>IF(Local!F305="Available",Local!B305,"")</f>
        <v/>
      </c>
      <c r="C305" s="42">
        <f>IF(Local!F305="Available",Local!C305,"")</f>
        <v/>
      </c>
    </row>
    <row r="306" hidden="1" ht="72" customHeight="1">
      <c r="A306" s="42">
        <f>IF(Local!F306="Available",Local!A306,"")</f>
        <v/>
      </c>
      <c r="B306" s="42">
        <f>IF(Local!F306="Available",Local!B306,"")</f>
        <v/>
      </c>
      <c r="C306" s="42">
        <f>IF(Local!F306="Available",Local!C306,"")</f>
        <v/>
      </c>
    </row>
    <row r="307" hidden="1" ht="72" customHeight="1">
      <c r="A307" s="42">
        <f>IF(Local!F307="Available",Local!A307,"")</f>
        <v/>
      </c>
      <c r="B307" s="42">
        <f>IF(Local!F307="Available",Local!B307,"")</f>
        <v/>
      </c>
      <c r="C307" s="42">
        <f>IF(Local!F307="Available",Local!C307,"")</f>
        <v/>
      </c>
    </row>
    <row r="308" hidden="1" ht="72" customHeight="1">
      <c r="A308" s="42">
        <f>IF(Local!F308="Available",Local!A308,"")</f>
        <v/>
      </c>
      <c r="B308" s="42">
        <f>IF(Local!G308="Available",Local!B308,"")</f>
        <v/>
      </c>
      <c r="C308" s="42">
        <f>IF(Local!F308="Available",Local!C308,"")</f>
        <v/>
      </c>
    </row>
    <row r="309" hidden="1" ht="72" customHeight="1">
      <c r="A309" s="42">
        <f>IF(Local!F309="Available",Local!A309,"")</f>
        <v/>
      </c>
      <c r="B309" s="42">
        <f>IF(Local!G309="Available",Local!B309,"")</f>
        <v/>
      </c>
      <c r="C309" s="42">
        <f>IF(Local!F309="Available",Local!C309,"")</f>
        <v/>
      </c>
    </row>
    <row r="310" hidden="1" ht="72" customHeight="1">
      <c r="A310" s="42">
        <f>IF(Local!F310="Available",Local!A310,"")</f>
        <v/>
      </c>
      <c r="B310" s="42">
        <f>IF(Local!G310="Available",Local!B310,"")</f>
        <v/>
      </c>
      <c r="C310" s="42">
        <f>IF(Local!F310="Available",Local!C310,"")</f>
        <v/>
      </c>
    </row>
    <row r="311" hidden="1" ht="72" customHeight="1">
      <c r="A311" s="42">
        <f>IF(Local!F311="Available",Local!A311,"")</f>
        <v/>
      </c>
      <c r="B311" s="42">
        <f>IF(Local!G311="Available",Local!B311,"")</f>
        <v/>
      </c>
      <c r="C311" s="42">
        <f>IF(Local!F311="Available",Local!C311,"")</f>
        <v/>
      </c>
    </row>
    <row r="312" hidden="1" ht="72" customHeight="1">
      <c r="A312" s="42">
        <f>IF(Local!F312="Available",Local!A312,"")</f>
        <v/>
      </c>
      <c r="B312" s="42">
        <f>IF(Local!G312="Available",Local!B312,"")</f>
        <v/>
      </c>
      <c r="C312" s="42">
        <f>IF(Local!F312="Available",Local!C312,"")</f>
        <v/>
      </c>
    </row>
    <row r="313" hidden="1" ht="72" customHeight="1">
      <c r="A313" s="42">
        <f>IF(Local!F313="Available",Local!A313,"")</f>
        <v/>
      </c>
      <c r="B313" s="42">
        <f>IF(Local!G313="Available",Local!B313,"")</f>
        <v/>
      </c>
      <c r="C313" s="42">
        <f>IF(Local!F313="Available",Local!C313,"")</f>
        <v/>
      </c>
    </row>
    <row r="314" hidden="1" ht="72" customHeight="1">
      <c r="A314" s="42">
        <f>IF(Local!F314="Available",Local!A314,"")</f>
        <v/>
      </c>
      <c r="B314" s="42">
        <f>IF(Local!G314="Available",Local!B314,"")</f>
        <v/>
      </c>
      <c r="C314" s="42">
        <f>IF(Local!F314="Available",Local!C314,"")</f>
        <v/>
      </c>
    </row>
    <row r="315" hidden="1" ht="72" customHeight="1">
      <c r="A315" s="42">
        <f>IF(Local!F315="Available",Local!A315,"")</f>
        <v/>
      </c>
      <c r="B315" s="42">
        <f>IF(Local!G315="Available",Local!B315,"")</f>
        <v/>
      </c>
      <c r="C315" s="42">
        <f>IF(Local!F315="Available",Local!C315,"")</f>
        <v/>
      </c>
    </row>
    <row r="316" hidden="1" ht="72" customHeight="1">
      <c r="A316" s="42">
        <f>IF(Local!F316="Available",Local!A316,"")</f>
        <v/>
      </c>
      <c r="B316" s="42">
        <f>IF(Local!G316="Available",Local!B316,"")</f>
        <v/>
      </c>
      <c r="C316" s="42">
        <f>IF(Local!F316="Available",Local!C316,"")</f>
        <v/>
      </c>
    </row>
    <row r="317" hidden="1" ht="72" customHeight="1">
      <c r="A317" s="42">
        <f>IF(Local!F317="Available",Local!A317,"")</f>
        <v/>
      </c>
      <c r="B317" s="42">
        <f>IF(Local!G317="Available",Local!B317,"")</f>
        <v/>
      </c>
      <c r="C317" s="42">
        <f>IF(Local!F317="Available",Local!C317,"")</f>
        <v/>
      </c>
    </row>
    <row r="318" hidden="1" ht="72" customHeight="1">
      <c r="A318" s="42">
        <f>IF(Local!F318="Available",Local!A318,"")</f>
        <v/>
      </c>
      <c r="B318" s="42">
        <f>IF(Local!G318="Available",Local!B318,"")</f>
        <v/>
      </c>
      <c r="C318" s="42">
        <f>IF(Local!F318="Available",Local!C318,"")</f>
        <v/>
      </c>
    </row>
    <row r="319" hidden="1" ht="72" customHeight="1">
      <c r="A319" s="42">
        <f>IF(Local!F319="Available",Local!A319,"")</f>
        <v/>
      </c>
      <c r="B319" s="42">
        <f>IF(Local!G319="Available",Local!B319,"")</f>
        <v/>
      </c>
      <c r="C319" s="42">
        <f>IF(Local!F319="Available",Local!C319,"")</f>
        <v/>
      </c>
    </row>
    <row r="320" hidden="1" ht="72" customHeight="1">
      <c r="A320" s="42">
        <f>IF(Local!F320="Available",Local!A320,"")</f>
        <v/>
      </c>
      <c r="B320" s="42">
        <f>IF(Local!G320="Available",Local!B320,"")</f>
        <v/>
      </c>
      <c r="C320" s="42">
        <f>IF(Local!F320="Available",Local!C320,"")</f>
        <v/>
      </c>
    </row>
    <row r="321" hidden="1" ht="72" customHeight="1">
      <c r="A321" s="42">
        <f>IF(Local!F321="Available",Local!A321,"")</f>
        <v/>
      </c>
      <c r="B321" s="42">
        <f>IF(Local!G321="Available",Local!B321,"")</f>
        <v/>
      </c>
    </row>
    <row r="322" hidden="1" ht="72" customHeight="1">
      <c r="A322" s="42">
        <f>IF(Local!F322="Available",Local!A322,"")</f>
        <v/>
      </c>
      <c r="B322" s="42">
        <f>IF(Local!G322="Available",Local!B322,"")</f>
        <v/>
      </c>
    </row>
    <row r="323" hidden="1" ht="72" customHeight="1">
      <c r="A323" s="42">
        <f>IF(Local!F323="Available",Local!A323,"")</f>
        <v/>
      </c>
      <c r="B323" s="42">
        <f>IF(Local!G323="Available",Local!B323,"")</f>
        <v/>
      </c>
    </row>
    <row r="324" hidden="1" ht="72" customHeight="1">
      <c r="A324" s="42">
        <f>IF(Local!F324="Available",Local!A324,"")</f>
        <v/>
      </c>
      <c r="B324" s="42">
        <f>IF(Local!G324="Available",Local!B324,"")</f>
        <v/>
      </c>
    </row>
    <row r="325" hidden="1" ht="72" customHeight="1">
      <c r="A325" s="42">
        <f>IF(Local!F325="Available",Local!A325,"")</f>
        <v/>
      </c>
      <c r="B325" s="42">
        <f>IF(Local!G325="Available",Local!B325,"")</f>
        <v/>
      </c>
    </row>
    <row r="326" hidden="1" ht="72" customHeight="1">
      <c r="A326" s="42">
        <f>IF(Local!F326="Available",Local!A326,"")</f>
        <v/>
      </c>
      <c r="B326" s="42">
        <f>IF(Local!G326="Available",Local!B326,"")</f>
        <v/>
      </c>
    </row>
    <row r="327" hidden="1" ht="72" customHeight="1">
      <c r="A327" s="42">
        <f>IF(Local!F327="Available",Local!A327,"")</f>
        <v/>
      </c>
      <c r="B327" s="42">
        <f>IF(Local!G327="Available",Local!B327,"")</f>
        <v/>
      </c>
    </row>
    <row r="328" hidden="1" ht="72" customHeight="1">
      <c r="A328" s="42">
        <f>IF(Local!F328="Available",Local!A328,"")</f>
        <v/>
      </c>
      <c r="B328" s="42">
        <f>IF(Local!G328="Available",Local!B328,"")</f>
        <v/>
      </c>
    </row>
    <row r="329" hidden="1" ht="72" customHeight="1">
      <c r="A329" s="42">
        <f>IF(Local!F329="Available",Local!A329,"")</f>
        <v/>
      </c>
      <c r="B329" s="42">
        <f>IF(Local!G329="Available",Local!B329,"")</f>
        <v/>
      </c>
    </row>
    <row r="330" hidden="1" ht="72" customHeight="1">
      <c r="A330" s="42">
        <f>IF(Local!F330="Available",Local!A330,"")</f>
        <v/>
      </c>
      <c r="B330" s="42">
        <f>IF(Local!G330="Available",Local!B330,"")</f>
        <v/>
      </c>
    </row>
    <row r="331" hidden="1" ht="72" customHeight="1">
      <c r="A331" s="42">
        <f>IF(Local!F331="Available",Local!A331,"")</f>
        <v/>
      </c>
      <c r="B331" s="42">
        <f>IF(Local!G331="Available",Local!B331,"")</f>
        <v/>
      </c>
    </row>
    <row r="332" hidden="1" ht="72" customHeight="1">
      <c r="A332" s="42">
        <f>IF(Local!F332="Available",Local!A332,"")</f>
        <v/>
      </c>
      <c r="B332" s="42">
        <f>IF(Local!G332="Available",Local!B332,"")</f>
        <v/>
      </c>
    </row>
    <row r="333" hidden="1" ht="72" customHeight="1"/>
    <row r="334" hidden="1" ht="72" customHeight="1"/>
    <row r="335" hidden="1" ht="72" customHeight="1"/>
    <row r="336" hidden="1" ht="72" customHeight="1"/>
    <row r="337" hidden="1" ht="72" customHeight="1"/>
    <row r="338" hidden="1" ht="72" customHeight="1"/>
    <row r="339" hidden="1" ht="72" customHeight="1"/>
    <row r="340" hidden="1" ht="72" customHeight="1"/>
    <row r="341" hidden="1" ht="72" customHeight="1"/>
    <row r="342" hidden="1" ht="72" customHeight="1"/>
    <row r="343" hidden="1" ht="72" customHeight="1"/>
    <row r="344" hidden="1" ht="72" customHeight="1"/>
    <row r="345" hidden="1" ht="72" customHeight="1"/>
    <row r="346" hidden="1" ht="72" customHeight="1"/>
    <row r="347" hidden="1" ht="72" customHeight="1"/>
    <row r="348" hidden="1" ht="72" customHeight="1"/>
    <row r="349" hidden="1" ht="72" customHeight="1"/>
    <row r="350" hidden="1" ht="72" customHeight="1"/>
    <row r="351" hidden="1" ht="72" customHeight="1"/>
    <row r="352" hidden="1" ht="72" customHeight="1"/>
    <row r="353" hidden="1" ht="72" customHeight="1"/>
    <row r="354" hidden="1" ht="72" customHeight="1"/>
    <row r="355" hidden="1" ht="72" customHeight="1"/>
    <row r="356" hidden="1" ht="72" customHeight="1"/>
    <row r="357" hidden="1" ht="72" customHeight="1"/>
    <row r="358" hidden="1" ht="72" customHeight="1"/>
    <row r="359" hidden="1" ht="72" customHeight="1"/>
    <row r="360" hidden="1" ht="72" customHeight="1"/>
    <row r="361" hidden="1" ht="72" customHeight="1"/>
    <row r="362" hidden="1" ht="72" customHeight="1"/>
    <row r="363" hidden="1" ht="72" customHeight="1"/>
    <row r="364" hidden="1" ht="72" customHeight="1"/>
    <row r="365" hidden="1" ht="72" customHeight="1"/>
    <row r="366" hidden="1" ht="72" customHeight="1"/>
    <row r="367" hidden="1" ht="72" customHeight="1"/>
    <row r="368" hidden="1" ht="72" customHeight="1"/>
    <row r="369" hidden="1" ht="72" customHeight="1"/>
    <row r="370" hidden="1" ht="72" customHeight="1"/>
    <row r="371" hidden="1" ht="72" customHeight="1"/>
    <row r="372" hidden="1" ht="72" customHeight="1"/>
    <row r="373" hidden="1" ht="72" customHeight="1"/>
    <row r="374" hidden="1" ht="72" customHeight="1"/>
    <row r="375" hidden="1" ht="72" customHeight="1"/>
    <row r="376" hidden="1" ht="72" customHeight="1"/>
    <row r="377" hidden="1" ht="72" customHeight="1"/>
    <row r="378" hidden="1" ht="72" customHeight="1"/>
    <row r="379" hidden="1" ht="72" customHeight="1"/>
    <row r="380" hidden="1" ht="72" customHeight="1"/>
    <row r="381" hidden="1" ht="72" customHeight="1"/>
    <row r="382" hidden="1" ht="72" customHeight="1"/>
    <row r="383" hidden="1" ht="72" customHeight="1"/>
    <row r="384" hidden="1" ht="72" customHeight="1"/>
    <row r="385" hidden="1" ht="72" customHeight="1"/>
    <row r="386" hidden="1" ht="72" customHeight="1"/>
    <row r="387" hidden="1" ht="72" customHeight="1"/>
    <row r="388" hidden="1" ht="72" customHeight="1"/>
    <row r="389" hidden="1" ht="72" customHeight="1"/>
    <row r="390" hidden="1" ht="72" customHeight="1"/>
    <row r="391" hidden="1" ht="72" customHeight="1"/>
    <row r="392" hidden="1" ht="72" customHeight="1"/>
    <row r="393" hidden="1" ht="72" customHeight="1"/>
    <row r="394" hidden="1" ht="72" customHeight="1"/>
    <row r="395" hidden="1" ht="72" customHeight="1"/>
    <row r="396" hidden="1" ht="72" customHeight="1"/>
    <row r="397" hidden="1" ht="72" customHeight="1"/>
    <row r="398" hidden="1" ht="72" customHeight="1"/>
    <row r="399" hidden="1" ht="72" customHeight="1"/>
    <row r="400" hidden="1" ht="72" customHeight="1"/>
    <row r="401" hidden="1" ht="72" customHeight="1"/>
    <row r="402" hidden="1" ht="72" customHeight="1"/>
    <row r="403" hidden="1" ht="72" customHeight="1"/>
    <row r="404" hidden="1" ht="72" customHeight="1"/>
    <row r="405" hidden="1" ht="72" customHeight="1"/>
    <row r="406" hidden="1" ht="72" customHeight="1"/>
    <row r="407" hidden="1" ht="72" customHeight="1"/>
    <row r="408" hidden="1" ht="72" customHeight="1"/>
    <row r="409" hidden="1" ht="72" customHeight="1"/>
    <row r="410" hidden="1" ht="72" customHeight="1"/>
    <row r="411" hidden="1" ht="72" customHeight="1"/>
    <row r="412" hidden="1" ht="72" customHeight="1"/>
    <row r="413" hidden="1" ht="72" customHeight="1"/>
    <row r="414" hidden="1" ht="72" customHeight="1"/>
    <row r="415" hidden="1" ht="72" customHeight="1"/>
    <row r="416" hidden="1" ht="72" customHeight="1"/>
    <row r="417" hidden="1" ht="72" customHeight="1"/>
    <row r="418" hidden="1" ht="72" customHeight="1"/>
    <row r="419" hidden="1" ht="72" customHeight="1"/>
    <row r="420" hidden="1" ht="72" customHeight="1"/>
    <row r="421" hidden="1" ht="72" customHeight="1"/>
    <row r="422" hidden="1" ht="72" customHeight="1"/>
    <row r="423" hidden="1" ht="72" customHeight="1"/>
    <row r="424" hidden="1" ht="72" customHeight="1"/>
    <row r="425" hidden="1" ht="72" customHeight="1"/>
    <row r="426" hidden="1" ht="72" customHeight="1"/>
    <row r="427" hidden="1" ht="72" customHeight="1"/>
    <row r="428" hidden="1" ht="72" customHeight="1"/>
    <row r="429" hidden="1" ht="72" customHeight="1"/>
    <row r="430" hidden="1" ht="72" customHeight="1"/>
    <row r="431" hidden="1" ht="72" customHeight="1"/>
    <row r="432" hidden="1" ht="72" customHeight="1"/>
    <row r="433" hidden="1" ht="72" customHeight="1"/>
    <row r="434" hidden="1" ht="72" customHeight="1"/>
    <row r="435" hidden="1" ht="72" customHeight="1"/>
    <row r="436" hidden="1" ht="72" customHeight="1"/>
    <row r="437" hidden="1" ht="72" customHeight="1"/>
    <row r="438" hidden="1" ht="72" customHeight="1"/>
    <row r="439" hidden="1" ht="72" customHeight="1"/>
    <row r="440" hidden="1" ht="72" customHeight="1"/>
    <row r="441" hidden="1" ht="72" customHeight="1"/>
    <row r="442" hidden="1" ht="72" customHeight="1"/>
    <row r="443" hidden="1" ht="72" customHeight="1"/>
    <row r="444" hidden="1" ht="72" customHeight="1"/>
    <row r="445" hidden="1" ht="72" customHeight="1"/>
    <row r="446" hidden="1" ht="72" customHeight="1"/>
    <row r="447" hidden="1" ht="72" customHeight="1"/>
    <row r="448" hidden="1" ht="72" customHeight="1"/>
    <row r="449" hidden="1" ht="72" customHeight="1"/>
    <row r="450" hidden="1" ht="72" customHeight="1"/>
    <row r="451" hidden="1" ht="72" customHeight="1"/>
    <row r="452" hidden="1" ht="72" customHeight="1"/>
    <row r="453" hidden="1" ht="72" customHeight="1"/>
    <row r="454" hidden="1" ht="72" customHeight="1"/>
    <row r="455" hidden="1" ht="72" customHeight="1"/>
    <row r="456" hidden="1" ht="72" customHeight="1"/>
    <row r="457" hidden="1" ht="72" customHeight="1"/>
    <row r="458" hidden="1" ht="72" customHeight="1"/>
    <row r="459" hidden="1" ht="72" customHeight="1"/>
    <row r="460" hidden="1" ht="72" customHeight="1"/>
    <row r="461" hidden="1" ht="72" customHeight="1"/>
    <row r="462" hidden="1" ht="72" customHeight="1"/>
    <row r="463" hidden="1" ht="72" customHeight="1"/>
    <row r="464" hidden="1" ht="72" customHeight="1"/>
    <row r="465" hidden="1" ht="72" customHeight="1"/>
    <row r="466" hidden="1" ht="72" customHeight="1"/>
    <row r="467" hidden="1" ht="72" customHeight="1"/>
    <row r="468" hidden="1" ht="72" customHeight="1"/>
    <row r="469" hidden="1" ht="72" customHeight="1"/>
    <row r="470" hidden="1" ht="72" customHeight="1"/>
    <row r="471" hidden="1" ht="72" customHeight="1"/>
    <row r="472" hidden="1" ht="72" customHeight="1"/>
    <row r="473" hidden="1" ht="72" customHeight="1"/>
    <row r="474" hidden="1" ht="72" customHeight="1"/>
    <row r="475" hidden="1" ht="72" customHeight="1"/>
    <row r="476" hidden="1" ht="72" customHeight="1"/>
    <row r="477" hidden="1" ht="72" customHeight="1"/>
    <row r="478" hidden="1" ht="72" customHeight="1"/>
    <row r="479" hidden="1" ht="72" customHeight="1"/>
    <row r="480" hidden="1" ht="72" customHeight="1"/>
    <row r="481" hidden="1" ht="72" customHeight="1"/>
    <row r="482" hidden="1" ht="72" customHeight="1"/>
    <row r="483" hidden="1" ht="72" customHeight="1"/>
    <row r="484" hidden="1" ht="72" customHeight="1"/>
    <row r="485" hidden="1" ht="72" customHeight="1"/>
    <row r="486" hidden="1" ht="72" customHeight="1"/>
    <row r="487" hidden="1" ht="72" customHeight="1"/>
    <row r="488" hidden="1" ht="72" customHeight="1"/>
    <row r="489" hidden="1" ht="72" customHeight="1"/>
    <row r="490" hidden="1" ht="72" customHeight="1"/>
    <row r="491" hidden="1" ht="72" customHeight="1"/>
    <row r="492" hidden="1" ht="72" customHeight="1"/>
    <row r="493" hidden="1" ht="72" customHeight="1"/>
    <row r="494" hidden="1" ht="72" customHeight="1"/>
    <row r="495" hidden="1" ht="72" customHeight="1"/>
    <row r="496" hidden="1" ht="72" customHeight="1"/>
    <row r="497" hidden="1" ht="72" customHeight="1"/>
    <row r="498" hidden="1" ht="72" customHeight="1"/>
    <row r="499" hidden="1" ht="72" customHeight="1"/>
    <row r="500" hidden="1" ht="72" customHeight="1"/>
    <row r="501" hidden="1" ht="72" customHeight="1"/>
    <row r="502" hidden="1" ht="72" customHeight="1"/>
    <row r="503" hidden="1" ht="72" customHeight="1"/>
    <row r="504" hidden="1" ht="72" customHeight="1"/>
    <row r="505" hidden="1" ht="72" customHeight="1"/>
    <row r="506" hidden="1" ht="72" customHeight="1"/>
    <row r="507" hidden="1" ht="72" customHeight="1"/>
    <row r="508" hidden="1" ht="72" customHeight="1"/>
    <row r="509" hidden="1" ht="72" customHeight="1"/>
    <row r="510" hidden="1" ht="72" customHeight="1"/>
    <row r="511" hidden="1" ht="72" customHeight="1"/>
    <row r="512" hidden="1" ht="72" customHeight="1"/>
    <row r="513" hidden="1" ht="72" customHeight="1"/>
    <row r="514" hidden="1" ht="72" customHeight="1"/>
    <row r="515" hidden="1" ht="72" customHeight="1"/>
    <row r="516" hidden="1" ht="72" customHeight="1"/>
    <row r="517" hidden="1" ht="72" customHeight="1"/>
    <row r="518" hidden="1" ht="72" customHeight="1"/>
    <row r="519" hidden="1" ht="72" customHeight="1"/>
    <row r="520" hidden="1" ht="72" customHeight="1"/>
    <row r="521" hidden="1" ht="72" customHeight="1"/>
    <row r="522" hidden="1" ht="72" customHeight="1"/>
    <row r="523" hidden="1" ht="72" customHeight="1"/>
    <row r="524" hidden="1" ht="72" customHeight="1"/>
    <row r="525" hidden="1" ht="72" customHeight="1"/>
    <row r="526" hidden="1" ht="72" customHeight="1"/>
    <row r="527" hidden="1" ht="72" customHeight="1"/>
    <row r="528" hidden="1" ht="72" customHeight="1"/>
    <row r="529" hidden="1" ht="72" customHeight="1"/>
    <row r="530" hidden="1" ht="72" customHeight="1"/>
    <row r="531" hidden="1" ht="72" customHeight="1"/>
    <row r="532" hidden="1" ht="72" customHeight="1"/>
    <row r="533" hidden="1" ht="72" customHeight="1"/>
    <row r="534" hidden="1" ht="72" customHeight="1"/>
    <row r="535" hidden="1" ht="72" customHeight="1"/>
    <row r="536" hidden="1" ht="72" customHeight="1"/>
    <row r="537" hidden="1" ht="72" customHeight="1"/>
    <row r="538" hidden="1" ht="72" customHeight="1"/>
    <row r="539" hidden="1" ht="72" customHeight="1"/>
    <row r="540" hidden="1" ht="72" customHeight="1"/>
    <row r="541" hidden="1" ht="72" customHeight="1"/>
    <row r="542" hidden="1" ht="72" customHeight="1"/>
    <row r="543" hidden="1" ht="72" customHeight="1"/>
    <row r="544" hidden="1" ht="72" customHeight="1"/>
    <row r="545" hidden="1" ht="72" customHeight="1"/>
    <row r="546" hidden="1" ht="72" customHeight="1"/>
    <row r="547" hidden="1" ht="72" customHeight="1"/>
    <row r="548" hidden="1" ht="72" customHeight="1"/>
    <row r="549" hidden="1" ht="72" customHeight="1"/>
    <row r="550" hidden="1" ht="72" customHeight="1"/>
    <row r="551" hidden="1" ht="72" customHeight="1"/>
    <row r="552" hidden="1" ht="72" customHeight="1"/>
    <row r="553" hidden="1" ht="72" customHeight="1"/>
    <row r="554" hidden="1" ht="72" customHeight="1"/>
    <row r="555" hidden="1" ht="72" customHeight="1"/>
    <row r="556" hidden="1" ht="72" customHeight="1"/>
    <row r="557" hidden="1" ht="72" customHeight="1"/>
    <row r="558" hidden="1" ht="72" customHeight="1"/>
    <row r="559" hidden="1" ht="72" customHeight="1"/>
    <row r="560" hidden="1" ht="72" customHeight="1"/>
    <row r="561" hidden="1" ht="72" customHeight="1"/>
    <row r="562" hidden="1" ht="72" customHeight="1"/>
    <row r="563" hidden="1" ht="72" customHeight="1"/>
    <row r="564" hidden="1" ht="72" customHeight="1"/>
    <row r="565" hidden="1" ht="72" customHeight="1"/>
    <row r="566" hidden="1" ht="72" customHeight="1"/>
    <row r="567" hidden="1" ht="72" customHeight="1"/>
    <row r="568" hidden="1" ht="72" customHeight="1"/>
    <row r="569" hidden="1" ht="72" customHeight="1"/>
    <row r="570" hidden="1" ht="72" customHeight="1"/>
    <row r="571" hidden="1" ht="72" customHeight="1"/>
    <row r="572" hidden="1" ht="72" customHeight="1"/>
    <row r="573" hidden="1" ht="72" customHeight="1"/>
    <row r="574" hidden="1" ht="72" customHeight="1"/>
    <row r="575" hidden="1" ht="72" customHeight="1"/>
    <row r="576" hidden="1" ht="72" customHeight="1"/>
    <row r="577" hidden="1" ht="72" customHeight="1"/>
    <row r="578" hidden="1" ht="72" customHeight="1"/>
    <row r="579" hidden="1" ht="72" customHeight="1"/>
    <row r="580" hidden="1" ht="72" customHeight="1"/>
    <row r="581" hidden="1" ht="72" customHeight="1"/>
    <row r="582" hidden="1" ht="72" customHeight="1"/>
    <row r="583" hidden="1" ht="72" customHeight="1"/>
    <row r="584" hidden="1" ht="72" customHeight="1"/>
    <row r="585" hidden="1" ht="72" customHeight="1"/>
    <row r="586" hidden="1" ht="72" customHeight="1"/>
    <row r="587" hidden="1" ht="72" customHeight="1"/>
    <row r="588" hidden="1" ht="72" customHeight="1"/>
    <row r="589" hidden="1" ht="72" customHeight="1"/>
    <row r="590" hidden="1" ht="72" customHeight="1"/>
    <row r="591" hidden="1" ht="72" customHeight="1"/>
    <row r="592" hidden="1" ht="72" customHeight="1"/>
    <row r="593" hidden="1" ht="72" customHeight="1"/>
    <row r="594" hidden="1" ht="72" customHeight="1"/>
    <row r="595" hidden="1" ht="72" customHeight="1"/>
    <row r="596" hidden="1" ht="72" customHeight="1"/>
    <row r="597" hidden="1" ht="72" customHeight="1"/>
    <row r="598" hidden="1" ht="72" customHeight="1"/>
    <row r="599" hidden="1" ht="72" customHeight="1"/>
    <row r="600" hidden="1" ht="72" customHeight="1"/>
    <row r="601" hidden="1" ht="72" customHeight="1"/>
    <row r="602" hidden="1" ht="72" customHeight="1"/>
    <row r="603" hidden="1" ht="72" customHeight="1"/>
    <row r="604" hidden="1" ht="72" customHeight="1"/>
    <row r="605" hidden="1" ht="72" customHeight="1"/>
    <row r="606" hidden="1" ht="72" customHeight="1"/>
    <row r="607" hidden="1" ht="72" customHeight="1"/>
    <row r="608" hidden="1" ht="72" customHeight="1"/>
    <row r="609" hidden="1" ht="72" customHeight="1"/>
    <row r="610" hidden="1" ht="72" customHeight="1"/>
    <row r="611" hidden="1" ht="72" customHeight="1"/>
    <row r="612" hidden="1" ht="72" customHeight="1"/>
    <row r="613" hidden="1" ht="72" customHeight="1"/>
    <row r="614" hidden="1" ht="72" customHeight="1"/>
    <row r="615" hidden="1" ht="72" customHeight="1"/>
    <row r="616" hidden="1" ht="72" customHeight="1"/>
    <row r="617" hidden="1" ht="72" customHeight="1"/>
    <row r="618" hidden="1" ht="72" customHeight="1"/>
    <row r="619" hidden="1" ht="72" customHeight="1"/>
    <row r="620" hidden="1" ht="72" customHeight="1"/>
    <row r="621" hidden="1" ht="72" customHeight="1"/>
    <row r="622" hidden="1" ht="72" customHeight="1"/>
    <row r="623" hidden="1" ht="72" customHeight="1"/>
    <row r="624" hidden="1" ht="72" customHeight="1"/>
    <row r="625" hidden="1" ht="72" customHeight="1"/>
    <row r="626" hidden="1" ht="72" customHeight="1"/>
    <row r="627" hidden="1" ht="72" customHeight="1"/>
    <row r="628" hidden="1" ht="72" customHeight="1"/>
    <row r="629" hidden="1" ht="72" customHeight="1"/>
    <row r="630" hidden="1" ht="72" customHeight="1"/>
    <row r="631" hidden="1" ht="72" customHeight="1"/>
    <row r="632" hidden="1" ht="72" customHeight="1"/>
    <row r="633" hidden="1" ht="72" customHeight="1"/>
    <row r="634" hidden="1" ht="72" customHeight="1"/>
    <row r="635" hidden="1" ht="72" customHeight="1"/>
    <row r="636" hidden="1" ht="72" customHeight="1"/>
    <row r="637" hidden="1" ht="72" customHeight="1"/>
    <row r="638" hidden="1" ht="72" customHeight="1"/>
    <row r="639" hidden="1" ht="72" customHeight="1"/>
    <row r="640" hidden="1" ht="72" customHeight="1"/>
    <row r="641" hidden="1" ht="72" customHeight="1"/>
    <row r="642" hidden="1" ht="72" customHeight="1"/>
    <row r="643" hidden="1" ht="72" customHeight="1"/>
    <row r="644" hidden="1" ht="72" customHeight="1"/>
    <row r="645" hidden="1" ht="72" customHeight="1"/>
    <row r="646" hidden="1" ht="72" customHeight="1"/>
    <row r="647" hidden="1" ht="72" customHeight="1"/>
    <row r="648" hidden="1" ht="72" customHeight="1"/>
    <row r="649" hidden="1" ht="72" customHeight="1"/>
    <row r="650" hidden="1" ht="72" customHeight="1"/>
    <row r="651" hidden="1" ht="72" customHeight="1"/>
    <row r="652" hidden="1" ht="72" customHeight="1"/>
    <row r="653" hidden="1" ht="72" customHeight="1"/>
    <row r="654" hidden="1" ht="72" customHeight="1"/>
    <row r="655" hidden="1" ht="72" customHeight="1"/>
    <row r="656" hidden="1" ht="72" customHeight="1"/>
    <row r="657" hidden="1" ht="72" customHeight="1"/>
    <row r="658" hidden="1" ht="72" customHeight="1"/>
    <row r="659" hidden="1" ht="72" customHeight="1"/>
    <row r="660" hidden="1" ht="72" customHeight="1"/>
    <row r="661" hidden="1" ht="72" customHeight="1"/>
    <row r="662" hidden="1" ht="72" customHeight="1"/>
    <row r="663" hidden="1" ht="72" customHeight="1"/>
    <row r="664" hidden="1" ht="72" customHeight="1"/>
    <row r="665" hidden="1" ht="72" customHeight="1"/>
    <row r="666" hidden="1" ht="72" customHeight="1"/>
    <row r="667" hidden="1" ht="72" customHeight="1"/>
    <row r="668" hidden="1" ht="72" customHeight="1"/>
    <row r="669" hidden="1" ht="72" customHeight="1"/>
    <row r="670" hidden="1" ht="72" customHeight="1"/>
    <row r="671" hidden="1" ht="72" customHeight="1"/>
    <row r="672" hidden="1" ht="72" customHeight="1"/>
    <row r="673" hidden="1" ht="72" customHeight="1"/>
    <row r="674" hidden="1" ht="72" customHeight="1"/>
    <row r="675" hidden="1" ht="72" customHeight="1"/>
    <row r="676" hidden="1" ht="72" customHeight="1"/>
    <row r="677" hidden="1" ht="72" customHeight="1"/>
    <row r="678" hidden="1" ht="72" customHeight="1"/>
    <row r="679" hidden="1" ht="72" customHeight="1"/>
    <row r="680" hidden="1" ht="72" customHeight="1"/>
    <row r="681" hidden="1" ht="72" customHeight="1"/>
    <row r="682" hidden="1" ht="72" customHeight="1"/>
    <row r="683" hidden="1" ht="72" customHeight="1"/>
    <row r="684" hidden="1" ht="72" customHeight="1"/>
    <row r="685" hidden="1" ht="72" customHeight="1"/>
    <row r="686" hidden="1" ht="72" customHeight="1"/>
    <row r="687" hidden="1" ht="72" customHeight="1"/>
    <row r="688" hidden="1" ht="72" customHeight="1"/>
    <row r="689" hidden="1" ht="72" customHeight="1"/>
    <row r="690" hidden="1" ht="72" customHeight="1"/>
    <row r="691" hidden="1" ht="72" customHeight="1"/>
    <row r="692" hidden="1" ht="72" customHeight="1"/>
    <row r="693" hidden="1" ht="72" customHeight="1"/>
    <row r="694" hidden="1" ht="72" customHeight="1"/>
    <row r="695" hidden="1" ht="72" customHeight="1"/>
    <row r="696" hidden="1" ht="72" customHeight="1"/>
    <row r="697" hidden="1" ht="72" customHeight="1"/>
    <row r="698" hidden="1" ht="72" customHeight="1"/>
    <row r="699" hidden="1" ht="72" customHeight="1"/>
    <row r="700" hidden="1" ht="72" customHeight="1"/>
    <row r="701" hidden="1" ht="72" customHeight="1"/>
    <row r="702" hidden="1" ht="72" customHeight="1"/>
    <row r="703" hidden="1" ht="72" customHeight="1"/>
    <row r="704" hidden="1" ht="72" customHeight="1"/>
    <row r="705" hidden="1" ht="72" customHeight="1"/>
    <row r="706" hidden="1" ht="72" customHeight="1"/>
    <row r="707" hidden="1" ht="72" customHeight="1"/>
    <row r="708" hidden="1" ht="72" customHeight="1"/>
    <row r="709" hidden="1" ht="72" customHeight="1"/>
    <row r="710" hidden="1" ht="72" customHeight="1"/>
    <row r="711" hidden="1" ht="72" customHeight="1"/>
    <row r="712" hidden="1" ht="72" customHeight="1"/>
    <row r="713" hidden="1" ht="72" customHeight="1"/>
    <row r="714" hidden="1" ht="72" customHeight="1"/>
    <row r="715" hidden="1" ht="72" customHeight="1"/>
    <row r="716" hidden="1" ht="72" customHeight="1"/>
    <row r="717" hidden="1" ht="72" customHeight="1"/>
    <row r="718" hidden="1" ht="72" customHeight="1"/>
    <row r="719" hidden="1" ht="72" customHeight="1"/>
    <row r="720" hidden="1" ht="72" customHeight="1"/>
    <row r="721" hidden="1" ht="72" customHeight="1"/>
    <row r="722" hidden="1" ht="72" customHeight="1"/>
    <row r="723" hidden="1" ht="72" customHeight="1"/>
    <row r="724" hidden="1" ht="72" customHeight="1"/>
    <row r="725" hidden="1" ht="72" customHeight="1"/>
    <row r="726" hidden="1" ht="72" customHeight="1"/>
    <row r="727" hidden="1" ht="72" customHeight="1"/>
    <row r="728" hidden="1" ht="72" customHeight="1"/>
    <row r="729" hidden="1" ht="72" customHeight="1"/>
    <row r="730" hidden="1" ht="72" customHeight="1"/>
    <row r="731" hidden="1" ht="72" customHeight="1"/>
    <row r="732" hidden="1" ht="72" customHeight="1"/>
    <row r="733" hidden="1" ht="72" customHeight="1"/>
    <row r="734" hidden="1" ht="72" customHeight="1"/>
    <row r="735" hidden="1" ht="72" customHeight="1"/>
    <row r="736" hidden="1" ht="72" customHeight="1"/>
    <row r="737" hidden="1" ht="72" customHeight="1"/>
    <row r="738" hidden="1" ht="72" customHeight="1"/>
    <row r="739" hidden="1" ht="72" customHeight="1"/>
    <row r="740" hidden="1" ht="72" customHeight="1"/>
    <row r="741" hidden="1" ht="72" customHeight="1"/>
    <row r="742" hidden="1" ht="72" customHeight="1"/>
    <row r="743" hidden="1" ht="72" customHeight="1"/>
    <row r="744" hidden="1" ht="72" customHeight="1"/>
    <row r="745" hidden="1" ht="72" customHeight="1"/>
    <row r="746" hidden="1" ht="72" customHeight="1"/>
    <row r="747" hidden="1" ht="72" customHeight="1"/>
    <row r="748" hidden="1" ht="72" customHeight="1"/>
    <row r="749" hidden="1" ht="72" customHeight="1"/>
    <row r="750" hidden="1" ht="72" customHeight="1"/>
    <row r="751" hidden="1" ht="72" customHeight="1"/>
    <row r="752" hidden="1" ht="72" customHeight="1"/>
    <row r="753" hidden="1" ht="72" customHeight="1"/>
    <row r="754" hidden="1" ht="72" customHeight="1"/>
    <row r="755" hidden="1" ht="72" customHeight="1"/>
    <row r="756" hidden="1" ht="72" customHeight="1"/>
    <row r="757" hidden="1" ht="72" customHeight="1"/>
    <row r="758" hidden="1" ht="72" customHeight="1"/>
    <row r="759" hidden="1" ht="72" customHeight="1"/>
    <row r="760" hidden="1" ht="72" customHeight="1"/>
    <row r="761" hidden="1" ht="72" customHeight="1"/>
    <row r="762" hidden="1" ht="72" customHeight="1"/>
    <row r="763" hidden="1" ht="72" customHeight="1"/>
    <row r="764" hidden="1" ht="72" customHeight="1"/>
    <row r="765" hidden="1" ht="72" customHeight="1"/>
    <row r="766" hidden="1" ht="72" customHeight="1"/>
    <row r="767" hidden="1" ht="72" customHeight="1"/>
    <row r="768" hidden="1" ht="72" customHeight="1"/>
    <row r="769" hidden="1" ht="72" customHeight="1"/>
    <row r="770" hidden="1" ht="72" customHeight="1"/>
    <row r="771" hidden="1" ht="72" customHeight="1"/>
    <row r="772" hidden="1" ht="72" customHeight="1"/>
    <row r="773" hidden="1" ht="72" customHeight="1"/>
    <row r="774" hidden="1" ht="72" customHeight="1"/>
    <row r="775" hidden="1" ht="72" customHeight="1"/>
    <row r="776" hidden="1" ht="72" customHeight="1"/>
    <row r="777" hidden="1" ht="72" customHeight="1"/>
    <row r="778" hidden="1" ht="72" customHeight="1"/>
    <row r="779" hidden="1" ht="72" customHeight="1"/>
    <row r="780" hidden="1" ht="72" customHeight="1"/>
    <row r="781" hidden="1" ht="72" customHeight="1"/>
    <row r="782" hidden="1" ht="72" customHeight="1"/>
    <row r="783" hidden="1" ht="72" customHeight="1"/>
    <row r="784" hidden="1" ht="72" customHeight="1"/>
    <row r="785" hidden="1" ht="72" customHeight="1"/>
    <row r="786" hidden="1" ht="72" customHeight="1"/>
    <row r="787" hidden="1" ht="72" customHeight="1"/>
    <row r="788" hidden="1" ht="72" customHeight="1"/>
    <row r="789" hidden="1" ht="72" customHeight="1"/>
    <row r="790" hidden="1" ht="72" customHeight="1"/>
    <row r="791" hidden="1" ht="72" customHeight="1"/>
    <row r="792" hidden="1" ht="72" customHeight="1"/>
    <row r="793" hidden="1" ht="72" customHeight="1"/>
    <row r="794" hidden="1" ht="72" customHeight="1"/>
    <row r="795" hidden="1" ht="72" customHeight="1"/>
    <row r="796" hidden="1" ht="72" customHeight="1"/>
    <row r="797" hidden="1" ht="72" customHeight="1"/>
    <row r="798" hidden="1" ht="72" customHeight="1"/>
    <row r="799" hidden="1" ht="72" customHeight="1"/>
    <row r="800" hidden="1" ht="72" customHeight="1"/>
    <row r="801" hidden="1" ht="72" customHeight="1"/>
    <row r="802" hidden="1" ht="72" customHeight="1"/>
    <row r="803" hidden="1" ht="72" customHeight="1"/>
    <row r="804" hidden="1" ht="72" customHeight="1"/>
    <row r="805" hidden="1" ht="72" customHeight="1"/>
    <row r="806" hidden="1" ht="72" customHeight="1"/>
    <row r="807" hidden="1" ht="72" customHeight="1"/>
    <row r="808" hidden="1" ht="72" customHeight="1"/>
    <row r="809" hidden="1" ht="72" customHeight="1"/>
    <row r="810" hidden="1" ht="72" customHeight="1"/>
    <row r="811" hidden="1" ht="72" customHeight="1"/>
    <row r="812" hidden="1" ht="72" customHeight="1"/>
    <row r="813" hidden="1" ht="72" customHeight="1"/>
    <row r="814" hidden="1" ht="72" customHeight="1"/>
    <row r="815" hidden="1" ht="72" customHeight="1"/>
    <row r="816" hidden="1" ht="72" customHeight="1"/>
    <row r="817" hidden="1" ht="72" customHeight="1"/>
    <row r="818" hidden="1" ht="72" customHeight="1"/>
    <row r="819" hidden="1" ht="72" customHeight="1"/>
    <row r="820" hidden="1" ht="72" customHeight="1"/>
    <row r="821" hidden="1" ht="72" customHeight="1"/>
    <row r="822" hidden="1" ht="72" customHeight="1"/>
    <row r="823" hidden="1" ht="72" customHeight="1"/>
    <row r="824" hidden="1" ht="72" customHeight="1"/>
    <row r="825" hidden="1" ht="72" customHeight="1"/>
    <row r="826" hidden="1" ht="72" customHeight="1"/>
    <row r="827" hidden="1" ht="72" customHeight="1"/>
    <row r="828" hidden="1" ht="72" customHeight="1"/>
    <row r="829" hidden="1" ht="72" customHeight="1"/>
    <row r="830" hidden="1" ht="72" customHeight="1"/>
    <row r="831" hidden="1" ht="72" customHeight="1"/>
    <row r="832" hidden="1" ht="72" customHeight="1"/>
    <row r="833" hidden="1" ht="72" customHeight="1"/>
    <row r="834" hidden="1" ht="72" customHeight="1"/>
    <row r="835" hidden="1" ht="72" customHeight="1"/>
    <row r="836" hidden="1" ht="72" customHeight="1"/>
    <row r="837" hidden="1" ht="72" customHeight="1"/>
    <row r="838" hidden="1" ht="72" customHeight="1"/>
    <row r="839" hidden="1" ht="72" customHeight="1"/>
    <row r="840" hidden="1" ht="72" customHeight="1"/>
    <row r="841" hidden="1" ht="72" customHeight="1"/>
    <row r="842" hidden="1" ht="72" customHeight="1"/>
    <row r="843" hidden="1" ht="72" customHeight="1"/>
    <row r="844" hidden="1" ht="72" customHeight="1"/>
    <row r="845" hidden="1" ht="72" customHeight="1"/>
    <row r="846" hidden="1" ht="72" customHeight="1"/>
    <row r="847" hidden="1" ht="72" customHeight="1"/>
    <row r="848" hidden="1" ht="72" customHeight="1"/>
    <row r="849" hidden="1" ht="72" customHeight="1"/>
    <row r="850" hidden="1" ht="72" customHeight="1"/>
    <row r="851" hidden="1" ht="72" customHeight="1"/>
    <row r="852" hidden="1" ht="72" customHeight="1"/>
    <row r="853" hidden="1" ht="72" customHeight="1"/>
    <row r="854" hidden="1" ht="72" customHeight="1"/>
    <row r="855" hidden="1" ht="72" customHeight="1"/>
    <row r="856" hidden="1" ht="72" customHeight="1"/>
    <row r="857" hidden="1" ht="72" customHeight="1"/>
    <row r="858" hidden="1" ht="72" customHeight="1"/>
    <row r="859" hidden="1" ht="72" customHeight="1"/>
    <row r="860" hidden="1" ht="72" customHeight="1"/>
    <row r="861" hidden="1" ht="72" customHeight="1"/>
    <row r="862" hidden="1" ht="72" customHeight="1"/>
    <row r="863" hidden="1" ht="72" customHeight="1"/>
    <row r="864" hidden="1" ht="72" customHeight="1"/>
    <row r="865" hidden="1" ht="72" customHeight="1"/>
    <row r="866" hidden="1" ht="72" customHeight="1"/>
    <row r="867" hidden="1" ht="72" customHeight="1"/>
    <row r="868" hidden="1" ht="72" customHeight="1"/>
    <row r="869" hidden="1" ht="72" customHeight="1"/>
    <row r="870" hidden="1" ht="72" customHeight="1"/>
    <row r="871" hidden="1" ht="72" customHeight="1"/>
    <row r="872" hidden="1" ht="72" customHeight="1"/>
    <row r="873" hidden="1" ht="72" customHeight="1"/>
    <row r="874" hidden="1" ht="72" customHeight="1"/>
    <row r="875" hidden="1" ht="72" customHeight="1"/>
    <row r="876" hidden="1" ht="72" customHeight="1"/>
    <row r="877" hidden="1" ht="72" customHeight="1"/>
    <row r="878" hidden="1" ht="72" customHeight="1"/>
    <row r="879" hidden="1" ht="72" customHeight="1"/>
    <row r="880" hidden="1" ht="72" customHeight="1"/>
    <row r="881" hidden="1" ht="72" customHeight="1"/>
    <row r="882" hidden="1" ht="72" customHeight="1"/>
    <row r="883" hidden="1" ht="72" customHeight="1"/>
    <row r="884" hidden="1" ht="72" customHeight="1"/>
    <row r="885" hidden="1" ht="72" customHeight="1"/>
    <row r="886" hidden="1" ht="72" customHeight="1"/>
    <row r="887" hidden="1" ht="72" customHeight="1"/>
    <row r="888" hidden="1" ht="72" customHeight="1"/>
    <row r="889" hidden="1" ht="72" customHeight="1"/>
    <row r="890" hidden="1" ht="72" customHeight="1"/>
    <row r="891" hidden="1" ht="72" customHeight="1"/>
    <row r="892" hidden="1" ht="72" customHeight="1"/>
    <row r="893" hidden="1" ht="72" customHeight="1"/>
    <row r="894" hidden="1" ht="72" customHeight="1"/>
    <row r="895" hidden="1" ht="72" customHeight="1"/>
    <row r="896" hidden="1" ht="72" customHeight="1"/>
    <row r="897" hidden="1" ht="72" customHeight="1"/>
    <row r="898" hidden="1" ht="72" customHeight="1"/>
    <row r="899" hidden="1" ht="72" customHeight="1"/>
    <row r="900" hidden="1" ht="72" customHeight="1"/>
    <row r="901" hidden="1" ht="72" customHeight="1"/>
    <row r="902" hidden="1" ht="72" customHeight="1"/>
    <row r="903" hidden="1" ht="72" customHeight="1"/>
    <row r="904" hidden="1" ht="72" customHeight="1"/>
    <row r="905" hidden="1" ht="72" customHeight="1"/>
    <row r="906" hidden="1" ht="72" customHeight="1"/>
    <row r="907" hidden="1" ht="72" customHeight="1"/>
    <row r="908" hidden="1" ht="72" customHeight="1"/>
    <row r="909" hidden="1" ht="72" customHeight="1"/>
    <row r="910" hidden="1" ht="72" customHeight="1"/>
    <row r="911" hidden="1" ht="72" customHeight="1"/>
    <row r="912" hidden="1" ht="72" customHeight="1"/>
    <row r="913" hidden="1" ht="72" customHeight="1"/>
    <row r="914" hidden="1" ht="72" customHeight="1"/>
    <row r="915" hidden="1" ht="72" customHeight="1"/>
    <row r="916" hidden="1" ht="72" customHeight="1"/>
    <row r="917" hidden="1" ht="72" customHeight="1"/>
    <row r="918" hidden="1" ht="72" customHeight="1"/>
    <row r="919" hidden="1" ht="72" customHeight="1"/>
    <row r="920" hidden="1" ht="72" customHeight="1"/>
    <row r="921" hidden="1" ht="72" customHeight="1"/>
    <row r="922" hidden="1" ht="72" customHeight="1"/>
    <row r="923" hidden="1" ht="72" customHeight="1"/>
    <row r="924" hidden="1" ht="72" customHeight="1"/>
    <row r="925" hidden="1" ht="72" customHeight="1"/>
    <row r="926" hidden="1" ht="72" customHeight="1"/>
    <row r="927" hidden="1" ht="72" customHeight="1"/>
    <row r="928" hidden="1" ht="72" customHeight="1"/>
    <row r="929" hidden="1" ht="72" customHeight="1"/>
    <row r="930" hidden="1" ht="72" customHeight="1"/>
    <row r="931" hidden="1" ht="72" customHeight="1"/>
    <row r="932" hidden="1" ht="72" customHeight="1"/>
    <row r="933" hidden="1" ht="72" customHeight="1"/>
    <row r="934" hidden="1" ht="72" customHeight="1"/>
    <row r="935" hidden="1" ht="72" customHeight="1"/>
    <row r="936" hidden="1" ht="72" customHeight="1"/>
    <row r="937" hidden="1" ht="72" customHeight="1"/>
    <row r="938" hidden="1" ht="72" customHeight="1"/>
    <row r="939" hidden="1" ht="72" customHeight="1"/>
    <row r="940" hidden="1" ht="72" customHeight="1"/>
    <row r="941" hidden="1" ht="72" customHeight="1"/>
    <row r="942" hidden="1" ht="72" customHeight="1"/>
    <row r="943" hidden="1" ht="72" customHeight="1"/>
    <row r="944" hidden="1" ht="72" customHeight="1"/>
    <row r="945" hidden="1" ht="72" customHeight="1"/>
    <row r="946" hidden="1" ht="72" customHeight="1"/>
    <row r="947" hidden="1" ht="72" customHeight="1"/>
    <row r="948" hidden="1" ht="72" customHeight="1"/>
    <row r="949" hidden="1" ht="72" customHeight="1"/>
    <row r="950" hidden="1" ht="72" customHeight="1"/>
    <row r="951" hidden="1" ht="72" customHeight="1"/>
    <row r="952" hidden="1" ht="72" customHeight="1"/>
    <row r="953" hidden="1" ht="72" customHeight="1"/>
    <row r="954" hidden="1" ht="72" customHeight="1"/>
    <row r="955" hidden="1" ht="72" customHeight="1"/>
    <row r="956" hidden="1" ht="72" customHeight="1"/>
    <row r="957" hidden="1" ht="72" customHeight="1"/>
    <row r="958" hidden="1" ht="72" customHeight="1"/>
    <row r="959" hidden="1" ht="72" customHeight="1"/>
    <row r="960" hidden="1" ht="72" customHeight="1"/>
    <row r="961" hidden="1" ht="72" customHeight="1"/>
    <row r="962" hidden="1" ht="72" customHeight="1"/>
    <row r="963" hidden="1" ht="72" customHeight="1"/>
    <row r="964" hidden="1" ht="72" customHeight="1"/>
    <row r="965" hidden="1" ht="72" customHeight="1"/>
    <row r="966" hidden="1" ht="72" customHeight="1"/>
    <row r="967" hidden="1" ht="72" customHeight="1"/>
    <row r="968" hidden="1" ht="72" customHeight="1"/>
    <row r="969" hidden="1" ht="72" customHeight="1"/>
    <row r="970" hidden="1" ht="72" customHeight="1"/>
    <row r="971" hidden="1" ht="72" customHeight="1"/>
    <row r="972" hidden="1" ht="72" customHeight="1"/>
    <row r="973" hidden="1" ht="72" customHeight="1"/>
    <row r="974" hidden="1" ht="72" customHeight="1"/>
    <row r="975" hidden="1" ht="72" customHeight="1"/>
    <row r="976" hidden="1" ht="72" customHeight="1"/>
    <row r="977" hidden="1" ht="72" customHeight="1"/>
    <row r="978" hidden="1" ht="72" customHeight="1"/>
    <row r="979" hidden="1" ht="72" customHeight="1"/>
    <row r="980" hidden="1" ht="72" customHeight="1"/>
    <row r="981" hidden="1" ht="72" customHeight="1"/>
    <row r="982" hidden="1" ht="72" customHeight="1"/>
    <row r="983" hidden="1" ht="72" customHeight="1"/>
    <row r="984" hidden="1" ht="72" customHeight="1"/>
    <row r="985" hidden="1" ht="72" customHeight="1"/>
    <row r="986" hidden="1" ht="72" customHeight="1"/>
    <row r="987" hidden="1" ht="72" customHeight="1"/>
    <row r="988" hidden="1" ht="72" customHeight="1"/>
    <row r="989" hidden="1" ht="72" customHeight="1"/>
    <row r="990" hidden="1" ht="72" customHeight="1"/>
    <row r="991" hidden="1" ht="72" customHeight="1"/>
    <row r="992" hidden="1" ht="72" customHeight="1"/>
    <row r="993" hidden="1" ht="72" customHeight="1"/>
    <row r="994" hidden="1" ht="72" customHeight="1"/>
    <row r="995" hidden="1" ht="72" customHeight="1"/>
    <row r="996" hidden="1" ht="72" customHeight="1"/>
    <row r="997" hidden="1" ht="72" customHeight="1"/>
    <row r="998" hidden="1" ht="72" customHeight="1"/>
    <row r="999" hidden="1" ht="72" customHeight="1"/>
    <row r="1000" hidden="1" ht="72" customHeight="1"/>
    <row r="1001" hidden="1" ht="72" customHeight="1"/>
  </sheetData>
  <autoFilter ref="A1:A1001">
    <filterColumn colId="0" hiddenButton="0" showButton="1">
      <filters>
        <filter val="1"/>
        <filter val="103"/>
        <filter val="105"/>
        <filter val="106"/>
        <filter val="108"/>
        <filter val="109"/>
        <filter val="12"/>
        <filter val="120"/>
        <filter val="125"/>
        <filter val="13"/>
        <filter val="134"/>
        <filter val="142"/>
        <filter val="145"/>
        <filter val="147"/>
        <filter val="152"/>
        <filter val="154"/>
        <filter val="159"/>
        <filter val="162"/>
        <filter val="166"/>
        <filter val="168"/>
        <filter val="17"/>
        <filter val="171"/>
        <filter val="176"/>
        <filter val="178"/>
        <filter val="179"/>
        <filter val="18"/>
        <filter val="180"/>
        <filter val="185"/>
        <filter val="188"/>
        <filter val="19"/>
        <filter val="191"/>
        <filter val="192"/>
        <filter val="193"/>
        <filter val="196"/>
        <filter val="2"/>
        <filter val="20"/>
        <filter val="201"/>
        <filter val="203"/>
        <filter val="204"/>
        <filter val="205"/>
        <filter val="206"/>
        <filter val="207"/>
        <filter val="208"/>
        <filter val="21"/>
        <filter val="213"/>
        <filter val="22"/>
        <filter val="222"/>
        <filter val="223"/>
        <filter val="230"/>
        <filter val="234"/>
        <filter val="236"/>
        <filter val="24"/>
        <filter val="25"/>
        <filter val="252"/>
        <filter val="253"/>
        <filter val="255"/>
        <filter val="256"/>
        <filter val="257"/>
        <filter val="262"/>
        <filter val="266"/>
        <filter val="267"/>
        <filter val="268"/>
        <filter val="269"/>
        <filter val="27"/>
        <filter val="270"/>
        <filter val="271"/>
        <filter val="274"/>
        <filter val="275"/>
        <filter val="276"/>
        <filter val="28"/>
        <filter val="283"/>
        <filter val="286"/>
        <filter val="29"/>
        <filter val="30"/>
        <filter val="31"/>
        <filter val="312"/>
        <filter val="32"/>
        <filter val="33"/>
        <filter val="34"/>
        <filter val="35"/>
        <filter val="39"/>
        <filter val="4"/>
        <filter val="44"/>
        <filter val="46"/>
        <filter val="48"/>
        <filter val="49"/>
        <filter val="50"/>
        <filter val="52"/>
        <filter val="53"/>
        <filter val="55"/>
        <filter val="56"/>
        <filter val="60"/>
        <filter val="62"/>
        <filter val="66"/>
        <filter val="68"/>
        <filter val="69"/>
        <filter val="74"/>
        <filter val="76"/>
        <filter val="8"/>
        <filter val="82"/>
        <filter val="86"/>
        <filter val="87"/>
        <filter val="88"/>
        <filter val="89"/>
        <filter val="93"/>
        <filter val="99"/>
      </filters>
    </filterColumn>
  </autoFilter>
  <pageMargins left="0.7" right="0.7" top="0.75" bottom="0.75" header="0.3" footer="0.3"/>
</worksheet>
</file>

<file path=xl/worksheets/sheet3.xml><?xml version="1.0" encoding="utf-8"?>
<worksheet xmlns="http://schemas.openxmlformats.org/spreadsheetml/2006/main">
  <sheetPr filterMode="1">
    <outlinePr summaryBelow="0" summaryRight="0"/>
    <pageSetUpPr/>
  </sheetPr>
  <dimension ref="A1:F343"/>
  <sheetViews>
    <sheetView workbookViewId="0">
      <selection activeCell="A1" sqref="A1"/>
    </sheetView>
  </sheetViews>
  <sheetFormatPr baseColWidth="8" defaultColWidth="12.6328125" defaultRowHeight="15.75" customHeight="1"/>
  <cols>
    <col width="9.36328125" customWidth="1" min="1" max="1"/>
    <col width="12" customWidth="1" min="2" max="2"/>
    <col width="22" customWidth="1" min="3" max="3"/>
    <col width="9.36328125" customWidth="1" min="4" max="26"/>
  </cols>
  <sheetData>
    <row r="1" ht="14.25" customHeight="1">
      <c r="A1" s="43" t="inlineStr">
        <is>
          <t>Id</t>
        </is>
      </c>
      <c r="B1" s="43" t="inlineStr">
        <is>
          <t>Image</t>
        </is>
      </c>
      <c r="C1" s="43" t="inlineStr">
        <is>
          <t>Name</t>
        </is>
      </c>
    </row>
    <row r="2" hidden="1" ht="72" customHeight="1">
      <c r="A2" s="41">
        <f>IF(Local!F2="NA",Local!A2,"")</f>
        <v/>
      </c>
      <c r="B2" s="41">
        <f>IF(Local!F2="NA",Local!B2,"")</f>
        <v/>
      </c>
      <c r="C2" s="41">
        <f>IF(Local!F2="NA",Local!C2,"")</f>
        <v/>
      </c>
    </row>
    <row r="3" ht="72" customHeight="1">
      <c r="A3" s="41">
        <f>IF(Local!F3="NA",Local!A3,"")</f>
        <v/>
      </c>
      <c r="B3" s="41">
        <f>IF(Local!F3="NA",Local!B3,"")</f>
        <v/>
      </c>
      <c r="C3" s="41">
        <f>IF(Local!F3="NA",Local!C3,"")</f>
        <v/>
      </c>
      <c r="F3" s="34" t="n"/>
    </row>
    <row r="4" ht="72" customHeight="1">
      <c r="A4" s="41">
        <f>IF(Local!F4="NA",Local!A4,"")</f>
        <v/>
      </c>
      <c r="B4" s="41">
        <f>IF(Local!F4="NA",Local!B4,"")</f>
        <v/>
      </c>
      <c r="C4" s="41">
        <f>IF(Local!F4="NA",Local!C4,"")</f>
        <v/>
      </c>
    </row>
    <row r="5" hidden="1" ht="72" customHeight="1">
      <c r="A5" s="41">
        <f>IF(Local!F5="NA",Local!A5,"")</f>
        <v/>
      </c>
      <c r="B5" s="41">
        <f>IF(Local!F5="NA",Local!B5,"")</f>
        <v/>
      </c>
      <c r="C5" s="41">
        <f>IF(Local!F5="NA",Local!C5,"")</f>
        <v/>
      </c>
    </row>
    <row r="6" hidden="1" ht="72" customHeight="1">
      <c r="A6" s="41">
        <f>IF(Local!F6="NA",Local!A6,"")</f>
        <v/>
      </c>
      <c r="B6" s="41">
        <f>IF(Local!F6="NA",Local!B6,"")</f>
        <v/>
      </c>
      <c r="C6" s="41">
        <f>IF(Local!F6="NA",Local!C6,"")</f>
        <v/>
      </c>
    </row>
    <row r="7" hidden="1" ht="72" customHeight="1">
      <c r="A7" s="41">
        <f>IF(Local!F7="NA",Local!A7,"")</f>
        <v/>
      </c>
      <c r="B7" s="41">
        <f>IF(Local!F7="NA",Local!B7,"")</f>
        <v/>
      </c>
      <c r="C7" s="41">
        <f>IF(Local!F7="NA",Local!C7,"")</f>
        <v/>
      </c>
    </row>
    <row r="8" hidden="1" ht="72" customHeight="1">
      <c r="A8" s="41">
        <f>IF(Local!F8="NA",Local!A8,"")</f>
        <v/>
      </c>
      <c r="B8" s="41">
        <f>IF(Local!F8="NA",Local!B8,"")</f>
        <v/>
      </c>
      <c r="C8" s="41">
        <f>IF(Local!F8="NA",Local!C8,"")</f>
        <v/>
      </c>
    </row>
    <row r="9" hidden="1" ht="72" customHeight="1">
      <c r="A9" s="41">
        <f>IF(Local!F9="NA",Local!A9,"")</f>
        <v/>
      </c>
      <c r="B9" s="41">
        <f>IF(Local!F9="NA",Local!B9,"")</f>
        <v/>
      </c>
      <c r="C9" s="41">
        <f>IF(Local!F9="NA",Local!C9,"")</f>
        <v/>
      </c>
    </row>
    <row r="10" ht="72" customHeight="1">
      <c r="A10" s="41">
        <f>IF(Local!F10="NA",Local!A10,"")</f>
        <v/>
      </c>
      <c r="B10" s="41">
        <f>IF(Local!F10="NA",Local!B10,"")</f>
        <v/>
      </c>
      <c r="C10" s="41">
        <f>IF(Local!F10="NA",Local!C10,"")</f>
        <v/>
      </c>
    </row>
    <row r="11" hidden="1" ht="72" customHeight="1">
      <c r="A11" s="41">
        <f>IF(Local!F11="NA",Local!A11,"")</f>
        <v/>
      </c>
      <c r="B11" s="41">
        <f>IF(Local!F11="NA",Local!B11,"")</f>
        <v/>
      </c>
      <c r="C11" s="41">
        <f>IF(Local!F11="NA",Local!C11,"")</f>
        <v/>
      </c>
    </row>
    <row r="12" hidden="1" ht="72" customHeight="1">
      <c r="A12" s="41">
        <f>IF(Local!F12="NA",Local!A12,"")</f>
        <v/>
      </c>
      <c r="B12" s="41">
        <f>IF(Local!F12="NA",Local!B12,"")</f>
        <v/>
      </c>
      <c r="C12" s="41">
        <f>IF(Local!F12="NA",Local!C12,"")</f>
        <v/>
      </c>
    </row>
    <row r="13" ht="72" customHeight="1">
      <c r="A13" s="41">
        <f>IF(Local!F13="NA",Local!A13,"")</f>
        <v/>
      </c>
      <c r="B13" s="41">
        <f>IF(Local!F13="NA",Local!B13,"")</f>
        <v/>
      </c>
      <c r="C13" s="41">
        <f>IF(Local!F13="NA",Local!C13,"")</f>
        <v/>
      </c>
    </row>
    <row r="14" hidden="1" ht="72" customHeight="1">
      <c r="A14" s="41">
        <f>IF(Local!F14="NA",Local!A14,"")</f>
        <v/>
      </c>
      <c r="B14" s="41">
        <f>IF(Local!F14="NA",Local!B14,"")</f>
        <v/>
      </c>
      <c r="C14" s="41">
        <f>IF(Local!F14="NA",Local!C14,"")</f>
        <v/>
      </c>
    </row>
    <row r="15" ht="72" customHeight="1">
      <c r="A15" s="41">
        <f>IF(Local!F15="NA",Local!A15,"")</f>
        <v/>
      </c>
      <c r="B15" s="41">
        <f>IF(Local!F15="NA",Local!B15,"")</f>
        <v/>
      </c>
      <c r="C15" s="41">
        <f>IF(Local!F15="NA",Local!C15,"")</f>
        <v/>
      </c>
    </row>
    <row r="16" ht="72" customHeight="1">
      <c r="A16" s="41">
        <f>IF(Local!F16="NA",Local!A16,"")</f>
        <v/>
      </c>
      <c r="B16" s="41">
        <f>IF(Local!F16="NA",Local!B16,"")</f>
        <v/>
      </c>
      <c r="C16" s="41">
        <f>IF(Local!F16="NA",Local!C16,"")</f>
        <v/>
      </c>
    </row>
    <row r="17" ht="72" customHeight="1">
      <c r="A17" s="41">
        <f>IF(Local!F17="NA",Local!A17,"")</f>
        <v/>
      </c>
      <c r="B17" s="41">
        <f>IF(Local!F17="NA",Local!B17,"")</f>
        <v/>
      </c>
      <c r="C17" s="41">
        <f>IF(Local!F17="NA",Local!C17,"")</f>
        <v/>
      </c>
    </row>
    <row r="18" hidden="1" ht="72" customHeight="1">
      <c r="A18" s="41">
        <f>IF(Local!F18="NA",Local!A18,"")</f>
        <v/>
      </c>
      <c r="B18" s="41">
        <f>IF(Local!F18="NA",Local!B18,"")</f>
        <v/>
      </c>
      <c r="C18" s="41">
        <f>IF(Local!F18="NA",Local!C18,"")</f>
        <v/>
      </c>
    </row>
    <row r="19" hidden="1" ht="72" customHeight="1">
      <c r="A19" s="41">
        <f>IF(Local!F19="NA",Local!A19,"")</f>
        <v/>
      </c>
      <c r="B19" s="41">
        <f>IF(Local!F19="NA",Local!B19,"")</f>
        <v/>
      </c>
      <c r="C19" s="41">
        <f>IF(Local!F19="NA",Local!C19,"")</f>
        <v/>
      </c>
    </row>
    <row r="20" hidden="1" ht="72" customHeight="1">
      <c r="A20" s="41">
        <f>IF(Local!F20="NA",Local!A20,"")</f>
        <v/>
      </c>
      <c r="B20" s="41">
        <f>IF(Local!F20="NA",Local!B20,"")</f>
        <v/>
      </c>
      <c r="C20" s="41">
        <f>IF(Local!F20="NA",Local!C20,"")</f>
        <v/>
      </c>
    </row>
    <row r="21" hidden="1" ht="72" customHeight="1">
      <c r="A21" s="41">
        <f>IF(Local!F21="NA",Local!A21,"")</f>
        <v/>
      </c>
      <c r="B21" s="41">
        <f>IF(Local!F21="NA",Local!B21,"")</f>
        <v/>
      </c>
      <c r="C21" s="41">
        <f>IF(Local!F21="NA",Local!C21,"")</f>
        <v/>
      </c>
    </row>
    <row r="22" hidden="1" ht="72" customHeight="1">
      <c r="A22" s="41">
        <f>IF(Local!F22="NA",Local!A22,"")</f>
        <v/>
      </c>
      <c r="B22" s="41">
        <f>IF(Local!F22="NA",Local!B22,"")</f>
        <v/>
      </c>
      <c r="C22" s="41">
        <f>IF(Local!F22="NA",Local!C22,"")</f>
        <v/>
      </c>
    </row>
    <row r="23" hidden="1" ht="72" customHeight="1">
      <c r="A23" s="41">
        <f>IF(Local!F23="NA",Local!A23,"")</f>
        <v/>
      </c>
      <c r="B23" s="41">
        <f>IF(Local!F23="NA",Local!B23,"")</f>
        <v/>
      </c>
      <c r="C23" s="41">
        <f>IF(Local!F23="NA",Local!C23,"")</f>
        <v/>
      </c>
    </row>
    <row r="24" ht="72" customHeight="1">
      <c r="A24" s="41">
        <f>IF(Local!F24="NA",Local!A24,"")</f>
        <v/>
      </c>
      <c r="B24" s="41">
        <f>IF(Local!F24="NA",Local!B24,"")</f>
        <v/>
      </c>
      <c r="C24" s="41">
        <f>IF(Local!F24="NA",Local!C24,"")</f>
        <v/>
      </c>
    </row>
    <row r="25" ht="72" customHeight="1">
      <c r="A25" s="41">
        <f>IF(Local!F25="NA",Local!A25,"")</f>
        <v/>
      </c>
      <c r="B25" s="41">
        <f>IF(Local!F25="NA",Local!B25,"")</f>
        <v/>
      </c>
      <c r="C25" s="41">
        <f>IF(Local!F25="NA",Local!C25,"")</f>
        <v/>
      </c>
    </row>
    <row r="26" hidden="1" ht="72" customHeight="1">
      <c r="A26" s="41">
        <f>IF(Local!F26="NA",Local!A26,"")</f>
        <v/>
      </c>
      <c r="B26" s="41">
        <f>IF(Local!F26="NA",Local!B26,"")</f>
        <v/>
      </c>
      <c r="C26" s="41">
        <f>IF(Local!F26="NA",Local!C26,"")</f>
        <v/>
      </c>
    </row>
    <row r="27" ht="72" customHeight="1">
      <c r="A27" s="41">
        <f>IF(Local!F27="NA",Local!A27,"")</f>
        <v/>
      </c>
      <c r="B27" s="41">
        <f>IF(Local!F27="NA",Local!B27,"")</f>
        <v/>
      </c>
      <c r="C27" s="41">
        <f>IF(Local!F27="NA",Local!C27,"")</f>
        <v/>
      </c>
    </row>
    <row r="28" hidden="1" ht="72" customHeight="1">
      <c r="A28" s="41">
        <f>IF(Local!F28="NA",Local!A28,"")</f>
        <v/>
      </c>
      <c r="B28" s="41">
        <f>IF(Local!F28="NA",Local!B28,"")</f>
        <v/>
      </c>
      <c r="C28" s="41">
        <f>IF(Local!F28="NA",Local!C28,"")</f>
        <v/>
      </c>
    </row>
    <row r="29" ht="72" customHeight="1">
      <c r="A29" s="41">
        <f>IF(Local!F29="NA",Local!A29,"")</f>
        <v/>
      </c>
      <c r="B29" s="41">
        <f>IF(Local!F29="NA",Local!B29,"")</f>
        <v/>
      </c>
      <c r="C29" s="41">
        <f>IF(Local!F29="NA",Local!C29,"")</f>
        <v/>
      </c>
    </row>
    <row r="30" hidden="1" ht="72" customHeight="1">
      <c r="A30" s="41">
        <f>IF(Local!F30="NA",Local!A30,"")</f>
        <v/>
      </c>
      <c r="B30" s="41">
        <f>IF(Local!F30="NA",Local!B30,"")</f>
        <v/>
      </c>
      <c r="C30" s="41">
        <f>IF(Local!F30="NA",Local!C30,"")</f>
        <v/>
      </c>
    </row>
    <row r="31" ht="72" customHeight="1">
      <c r="A31" s="41">
        <f>IF(Local!F31="NA",Local!A31,"")</f>
        <v/>
      </c>
      <c r="B31" s="41">
        <f>IF(Local!F31="NA",Local!B31,"")</f>
        <v/>
      </c>
      <c r="C31" s="41">
        <f>IF(Local!F31="NA",Local!C31,"")</f>
        <v/>
      </c>
    </row>
    <row r="32" hidden="1" ht="72" customHeight="1">
      <c r="A32" s="41">
        <f>IF(Local!F32="NA",Local!A32,"")</f>
        <v/>
      </c>
      <c r="B32" s="41">
        <f>IF(Local!F32="NA",Local!B32,"")</f>
        <v/>
      </c>
      <c r="C32" s="41">
        <f>IF(Local!F32="NA",Local!C32,"")</f>
        <v/>
      </c>
    </row>
    <row r="33" hidden="1" ht="72" customHeight="1">
      <c r="A33" s="41">
        <f>IF(Local!F33="NA",Local!A33,"")</f>
        <v/>
      </c>
      <c r="B33" s="41">
        <f>IF(Local!F33="NA",Local!B33,"")</f>
        <v/>
      </c>
      <c r="C33" s="41">
        <f>IF(Local!F33="NA",Local!C33,"")</f>
        <v/>
      </c>
    </row>
    <row r="34" hidden="1" ht="72" customHeight="1">
      <c r="A34" s="41">
        <f>IF(Local!F34="NA",Local!A34,"")</f>
        <v/>
      </c>
      <c r="B34" s="41">
        <f>IF(Local!F34="NA",Local!B34,"")</f>
        <v/>
      </c>
      <c r="C34" s="41">
        <f>IF(Local!F34="NA",Local!C34,"")</f>
        <v/>
      </c>
    </row>
    <row r="35" hidden="1" ht="72" customHeight="1">
      <c r="A35" s="41">
        <f>IF(Local!F35="NA",Local!A35,"")</f>
        <v/>
      </c>
      <c r="B35" s="41">
        <f>IF(Local!F35="NA",Local!B35,"")</f>
        <v/>
      </c>
      <c r="C35" s="41">
        <f>IF(Local!F35="NA",Local!C35,"")</f>
        <v/>
      </c>
    </row>
    <row r="36" hidden="1" ht="72" customHeight="1">
      <c r="A36" s="41">
        <f>IF(Local!F36="NA",Local!A36,"")</f>
        <v/>
      </c>
      <c r="B36" s="41">
        <f>IF(Local!F36="NA",Local!B36,"")</f>
        <v/>
      </c>
      <c r="C36" s="41">
        <f>IF(Local!F36="NA",Local!C36,"")</f>
        <v/>
      </c>
    </row>
    <row r="37" ht="72" customHeight="1">
      <c r="A37" s="41">
        <f>IF(Local!F37="NA",Local!A37,"")</f>
        <v/>
      </c>
      <c r="B37" s="41">
        <f>IF(Local!F37="NA",Local!B37,"")</f>
        <v/>
      </c>
      <c r="C37" s="41">
        <f>IF(Local!F37="NA",Local!C37,"")</f>
        <v/>
      </c>
    </row>
    <row r="38" ht="72" customHeight="1">
      <c r="A38" s="41">
        <f>IF(Local!F38="NA",Local!A38,"")</f>
        <v/>
      </c>
      <c r="B38" s="41">
        <f>IF(Local!F38="NA",Local!B38,"")</f>
        <v/>
      </c>
      <c r="C38" s="41">
        <f>IF(Local!F38="NA",Local!C38,"")</f>
        <v/>
      </c>
    </row>
    <row r="39" ht="72" customHeight="1">
      <c r="A39" s="41">
        <f>IF(Local!F39="NA",Local!A39,"")</f>
        <v/>
      </c>
      <c r="B39" s="41">
        <f>IF(Local!F39="NA",Local!B39,"")</f>
        <v/>
      </c>
      <c r="C39" s="41">
        <f>IF(Local!F39="NA",Local!C39,"")</f>
        <v/>
      </c>
    </row>
    <row r="40" ht="72" customHeight="1">
      <c r="A40" s="41">
        <f>IF(Local!F40="NA",Local!A40,"")</f>
        <v/>
      </c>
      <c r="B40" s="41">
        <f>IF(Local!F40="NA",Local!B40,"")</f>
        <v/>
      </c>
      <c r="C40" s="41">
        <f>IF(Local!F40="NA",Local!C40,"")</f>
        <v/>
      </c>
    </row>
    <row r="41" hidden="1" ht="72" customHeight="1">
      <c r="A41" s="41">
        <f>IF(#REF!="NA",Local!A41,"")</f>
        <v/>
      </c>
      <c r="B41" s="41">
        <f>IF(#REF!="NA",Local!B41,"")</f>
        <v/>
      </c>
      <c r="C41" s="41">
        <f>IF(#REF!="NA",Local!C41,"")</f>
        <v/>
      </c>
    </row>
    <row r="42" ht="72" customHeight="1">
      <c r="A42" s="41">
        <f>IF(#REF!="NA",Local!A42,"")</f>
        <v/>
      </c>
      <c r="B42" s="41">
        <f>IF(#REF!="NA",Local!B42,"")</f>
        <v/>
      </c>
      <c r="C42" s="41">
        <f>IF(#REF!="NA",Local!C42,"")</f>
        <v/>
      </c>
    </row>
    <row r="43" ht="72" customHeight="1">
      <c r="A43" s="41">
        <f>IF(#REF!="NA",Local!A43,"")</f>
        <v/>
      </c>
      <c r="B43" s="41">
        <f>IF(#REF!="NA",Local!B43,"")</f>
        <v/>
      </c>
      <c r="C43" s="41">
        <f>IF(#REF!="NA",Local!C43,"")</f>
        <v/>
      </c>
    </row>
    <row r="44" ht="72" customHeight="1">
      <c r="A44" s="41">
        <f>IF(#REF!="NA",Local!A44,"")</f>
        <v/>
      </c>
      <c r="B44" s="41">
        <f>IF(#REF!="NA",Local!B44,"")</f>
        <v/>
      </c>
      <c r="C44" s="41">
        <f>IF(#REF!="NA",Local!C44,"")</f>
        <v/>
      </c>
    </row>
    <row r="45" hidden="1" ht="72" customHeight="1">
      <c r="A45" s="41">
        <f>IF(Local!F45="NA",Local!A45,"")</f>
        <v/>
      </c>
      <c r="B45" s="41">
        <f>IF(Local!F45="NA",Local!B45,"")</f>
        <v/>
      </c>
      <c r="C45" s="41">
        <f>IF(Local!F45="NA",Local!C45,"")</f>
        <v/>
      </c>
    </row>
    <row r="46" ht="72" customHeight="1">
      <c r="A46" s="41">
        <f>IF(Local!F46="NA",Local!A46,"")</f>
        <v/>
      </c>
      <c r="B46" s="41">
        <f>IF(Local!F46="NA",Local!B46,"")</f>
        <v/>
      </c>
      <c r="C46" s="41">
        <f>IF(Local!F46="NA",Local!C46,"")</f>
        <v/>
      </c>
    </row>
    <row r="47" hidden="1" ht="72" customHeight="1">
      <c r="A47" s="41">
        <f>IF(Local!F47="NA",Local!A47,"")</f>
        <v/>
      </c>
      <c r="B47" s="41">
        <f>IF(Local!F47="NA",Local!B47,"")</f>
        <v/>
      </c>
      <c r="C47" s="41">
        <f>IF(Local!F47="NA",Local!C47,"")</f>
        <v/>
      </c>
    </row>
    <row r="48" ht="72" customHeight="1">
      <c r="A48" s="41">
        <f>IF(Local!F48="NA",Local!A48,"")</f>
        <v/>
      </c>
      <c r="B48" s="41">
        <f>IF(Local!F48="NA",Local!B48,"")</f>
        <v/>
      </c>
      <c r="C48" s="41">
        <f>IF(Local!F48="NA",Local!C48,"")</f>
        <v/>
      </c>
    </row>
    <row r="49" ht="72" customHeight="1">
      <c r="A49" s="41">
        <f>IF(Local!F49="NA",Local!A49,"")</f>
        <v/>
      </c>
      <c r="B49" s="41">
        <f>IF(Local!F49="NA",Local!B49,"")</f>
        <v/>
      </c>
      <c r="C49" s="41">
        <f>IF(Local!F49="NA",Local!C49,"")</f>
        <v/>
      </c>
    </row>
    <row r="50" hidden="1" ht="72" customHeight="1">
      <c r="A50" s="41">
        <f>IF(Local!F50="NA",Local!A50,"")</f>
        <v/>
      </c>
      <c r="B50" s="41">
        <f>IF(Local!F50="NA",Local!B50,"")</f>
        <v/>
      </c>
      <c r="C50" s="41">
        <f>IF(Local!F50="NA",Local!C50,"")</f>
        <v/>
      </c>
    </row>
    <row r="51" hidden="1" ht="72" customHeight="1">
      <c r="A51" s="41">
        <f>IF(Local!F51="NA",Local!A51,"")</f>
        <v/>
      </c>
      <c r="B51" s="41">
        <f>IF(Local!F51="NA",Local!B51,"")</f>
        <v/>
      </c>
      <c r="C51" s="41">
        <f>IF(Local!F51="NA",Local!C51,"")</f>
        <v/>
      </c>
    </row>
    <row r="52" ht="72" customHeight="1">
      <c r="A52" s="41">
        <f>IF(Local!F52="NA",Local!A52,"")</f>
        <v/>
      </c>
      <c r="B52" s="41">
        <f>IF(Local!F52="NA",Local!B52,"")</f>
        <v/>
      </c>
      <c r="C52" s="41">
        <f>IF(Local!F52="NA",Local!C52,"")</f>
        <v/>
      </c>
    </row>
    <row r="53" ht="72" customHeight="1">
      <c r="A53" s="41">
        <f>IF(Local!F53="NA",Local!A53,"")</f>
        <v/>
      </c>
      <c r="B53" s="41">
        <f>IF(Local!F53="NA",Local!B53,"")</f>
        <v/>
      </c>
      <c r="C53" s="41">
        <f>IF(Local!F53="NA",Local!C53,"")</f>
        <v/>
      </c>
    </row>
    <row r="54" hidden="1" ht="72" customHeight="1">
      <c r="A54" s="41">
        <f>IF(Local!F54="NA",Local!A54,"")</f>
        <v/>
      </c>
      <c r="B54" s="41">
        <f>IF(Local!F54="NA",Local!B54,"")</f>
        <v/>
      </c>
      <c r="C54" s="41">
        <f>IF(Local!F54="NA",Local!C54,"")</f>
        <v/>
      </c>
    </row>
    <row r="55" ht="72" customHeight="1">
      <c r="A55" s="41">
        <f>IF(Local!F55="NA",Local!A55,"")</f>
        <v/>
      </c>
      <c r="B55" s="41">
        <f>IF(Local!F55="NA",Local!B55,"")</f>
        <v/>
      </c>
      <c r="C55" s="41">
        <f>IF(Local!F55="NA",Local!C55,"")</f>
        <v/>
      </c>
    </row>
    <row r="56" hidden="1" ht="72" customHeight="1">
      <c r="A56" s="41">
        <f>IF(Local!F56="NA",Local!A56,"")</f>
        <v/>
      </c>
      <c r="B56" s="41">
        <f>IF(Local!F56="NA",Local!B56,"")</f>
        <v/>
      </c>
      <c r="C56" s="41">
        <f>IF(Local!F56="NA",Local!C56,"")</f>
        <v/>
      </c>
    </row>
    <row r="57" hidden="1" ht="72" customHeight="1">
      <c r="A57" s="41">
        <f>IF(Local!F57="NA",Local!A57,"")</f>
        <v/>
      </c>
      <c r="B57" s="41">
        <f>IF(Local!F57="NA",Local!B57,"")</f>
        <v/>
      </c>
      <c r="C57" s="41">
        <f>IF(Local!F57="NA",Local!C57,"")</f>
        <v/>
      </c>
    </row>
    <row r="58" ht="72" customHeight="1">
      <c r="A58" s="41">
        <f>IF(Local!F58="NA",Local!A58,"")</f>
        <v/>
      </c>
      <c r="B58" s="41">
        <f>IF(Local!F58="NA",Local!B58,"")</f>
        <v/>
      </c>
      <c r="C58" s="41">
        <f>IF(Local!F58="NA",Local!C58,"")</f>
        <v/>
      </c>
    </row>
    <row r="59" ht="72" customHeight="1">
      <c r="A59" s="41">
        <f>IF(Local!F59="NA",Local!A59,"")</f>
        <v/>
      </c>
      <c r="B59" s="41">
        <f>IF(Local!F59="NA",Local!B59,"")</f>
        <v/>
      </c>
      <c r="C59" s="41">
        <f>IF(Local!F59="NA",Local!C59,"")</f>
        <v/>
      </c>
    </row>
    <row r="60" ht="72" customHeight="1">
      <c r="A60" s="41">
        <f>IF(Local!F60="NA",Local!A60,"")</f>
        <v/>
      </c>
      <c r="B60" s="41">
        <f>IF(Local!F60="NA",Local!B60,"")</f>
        <v/>
      </c>
      <c r="C60" s="41">
        <f>IF(Local!F60="NA",Local!C60,"")</f>
        <v/>
      </c>
    </row>
    <row r="61" hidden="1" ht="72" customHeight="1">
      <c r="A61" s="41">
        <f>IF(Local!F61="NA",Local!A61,"")</f>
        <v/>
      </c>
      <c r="B61" s="41">
        <f>IF(Local!F61="NA",Local!B61,"")</f>
        <v/>
      </c>
      <c r="C61" s="41">
        <f>IF(Local!F61="NA",Local!C61,"")</f>
        <v/>
      </c>
    </row>
    <row r="62" ht="72" customHeight="1">
      <c r="A62" s="41">
        <f>IF(Local!F62="NA",Local!A62,"")</f>
        <v/>
      </c>
      <c r="B62" s="41">
        <f>IF(Local!F62="NA",Local!B62,"")</f>
        <v/>
      </c>
      <c r="C62" s="41">
        <f>IF(Local!F62="NA",Local!C62,"")</f>
        <v/>
      </c>
    </row>
    <row r="63" hidden="1" ht="72" customHeight="1">
      <c r="A63" s="41">
        <f>IF(Local!F63="NA",Local!A63,"")</f>
        <v/>
      </c>
      <c r="B63" s="41">
        <f>IF(Local!F63="NA",Local!B63,"")</f>
        <v/>
      </c>
      <c r="C63" s="41">
        <f>IF(Local!F63="NA",Local!C63,"")</f>
        <v/>
      </c>
    </row>
    <row r="64" hidden="1" ht="72" customHeight="1">
      <c r="A64" s="41">
        <f>IF(Local!F64="NA",Local!A64,"")</f>
        <v/>
      </c>
      <c r="B64" s="41">
        <f>IF(Local!F64="NA",Local!B64,"")</f>
        <v/>
      </c>
      <c r="C64" s="41">
        <f>IF(Local!F64="NA",Local!C64,"")</f>
        <v/>
      </c>
    </row>
    <row r="65" ht="72" customHeight="1">
      <c r="A65" s="41">
        <f>IF(Local!F65="NA",Local!A65,"")</f>
        <v/>
      </c>
      <c r="B65" s="41">
        <f>IF(Local!F65="NA",Local!B65,"")</f>
        <v/>
      </c>
      <c r="C65" s="41">
        <f>IF(Local!F65="NA",Local!C65,"")</f>
        <v/>
      </c>
    </row>
    <row r="66" ht="72" customHeight="1">
      <c r="A66" s="41">
        <f>IF(Local!F66="NA",Local!A66,"")</f>
        <v/>
      </c>
      <c r="B66" s="41">
        <f>IF(Local!F66="NA",Local!B66,"")</f>
        <v/>
      </c>
      <c r="C66" s="41">
        <f>IF(Local!F66="NA",Local!C66,"")</f>
        <v/>
      </c>
    </row>
    <row r="67" hidden="1" ht="72" customHeight="1">
      <c r="A67" s="41">
        <f>IF(Local!F67="NA",Local!A67,"")</f>
        <v/>
      </c>
      <c r="B67" s="41">
        <f>IF(Local!F67="NA",Local!B67,"")</f>
        <v/>
      </c>
      <c r="C67" s="41">
        <f>IF(Local!F67="NA",Local!C67,"")</f>
        <v/>
      </c>
    </row>
    <row r="68" hidden="1" ht="72" customHeight="1">
      <c r="A68" s="41">
        <f>IF(Local!F68="NA",Local!A68,"")</f>
        <v/>
      </c>
      <c r="B68" s="41">
        <f>IF(Local!F68="NA",Local!B68,"")</f>
        <v/>
      </c>
      <c r="C68" s="41">
        <f>IF(Local!F68="NA",Local!C68,"")</f>
        <v/>
      </c>
    </row>
    <row r="69" hidden="1" ht="72" customHeight="1">
      <c r="A69" s="41">
        <f>IF(Local!F69="NA",Local!A69,"")</f>
        <v/>
      </c>
      <c r="B69" s="41">
        <f>IF(Local!F69="NA",Local!B69,"")</f>
        <v/>
      </c>
      <c r="C69" s="41">
        <f>IF(Local!F69="NA",Local!C69,"")</f>
        <v/>
      </c>
    </row>
    <row r="70" hidden="1" ht="72" customHeight="1">
      <c r="A70" s="41">
        <f>IF(Local!F70="NA",Local!A70,"")</f>
        <v/>
      </c>
      <c r="B70" s="41">
        <f>IF(Local!F70="NA",Local!B70,"")</f>
        <v/>
      </c>
      <c r="C70" s="41">
        <f>IF(Local!F70="NA",Local!C70,"")</f>
        <v/>
      </c>
    </row>
    <row r="71" ht="72" customHeight="1">
      <c r="A71" s="41">
        <f>IF(Local!F71="NA",Local!A71,"")</f>
        <v/>
      </c>
      <c r="B71" s="41">
        <f>IF(Local!F71="NA",Local!B71,"")</f>
        <v/>
      </c>
      <c r="C71" s="41">
        <f>IF(Local!F71="NA",Local!C71,"")</f>
        <v/>
      </c>
    </row>
    <row r="72" ht="72" customHeight="1">
      <c r="A72" s="41">
        <f>IF(Local!F72="NA",Local!A72,"")</f>
        <v/>
      </c>
      <c r="B72" s="41">
        <f>IF(Local!F72="NA",Local!B72,"")</f>
        <v/>
      </c>
      <c r="C72" s="41">
        <f>IF(Local!F72="NA",Local!C72,"")</f>
        <v/>
      </c>
    </row>
    <row r="73" ht="72" customHeight="1">
      <c r="A73" s="41">
        <f>IF(Local!F73="NA",Local!A73,"")</f>
        <v/>
      </c>
      <c r="B73" s="41">
        <f>IF(Local!F73="NA",Local!B73,"")</f>
        <v/>
      </c>
      <c r="C73" s="41">
        <f>IF(Local!F73="NA",Local!C73,"")</f>
        <v/>
      </c>
    </row>
    <row r="74" ht="72" customHeight="1">
      <c r="A74" s="41">
        <f>IF(Local!F74="NA",Local!A74,"")</f>
        <v/>
      </c>
      <c r="B74" s="41">
        <f>IF(Local!F74="NA",Local!B74,"")</f>
        <v/>
      </c>
      <c r="C74" s="41">
        <f>IF(Local!F74="NA",Local!C74,"")</f>
        <v/>
      </c>
    </row>
    <row r="75" ht="72" customHeight="1">
      <c r="A75" s="41">
        <f>IF(Local!F75="NA",Local!A75,"")</f>
        <v/>
      </c>
      <c r="B75" s="41">
        <f>IF(Local!F75="NA",Local!B75,"")</f>
        <v/>
      </c>
      <c r="C75" s="41">
        <f>IF(Local!F75="NA",Local!C75,"")</f>
        <v/>
      </c>
    </row>
    <row r="76" ht="72" customHeight="1">
      <c r="A76" s="41">
        <f>IF(Local!F76="NA",Local!A76,"")</f>
        <v/>
      </c>
      <c r="B76" s="41">
        <f>IF(Local!F76="NA",Local!B76,"")</f>
        <v/>
      </c>
      <c r="C76" s="41">
        <f>IF(Local!F76="NA",Local!C76,"")</f>
        <v/>
      </c>
    </row>
    <row r="77" hidden="1" ht="72" customHeight="1">
      <c r="A77" s="41">
        <f>IF(Local!F77="NA",Local!A77,"")</f>
        <v/>
      </c>
      <c r="B77" s="41">
        <f>IF(Local!F77="NA",Local!B77,"")</f>
        <v/>
      </c>
      <c r="C77" s="41">
        <f>IF(Local!F77="NA",Local!C77,"")</f>
        <v/>
      </c>
    </row>
    <row r="78" ht="72" customHeight="1">
      <c r="A78" s="41">
        <f>IF(Local!F78="NA",Local!A78,"")</f>
        <v/>
      </c>
      <c r="B78" s="41">
        <f>IF(Local!F78="NA",Local!B78,"")</f>
        <v/>
      </c>
      <c r="C78" s="41">
        <f>IF(Local!F78="NA",Local!C78,"")</f>
        <v/>
      </c>
    </row>
    <row r="79" ht="72" customHeight="1">
      <c r="A79" s="41">
        <f>IF(Local!F79="NA",Local!A79,"")</f>
        <v/>
      </c>
      <c r="B79" s="41">
        <f>IF(Local!F79="NA",Local!B79,"")</f>
        <v/>
      </c>
      <c r="C79" s="41">
        <f>IF(Local!F79="NA",Local!C79,"")</f>
        <v/>
      </c>
    </row>
    <row r="80" ht="72" customHeight="1">
      <c r="A80" s="41">
        <f>IF(Local!F80="NA",Local!A80,"")</f>
        <v/>
      </c>
      <c r="B80" s="41">
        <f>IF(Local!F80="NA",Local!B80,"")</f>
        <v/>
      </c>
      <c r="C80" s="41">
        <f>IF(Local!F80="NA",Local!C80,"")</f>
        <v/>
      </c>
    </row>
    <row r="81" ht="72" customHeight="1">
      <c r="A81" s="41">
        <f>IF(#REF!="NA",Local!A81,"")</f>
        <v/>
      </c>
      <c r="B81" s="41">
        <f>IF(#REF!="NA",Local!B81,"")</f>
        <v/>
      </c>
      <c r="C81" s="41">
        <f>IF(#REF!="NA",Local!C81,"")</f>
        <v/>
      </c>
    </row>
    <row r="82" ht="72" customHeight="1">
      <c r="A82" s="41">
        <f>IF(Local!F81="NA",Local!A82,"")</f>
        <v/>
      </c>
      <c r="B82" s="41">
        <f>IF(Local!F81="NA",Local!B82,"")</f>
        <v/>
      </c>
      <c r="C82" s="41">
        <f>IF(Local!F81="NA",Local!C82,"")</f>
        <v/>
      </c>
    </row>
    <row r="83" ht="72" customHeight="1">
      <c r="A83" s="41">
        <f>IF(Local!F83="NA",Local!A83,"")</f>
        <v/>
      </c>
      <c r="B83" s="41">
        <f>IF(Local!F83="NA",Local!B83,"")</f>
        <v/>
      </c>
      <c r="C83" s="41">
        <f>IF(Local!F83="NA",Local!C83,"")</f>
        <v/>
      </c>
    </row>
    <row r="84" ht="72" customHeight="1">
      <c r="A84" s="41">
        <f>IF(Local!F84="NA",Local!A84,"")</f>
        <v/>
      </c>
      <c r="B84" s="41">
        <f>IF(Local!F84="NA",Local!B84,"")</f>
        <v/>
      </c>
      <c r="C84" s="41">
        <f>IF(Local!F84="NA",Local!C84,"")</f>
        <v/>
      </c>
    </row>
    <row r="85" ht="72" customHeight="1">
      <c r="A85" s="41">
        <f>IF(Local!F85="NA",Local!A85,"")</f>
        <v/>
      </c>
      <c r="B85" s="41">
        <f>IF(Local!F85="NA",Local!B85,"")</f>
        <v/>
      </c>
      <c r="C85" s="41">
        <f>IF(Local!F85="NA",Local!C85,"")</f>
        <v/>
      </c>
    </row>
    <row r="86" ht="72" customHeight="1">
      <c r="A86" s="41">
        <f>IF(Local!F86="NA",Local!A86,"")</f>
        <v/>
      </c>
      <c r="B86" s="41">
        <f>IF(Local!F86="NA",Local!B86,"")</f>
        <v/>
      </c>
      <c r="C86" s="41">
        <f>IF(Local!F86="NA",Local!C86,"")</f>
        <v/>
      </c>
    </row>
    <row r="87" hidden="1" ht="72" customHeight="1">
      <c r="A87" s="41">
        <f>IF(Local!F87="NA",Local!A87,"")</f>
        <v/>
      </c>
      <c r="B87" s="41">
        <f>IF(Local!F87="NA",Local!B87,"")</f>
        <v/>
      </c>
      <c r="C87" s="41">
        <f>IF(Local!F87="NA",Local!C87,"")</f>
        <v/>
      </c>
    </row>
    <row r="88" hidden="1" ht="72" customHeight="1">
      <c r="A88" s="41">
        <f>IF(Local!F88="NA",Local!A88,"")</f>
        <v/>
      </c>
      <c r="B88" s="41">
        <f>IF(Local!F88="NA",Local!B88,"")</f>
        <v/>
      </c>
      <c r="C88" s="41">
        <f>IF(Local!F88="NA",Local!C88,"")</f>
        <v/>
      </c>
    </row>
    <row r="89" hidden="1" ht="72" customHeight="1">
      <c r="A89" s="41">
        <f>IF(Local!F89="NA",Local!A89,"")</f>
        <v/>
      </c>
      <c r="B89" s="41">
        <f>IF(Local!F89="NA",Local!B89,"")</f>
        <v/>
      </c>
      <c r="C89" s="41">
        <f>IF(Local!F89="NA",Local!C89,"")</f>
        <v/>
      </c>
    </row>
    <row r="90" hidden="1" ht="72" customHeight="1">
      <c r="A90" s="41">
        <f>IF(Local!F90="NA",Local!A90,"")</f>
        <v/>
      </c>
      <c r="B90" s="41">
        <f>IF(Local!F90="NA",Local!B90,"")</f>
        <v/>
      </c>
      <c r="C90" s="41">
        <f>IF(Local!F90="NA",Local!C90,"")</f>
        <v/>
      </c>
    </row>
    <row r="91" ht="72" customHeight="1">
      <c r="A91" s="41">
        <f>IF(Local!F91="NA",Local!A91,"")</f>
        <v/>
      </c>
      <c r="B91" s="41">
        <f>IF(Local!F91="NA",Local!B91,"")</f>
        <v/>
      </c>
      <c r="C91" s="41">
        <f>IF(Local!F91="NA",Local!C91,"")</f>
        <v/>
      </c>
    </row>
    <row r="92" ht="72" customHeight="1">
      <c r="A92" s="41">
        <f>IF(Local!F92="NA",Local!A92,"")</f>
        <v/>
      </c>
      <c r="B92" s="41">
        <f>IF(Local!F92="NA",Local!B92,"")</f>
        <v/>
      </c>
      <c r="C92" s="41">
        <f>IF(Local!F92="NA",Local!C92,"")</f>
        <v/>
      </c>
    </row>
    <row r="93" hidden="1" ht="72" customHeight="1">
      <c r="A93" s="41">
        <f>IF(Local!F93="NA",Local!A93,"")</f>
        <v/>
      </c>
      <c r="B93" s="41">
        <f>IF(Local!F93="NA",Local!B93,"")</f>
        <v/>
      </c>
      <c r="C93" s="41">
        <f>IF(Local!F93="NA",Local!C93,"")</f>
        <v/>
      </c>
    </row>
    <row r="94" hidden="1" ht="72" customHeight="1">
      <c r="A94" s="41">
        <f>IF(Local!F94="NA",Local!A94,"")</f>
        <v/>
      </c>
      <c r="B94" s="41">
        <f>IF(Local!F94="NA",Local!B94,"")</f>
        <v/>
      </c>
      <c r="C94" s="41">
        <f>IF(Local!F94="NA",Local!C94,"")</f>
        <v/>
      </c>
    </row>
    <row r="95" ht="72" customHeight="1">
      <c r="A95" s="41">
        <f>IF(Local!F95="NA",Local!A95,"")</f>
        <v/>
      </c>
      <c r="B95" s="41">
        <f>IF(Local!F95="NA",Local!B95,"")</f>
        <v/>
      </c>
      <c r="C95" s="41">
        <f>IF(Local!F95="NA",Local!C95,"")</f>
        <v/>
      </c>
    </row>
    <row r="96" ht="72" customHeight="1">
      <c r="A96" s="41">
        <f>IF(Local!F96="NA",Local!A96,"")</f>
        <v/>
      </c>
      <c r="B96" s="41">
        <f>IF(Local!F96="NA",Local!B96,"")</f>
        <v/>
      </c>
      <c r="C96" s="41">
        <f>IF(Local!F96="NA",Local!C96,"")</f>
        <v/>
      </c>
    </row>
    <row r="97" hidden="1" ht="72" customHeight="1">
      <c r="A97" s="41">
        <f>IF(Local!F97="NA",Local!A97,"")</f>
        <v/>
      </c>
      <c r="B97" s="41">
        <f>IF(Local!F97="NA",Local!B97,"")</f>
        <v/>
      </c>
      <c r="C97" s="41">
        <f>IF(Local!F97="NA",Local!C97,"")</f>
        <v/>
      </c>
    </row>
    <row r="98" ht="72" customHeight="1">
      <c r="A98" s="41">
        <f>IF(Local!F98="NA",Local!A98,"")</f>
        <v/>
      </c>
      <c r="B98" s="41">
        <f>IF(Local!F98="NA",Local!B98,"")</f>
        <v/>
      </c>
      <c r="C98" s="41">
        <f>IF(Local!F98="NA",Local!C98,"")</f>
        <v/>
      </c>
    </row>
    <row r="99" ht="72" customHeight="1">
      <c r="A99" s="41">
        <f>IF(Local!F99="NA",Local!A99,"")</f>
        <v/>
      </c>
      <c r="B99" s="41">
        <f>IF(Local!F99="NA",Local!B99,"")</f>
        <v/>
      </c>
      <c r="C99" s="41">
        <f>IF(Local!F99="NA",Local!C99,"")</f>
        <v/>
      </c>
    </row>
    <row r="100" ht="72" customHeight="1">
      <c r="A100" s="41">
        <f>IF(Local!F100="NA",Local!A100,"")</f>
        <v/>
      </c>
      <c r="B100" s="41">
        <f>IF(Local!F100="NA",Local!B100,"")</f>
        <v/>
      </c>
      <c r="C100" s="41">
        <f>IF(Local!F100="NA",Local!C100,"")</f>
        <v/>
      </c>
    </row>
    <row r="101" ht="72" customHeight="1">
      <c r="A101" s="41">
        <f>IF(Local!F101="NA",Local!A101,"")</f>
        <v/>
      </c>
      <c r="B101" s="41">
        <f>IF(Local!F101="NA",Local!B101,"")</f>
        <v/>
      </c>
      <c r="C101" s="41">
        <f>IF(Local!F101="NA",Local!C101,"")</f>
        <v/>
      </c>
    </row>
    <row r="102" ht="72" customHeight="1">
      <c r="A102" s="41">
        <f>IF(Local!F102="NA",Local!A102,"")</f>
        <v/>
      </c>
      <c r="B102" s="41">
        <f>IF(Local!F102="NA",Local!B102,"")</f>
        <v/>
      </c>
      <c r="C102" s="41">
        <f>IF(Local!F102="NA",Local!C102,"")</f>
        <v/>
      </c>
    </row>
    <row r="103" ht="72" customHeight="1">
      <c r="A103" s="41">
        <f>IF(Local!F103="NA",Local!A103,"")</f>
        <v/>
      </c>
      <c r="B103" s="41">
        <f>IF(Local!F103="NA",Local!B103,"")</f>
        <v/>
      </c>
      <c r="C103" s="41">
        <f>IF(Local!F103="NA",Local!C103,"")</f>
        <v/>
      </c>
    </row>
    <row r="104" hidden="1" ht="72" customHeight="1">
      <c r="A104" s="41">
        <f>IF(Local!F104="NA",Local!A104,"")</f>
        <v/>
      </c>
      <c r="B104" s="41">
        <f>IF(Local!F104="NA",Local!B104,"")</f>
        <v/>
      </c>
      <c r="C104" s="41">
        <f>IF(Local!F104="NA",Local!C104,"")</f>
        <v/>
      </c>
    </row>
    <row r="105" hidden="1" ht="72" customHeight="1">
      <c r="A105" s="41">
        <f>IF(Local!F105="NA",Local!A105,"")</f>
        <v/>
      </c>
      <c r="B105" s="41">
        <f>IF(Local!F105="NA",Local!B105,"")</f>
        <v/>
      </c>
      <c r="C105" s="41">
        <f>IF(Local!F105="NA",Local!C105,"")</f>
        <v/>
      </c>
    </row>
    <row r="106" hidden="1" ht="72" customHeight="1">
      <c r="A106" s="41">
        <f>IF(Local!F106="NA",Local!A106,"")</f>
        <v/>
      </c>
      <c r="B106" s="41">
        <f>IF(Local!F106="NA",Local!B106,"")</f>
        <v/>
      </c>
      <c r="C106" s="41">
        <f>IF(Local!F106="NA",Local!C106,"")</f>
        <v/>
      </c>
    </row>
    <row r="107" hidden="1" ht="72" customHeight="1">
      <c r="A107" s="41">
        <f>IF(Local!F107="NA",Local!A107,"")</f>
        <v/>
      </c>
      <c r="B107" s="41">
        <f>IF(Local!F107="NA",Local!B107,"")</f>
        <v/>
      </c>
      <c r="C107" s="41">
        <f>IF(Local!F107="NA",Local!C107,"")</f>
        <v/>
      </c>
    </row>
    <row r="108" hidden="1" ht="72" customHeight="1">
      <c r="A108" s="41">
        <f>IF(Local!F108="NA",Local!A108,"")</f>
        <v/>
      </c>
      <c r="B108" s="41">
        <f>IF(Local!F108="NA",Local!B108,"")</f>
        <v/>
      </c>
      <c r="C108" s="41">
        <f>IF(Local!F108="NA",Local!C108,"")</f>
        <v/>
      </c>
    </row>
    <row r="109" hidden="1" ht="72" customHeight="1">
      <c r="A109" s="41">
        <f>IF(Local!F109="NA",Local!A109,"")</f>
        <v/>
      </c>
      <c r="B109" s="41">
        <f>IF(Local!F109="NA",Local!B109,"")</f>
        <v/>
      </c>
      <c r="C109" s="41">
        <f>IF(Local!F109="NA",Local!C109,"")</f>
        <v/>
      </c>
    </row>
    <row r="110" hidden="1" ht="72" customHeight="1">
      <c r="A110" s="41">
        <f>IF(Local!F110="NA",Local!A110,"")</f>
        <v/>
      </c>
      <c r="B110" s="41">
        <f>IF(Local!F110="NA",Local!B110,"")</f>
        <v/>
      </c>
      <c r="C110" s="41">
        <f>IF(Local!F110="NA",Local!C110,"")</f>
        <v/>
      </c>
    </row>
    <row r="111" ht="72" customHeight="1">
      <c r="A111" s="41">
        <f>IF(Local!F111="NA",Local!A111,"")</f>
        <v/>
      </c>
      <c r="B111" s="41">
        <f>IF(Local!F111="NA",Local!B111,"")</f>
        <v/>
      </c>
      <c r="C111" s="41">
        <f>IF(Local!F111="NA",Local!C111,"")</f>
        <v/>
      </c>
    </row>
    <row r="112" ht="72" customHeight="1">
      <c r="A112" s="41">
        <f>IF(Local!F112="NA",Local!A112,"")</f>
        <v/>
      </c>
      <c r="B112" s="41">
        <f>IF(Local!F112="NA",Local!B112,"")</f>
        <v/>
      </c>
      <c r="C112" s="41">
        <f>IF(Local!F112="NA",Local!C112,"")</f>
        <v/>
      </c>
    </row>
    <row r="113" ht="72" customHeight="1">
      <c r="A113" s="41">
        <f>IF(Local!F113="NA",Local!A113,"")</f>
        <v/>
      </c>
      <c r="B113" s="41">
        <f>IF(Local!F113="NA",Local!B113,"")</f>
        <v/>
      </c>
      <c r="C113" s="41">
        <f>IF(Local!F113="NA",Local!C113,"")</f>
        <v/>
      </c>
    </row>
    <row r="114" hidden="1" ht="72" customHeight="1">
      <c r="A114" s="41">
        <f>IF(Local!F114="NA",Local!A114,"")</f>
        <v/>
      </c>
      <c r="B114" s="41">
        <f>IF(Local!F114="NA",Local!B114,"")</f>
        <v/>
      </c>
      <c r="C114" s="41">
        <f>IF(Local!F114="NA",Local!C114,"")</f>
        <v/>
      </c>
    </row>
    <row r="115" hidden="1" ht="72" customHeight="1">
      <c r="A115" s="41">
        <f>IF(Local!F115="NA",Local!A115,"")</f>
        <v/>
      </c>
      <c r="B115" s="41">
        <f>IF(Local!F115="NA",Local!B115,"")</f>
        <v/>
      </c>
      <c r="C115" s="41">
        <f>IF(Local!F115="NA",Local!C115,"")</f>
        <v/>
      </c>
    </row>
    <row r="116" ht="72" customHeight="1">
      <c r="A116" s="41">
        <f>IF(Local!F116="NA",Local!A116,"")</f>
        <v/>
      </c>
      <c r="B116" s="41">
        <f>IF(Local!F116="NA",Local!B116,"")</f>
        <v/>
      </c>
      <c r="C116" s="41">
        <f>IF(Local!F116="NA",Local!C116,"")</f>
        <v/>
      </c>
    </row>
    <row r="117" ht="72" customHeight="1">
      <c r="A117" s="41">
        <f>IF(Local!F117="NA",Local!A117,"")</f>
        <v/>
      </c>
      <c r="B117" s="41">
        <f>IF(Local!F117="NA",Local!B117,"")</f>
        <v/>
      </c>
      <c r="C117" s="41">
        <f>IF(Local!F117="NA",Local!C117,"")</f>
        <v/>
      </c>
    </row>
    <row r="118" hidden="1" ht="72" customHeight="1">
      <c r="A118" s="41">
        <f>IF(Local!F118="NA",Local!A118,"")</f>
        <v/>
      </c>
      <c r="B118" s="41">
        <f>IF(Local!F118="NA",Local!B118,"")</f>
        <v/>
      </c>
      <c r="C118" s="41">
        <f>IF(Local!F118="NA",Local!C118,"")</f>
        <v/>
      </c>
    </row>
    <row r="119" ht="72" customHeight="1">
      <c r="A119" s="41">
        <f>IF(Local!F119="NA",Local!A119,"")</f>
        <v/>
      </c>
      <c r="B119" s="41">
        <f>IF(Local!F119="NA",Local!B119,"")</f>
        <v/>
      </c>
      <c r="C119" s="41">
        <f>IF(Local!F119="NA",Local!C119,"")</f>
        <v/>
      </c>
    </row>
    <row r="120" ht="72" customHeight="1">
      <c r="A120" s="41">
        <f>IF(Local!F120="NA",Local!A120,"")</f>
        <v/>
      </c>
      <c r="B120" s="41">
        <f>IF(Local!F120="NA",Local!B120,"")</f>
        <v/>
      </c>
      <c r="C120" s="41">
        <f>IF(Local!F120="NA",Local!C120,"")</f>
        <v/>
      </c>
    </row>
    <row r="121" hidden="1" ht="72" customHeight="1">
      <c r="A121" s="41">
        <f>IF(Local!F121="NA",Local!A121,"")</f>
        <v/>
      </c>
      <c r="B121" s="41">
        <f>IF(Local!F121="NA",Local!B121,"")</f>
        <v/>
      </c>
      <c r="C121" s="41">
        <f>IF(Local!F121="NA",Local!C121,"")</f>
        <v/>
      </c>
    </row>
    <row r="122" ht="72" customHeight="1">
      <c r="A122" s="41">
        <f>IF(Local!F122="NA",Local!A122,"")</f>
        <v/>
      </c>
      <c r="B122" s="41">
        <f>IF(Local!F122="NA",Local!B122,"")</f>
        <v/>
      </c>
      <c r="C122" s="41">
        <f>IF(Local!F122="NA",Local!C122,"")</f>
        <v/>
      </c>
    </row>
    <row r="123" ht="72" customHeight="1">
      <c r="A123" s="41">
        <f>IF(Local!F123="NA",Local!A123,"")</f>
        <v/>
      </c>
      <c r="B123" s="41">
        <f>IF(Local!F123="NA",Local!B123,"")</f>
        <v/>
      </c>
      <c r="C123" s="41">
        <f>IF(Local!F123="NA",Local!C123,"")</f>
        <v/>
      </c>
    </row>
    <row r="124" ht="72" customHeight="1">
      <c r="A124" s="41">
        <f>IF(Local!F124="NA",Local!A124,"")</f>
        <v/>
      </c>
      <c r="B124" s="41">
        <f>IF(Local!F124="NA",Local!B124,"")</f>
        <v/>
      </c>
      <c r="C124" s="41">
        <f>IF(Local!F124="NA",Local!C124,"")</f>
        <v/>
      </c>
    </row>
    <row r="125" hidden="1" ht="72" customHeight="1">
      <c r="A125" s="41">
        <f>IF(Local!F125="NA",Local!A125,"")</f>
        <v/>
      </c>
      <c r="B125" s="41">
        <f>IF(Local!F125="NA",Local!B125,"")</f>
        <v/>
      </c>
      <c r="C125" s="41">
        <f>IF(Local!F125="NA",Local!C125,"")</f>
        <v/>
      </c>
    </row>
    <row r="126" ht="72" customHeight="1">
      <c r="A126" s="41">
        <f>IF(Local!F126="NA",Local!A126,"")</f>
        <v/>
      </c>
      <c r="B126" s="41">
        <f>IF(Local!F126="NA",Local!B126,"")</f>
        <v/>
      </c>
      <c r="C126" s="41">
        <f>IF(Local!F126="NA",Local!C126,"")</f>
        <v/>
      </c>
    </row>
    <row r="127" hidden="1" ht="72" customHeight="1">
      <c r="A127" s="41">
        <f>IF(Local!F127="NA",Local!A127,"")</f>
        <v/>
      </c>
      <c r="B127" s="41">
        <f>IF(Local!F127="NA",Local!B127,"")</f>
        <v/>
      </c>
      <c r="C127" s="41">
        <f>IF(Local!F127="NA",Local!C127,"")</f>
        <v/>
      </c>
    </row>
    <row r="128" ht="72" customHeight="1">
      <c r="A128" s="41">
        <f>IF(Local!F128="NA",Local!A128,"")</f>
        <v/>
      </c>
      <c r="B128" s="41">
        <f>IF(Local!F128="NA",Local!B128,"")</f>
        <v/>
      </c>
      <c r="C128" s="41">
        <f>IF(Local!F128="NA",Local!C128,"")</f>
        <v/>
      </c>
    </row>
    <row r="129" ht="72" customHeight="1">
      <c r="A129" s="41">
        <f>IF(Local!F129="NA",Local!A129,"")</f>
        <v/>
      </c>
      <c r="B129" s="41">
        <f>IF(Local!F129="NA",Local!B129,"")</f>
        <v/>
      </c>
      <c r="C129" s="41">
        <f>IF(Local!F129="NA",Local!C129,"")</f>
        <v/>
      </c>
    </row>
    <row r="130" hidden="1" ht="72" customHeight="1">
      <c r="A130" s="41">
        <f>IF(Local!F130="NA",Local!A130,"")</f>
        <v/>
      </c>
      <c r="B130" s="41">
        <f>IF(Local!F130="NA",Local!B130,"")</f>
        <v/>
      </c>
      <c r="C130" s="41">
        <f>IF(Local!F130="NA",Local!C130,"")</f>
        <v/>
      </c>
    </row>
    <row r="131" hidden="1" ht="72" customHeight="1">
      <c r="A131" s="41">
        <f>IF(Local!F131="NA",Local!A131,"")</f>
        <v/>
      </c>
      <c r="B131" s="41">
        <f>IF(Local!F131="NA",Local!B131,"")</f>
        <v/>
      </c>
      <c r="C131" s="41">
        <f>IF(Local!F131="NA",Local!C131,"")</f>
        <v/>
      </c>
    </row>
    <row r="132" hidden="1" ht="72" customHeight="1">
      <c r="A132" s="41">
        <f>IF(Local!F132="NA",Local!A132,"")</f>
        <v/>
      </c>
      <c r="B132" s="41">
        <f>IF(Local!F132="NA",Local!B132,"")</f>
        <v/>
      </c>
      <c r="C132" s="41">
        <f>IF(Local!F132="NA",Local!C132,"")</f>
        <v/>
      </c>
    </row>
    <row r="133" hidden="1" ht="72" customHeight="1">
      <c r="A133" s="41">
        <f>IF(Local!F133="NA",Local!A133,"")</f>
        <v/>
      </c>
      <c r="B133" s="41">
        <f>IF(Local!F133="NA",Local!B133,"")</f>
        <v/>
      </c>
      <c r="C133" s="41">
        <f>IF(Local!F133="NA",Local!C133,"")</f>
        <v/>
      </c>
    </row>
    <row r="134" ht="72" customHeight="1">
      <c r="A134" s="41">
        <f>IF(Local!F134="NA",Local!A134,"")</f>
        <v/>
      </c>
      <c r="B134" s="41">
        <f>IF(Local!F134="NA",Local!B134,"")</f>
        <v/>
      </c>
      <c r="C134" s="41">
        <f>IF(Local!F134="NA",Local!C134,"")</f>
        <v/>
      </c>
    </row>
    <row r="135" hidden="1" ht="72" customHeight="1">
      <c r="A135" s="41">
        <f>IF(Local!F135="NA",Local!A135,"")</f>
        <v/>
      </c>
      <c r="B135" s="41">
        <f>IF(Local!F135="NA",Local!B135,"")</f>
        <v/>
      </c>
      <c r="C135" s="41">
        <f>IF(Local!F135="NA",Local!C135,"")</f>
        <v/>
      </c>
    </row>
    <row r="136" hidden="1" ht="72" customHeight="1">
      <c r="A136" s="41">
        <f>IF(Local!F136="NA",Local!A136,"")</f>
        <v/>
      </c>
      <c r="B136" s="41">
        <f>IF(Local!F136="NA",Local!B136,"")</f>
        <v/>
      </c>
      <c r="C136" s="41">
        <f>IF(Local!F136="NA",Local!C136,"")</f>
        <v/>
      </c>
    </row>
    <row r="137" ht="72" customHeight="1">
      <c r="A137" s="41">
        <f>IF(Local!F137="NA",Local!A137,"")</f>
        <v/>
      </c>
      <c r="B137" s="41">
        <f>IF(Local!F137="NA",Local!B137,"")</f>
        <v/>
      </c>
      <c r="C137" s="41">
        <f>IF(Local!F137="NA",Local!C137,"")</f>
        <v/>
      </c>
    </row>
    <row r="138" hidden="1" ht="72" customHeight="1">
      <c r="A138" s="41">
        <f>IF(Local!F138="NA",Local!A138,"")</f>
        <v/>
      </c>
      <c r="B138" s="41">
        <f>IF(Local!F138="NA",Local!B138,"")</f>
        <v/>
      </c>
      <c r="C138" s="41">
        <f>IF(Local!F138="NA",Local!C138,"")</f>
        <v/>
      </c>
    </row>
    <row r="139" ht="72" customHeight="1">
      <c r="A139" s="41">
        <f>IF(Local!F139="NA",Local!A139,"")</f>
        <v/>
      </c>
      <c r="B139" s="41">
        <f>IF(Local!F139="NA",Local!B139,"")</f>
        <v/>
      </c>
      <c r="C139" s="41">
        <f>IF(Local!F139="NA",Local!C139,"")</f>
        <v/>
      </c>
    </row>
    <row r="140" hidden="1" ht="72" customHeight="1">
      <c r="A140" s="41">
        <f>IF(Local!F140="NA",Local!A140,"")</f>
        <v/>
      </c>
      <c r="B140" s="41">
        <f>IF(Local!F140="NA",Local!B140,"")</f>
        <v/>
      </c>
      <c r="C140" s="41">
        <f>IF(Local!F140="NA",Local!C140,"")</f>
        <v/>
      </c>
    </row>
    <row r="141" hidden="1" ht="72" customHeight="1">
      <c r="A141" s="41">
        <f>IF(Local!F141="NA",Local!A141,"")</f>
        <v/>
      </c>
      <c r="B141" s="41">
        <f>IF(Local!F141="NA",Local!B141,"")</f>
        <v/>
      </c>
      <c r="C141" s="41">
        <f>IF(Local!F141="NA",Local!C141,"")</f>
        <v/>
      </c>
    </row>
    <row r="142" ht="72" customHeight="1">
      <c r="A142" s="41">
        <f>IF(Local!F142="NA",Local!A142,"")</f>
        <v/>
      </c>
      <c r="B142" s="41">
        <f>IF(Local!F142="NA",Local!B142,"")</f>
        <v/>
      </c>
      <c r="C142" s="41">
        <f>IF(Local!F142="NA",Local!C142,"")</f>
        <v/>
      </c>
    </row>
    <row r="143" ht="72" customHeight="1">
      <c r="A143" s="41">
        <f>IF(Local!F143="NA",Local!A143,"")</f>
        <v/>
      </c>
      <c r="B143" s="41">
        <f>IF(Local!F143="NA",Local!B143,"")</f>
        <v/>
      </c>
      <c r="C143" s="41">
        <f>IF(Local!F143="NA",Local!C143,"")</f>
        <v/>
      </c>
    </row>
    <row r="144" ht="72" customHeight="1">
      <c r="A144" s="41">
        <f>IF(Local!F144="NA",Local!A144,"")</f>
        <v/>
      </c>
      <c r="B144" s="41">
        <f>IF(Local!F144="NA",Local!B144,"")</f>
        <v/>
      </c>
      <c r="C144" s="41">
        <f>IF(Local!F144="NA",Local!C144,"")</f>
        <v/>
      </c>
    </row>
    <row r="145" ht="72" customHeight="1">
      <c r="A145" s="41">
        <f>IF(Local!F145="NA",Local!A145,"")</f>
        <v/>
      </c>
      <c r="B145" s="41">
        <f>IF(Local!F145="NA",Local!B145,"")</f>
        <v/>
      </c>
      <c r="C145" s="41">
        <f>IF(Local!F145="NA",Local!C145,"")</f>
        <v/>
      </c>
    </row>
    <row r="146" hidden="1" ht="72" customHeight="1">
      <c r="A146" s="41">
        <f>IF(Local!F146="NA",Local!A146,"")</f>
        <v/>
      </c>
      <c r="B146" s="41">
        <f>IF(Local!F146="NA",Local!B146,"")</f>
        <v/>
      </c>
      <c r="C146" s="41">
        <f>IF(Local!F146="NA",Local!C146,"")</f>
        <v/>
      </c>
    </row>
    <row r="147" hidden="1" ht="72" customHeight="1">
      <c r="A147" s="41">
        <f>IF(Local!F147="NA",Local!A147,"")</f>
        <v/>
      </c>
      <c r="B147" s="41">
        <f>IF(Local!F147="NA",Local!B147,"")</f>
        <v/>
      </c>
      <c r="C147" s="41">
        <f>IF(Local!F147="NA",Local!C147,"")</f>
        <v/>
      </c>
    </row>
    <row r="148" hidden="1" ht="72" customHeight="1">
      <c r="A148" s="41">
        <f>IF(Local!F148="NA",Local!A148,"")</f>
        <v/>
      </c>
      <c r="B148" s="41">
        <f>IF(Local!F148="NA",Local!B148,"")</f>
        <v/>
      </c>
      <c r="C148" s="41">
        <f>IF(Local!F148="NA",Local!C148,"")</f>
        <v/>
      </c>
    </row>
    <row r="149" ht="72" customHeight="1">
      <c r="A149" s="41">
        <f>IF(Local!F149="NA",Local!A149,"")</f>
        <v/>
      </c>
      <c r="B149" s="41">
        <f>IF(Local!F149="NA",Local!B149,"")</f>
        <v/>
      </c>
      <c r="C149" s="41">
        <f>IF(Local!F149="NA",Local!C149,"")</f>
        <v/>
      </c>
    </row>
    <row r="150" ht="72" customHeight="1">
      <c r="A150" s="41">
        <f>IF(Local!F150="NA",Local!A150,"")</f>
        <v/>
      </c>
      <c r="B150" s="41">
        <f>IF(Local!F150="NA",Local!B150,"")</f>
        <v/>
      </c>
      <c r="C150" s="41">
        <f>IF(Local!F150="NA",Local!C150,"")</f>
        <v/>
      </c>
    </row>
    <row r="151" ht="72" customHeight="1">
      <c r="A151" s="41">
        <f>IF(Local!F151="NA",Local!A151,"")</f>
        <v/>
      </c>
      <c r="B151" s="41">
        <f>IF(Local!F151="NA",Local!B151,"")</f>
        <v/>
      </c>
      <c r="C151" s="41">
        <f>IF(Local!F151="NA",Local!C151,"")</f>
        <v/>
      </c>
    </row>
    <row r="152" hidden="1" ht="72" customHeight="1">
      <c r="A152" s="41">
        <f>IF(Local!F152="NA",Local!A152,"")</f>
        <v/>
      </c>
      <c r="B152" s="41">
        <f>IF(Local!F152="NA",Local!B152,"")</f>
        <v/>
      </c>
      <c r="C152" s="41">
        <f>IF(Local!F152="NA",Local!C152,"")</f>
        <v/>
      </c>
    </row>
    <row r="153" hidden="1" ht="72" customHeight="1">
      <c r="A153" s="41">
        <f>IF(Local!F153="NA",Local!A153,"")</f>
        <v/>
      </c>
      <c r="B153" s="41">
        <f>IF(Local!F153="NA",Local!B153,"")</f>
        <v/>
      </c>
      <c r="C153" s="41">
        <f>IF(Local!F153="NA",Local!C153,"")</f>
        <v/>
      </c>
    </row>
    <row r="154" ht="72" customHeight="1">
      <c r="A154" s="41">
        <f>IF(Local!F154="NA",Local!A154,"")</f>
        <v/>
      </c>
      <c r="B154" s="41">
        <f>IF(Local!F154="NA",Local!B154,"")</f>
        <v/>
      </c>
      <c r="C154" s="41">
        <f>IF(Local!F154="NA",Local!C154,"")</f>
        <v/>
      </c>
    </row>
    <row r="155" hidden="1" ht="72" customHeight="1">
      <c r="A155" s="41">
        <f>IF(Local!F155="NA",Local!A155,"")</f>
        <v/>
      </c>
      <c r="B155" s="41">
        <f>IF(Local!F155="NA",Local!B155,"")</f>
        <v/>
      </c>
      <c r="C155" s="41">
        <f>IF(Local!F155="NA",Local!C155,"")</f>
        <v/>
      </c>
    </row>
    <row r="156" hidden="1" ht="72" customHeight="1">
      <c r="A156" s="41">
        <f>IF(Local!F156="NA",Local!A156,"")</f>
        <v/>
      </c>
      <c r="B156" s="41">
        <f>IF(Local!F156="NA",Local!B156,"")</f>
        <v/>
      </c>
      <c r="C156" s="41">
        <f>IF(Local!F156="NA",Local!C156,"")</f>
        <v/>
      </c>
    </row>
    <row r="157" ht="72" customHeight="1">
      <c r="A157" s="41">
        <f>IF(Local!F157="NA",Local!A157,"")</f>
        <v/>
      </c>
      <c r="B157" s="41">
        <f>IF(Local!F157="NA",Local!B157,"")</f>
        <v/>
      </c>
      <c r="C157" s="41">
        <f>IF(Local!F157="NA",Local!C157,"")</f>
        <v/>
      </c>
    </row>
    <row r="158" ht="72" customHeight="1">
      <c r="A158" s="41">
        <f>IF(Local!F158="NA",Local!A158,"")</f>
        <v/>
      </c>
      <c r="B158" s="41">
        <f>IF(Local!F158="NA",Local!B158,"")</f>
        <v/>
      </c>
      <c r="C158" s="41">
        <f>IF(Local!F158="NA",Local!C158,"")</f>
        <v/>
      </c>
    </row>
    <row r="159" ht="72" customHeight="1">
      <c r="A159" s="41">
        <f>IF(Local!F159="NA",Local!A159,"")</f>
        <v/>
      </c>
      <c r="B159" s="41">
        <f>IF(Local!F159="NA",Local!B159,"")</f>
        <v/>
      </c>
      <c r="C159" s="41">
        <f>IF(Local!F159="NA",Local!C159,"")</f>
        <v/>
      </c>
    </row>
    <row r="160" hidden="1" ht="72" customHeight="1">
      <c r="A160" s="41">
        <f>IF(Local!F160="NA",Local!A160,"")</f>
        <v/>
      </c>
      <c r="B160" s="41">
        <f>IF(Local!F160="NA",Local!B160,"")</f>
        <v/>
      </c>
      <c r="C160" s="41">
        <f>IF(Local!F160="NA",Local!C160,"")</f>
        <v/>
      </c>
    </row>
    <row r="161" ht="72" customHeight="1">
      <c r="A161" s="41">
        <f>IF(Local!F161="NA",Local!A161,"")</f>
        <v/>
      </c>
      <c r="B161" s="41">
        <f>IF(Local!F161="NA",Local!B161,"")</f>
        <v/>
      </c>
      <c r="C161" s="41">
        <f>IF(Local!F161="NA",Local!C161,"")</f>
        <v/>
      </c>
    </row>
    <row r="162" ht="72" customHeight="1">
      <c r="A162" s="41">
        <f>IF(Local!F162="NA",Local!A162,"")</f>
        <v/>
      </c>
      <c r="B162" s="41">
        <f>IF(Local!F162="NA",Local!B162,"")</f>
        <v/>
      </c>
      <c r="C162" s="41">
        <f>IF(Local!F162="NA",Local!C162,"")</f>
        <v/>
      </c>
    </row>
    <row r="163" ht="72" customHeight="1">
      <c r="A163" s="41">
        <f>IF(Local!F163="NA",Local!A163,"")</f>
        <v/>
      </c>
      <c r="B163" s="41">
        <f>IF(Local!F163="NA",Local!B163,"")</f>
        <v/>
      </c>
      <c r="C163" s="41">
        <f>IF(Local!F163="NA",Local!C163,"")</f>
        <v/>
      </c>
    </row>
    <row r="164" ht="72" customHeight="1">
      <c r="A164" s="41">
        <f>IF(Local!F164="NA",Local!A164,"")</f>
        <v/>
      </c>
      <c r="B164" s="41">
        <f>IF(Local!F164="NA",Local!B164,"")</f>
        <v/>
      </c>
      <c r="C164" s="41">
        <f>IF(Local!F164="NA",Local!C164,"")</f>
        <v/>
      </c>
    </row>
    <row r="165" hidden="1" ht="72" customHeight="1">
      <c r="A165" s="41">
        <f>IF(Local!F165="NA",Local!A165,"")</f>
        <v/>
      </c>
      <c r="B165" s="41">
        <f>IF(Local!F165="NA",Local!B165,"")</f>
        <v/>
      </c>
      <c r="C165" s="41">
        <f>IF(Local!F165="NA",Local!C165,"")</f>
        <v/>
      </c>
    </row>
    <row r="166" hidden="1" ht="72" customHeight="1">
      <c r="A166" s="41">
        <f>IF(Local!F166="NA",Local!A166,"")</f>
        <v/>
      </c>
      <c r="B166" s="41">
        <f>IF(Local!F166="NA",Local!B166,"")</f>
        <v/>
      </c>
      <c r="C166" s="41">
        <f>IF(Local!F166="NA",Local!C166,"")</f>
        <v/>
      </c>
    </row>
    <row r="167" ht="72" customHeight="1">
      <c r="A167" s="41">
        <f>IF(Local!F167="NA",Local!A167,"")</f>
        <v/>
      </c>
      <c r="B167" s="41">
        <f>IF(Local!F167="NA",Local!B167,"")</f>
        <v/>
      </c>
      <c r="C167" s="41">
        <f>IF(Local!F167="NA",Local!C167,"")</f>
        <v/>
      </c>
    </row>
    <row r="168" ht="72" customHeight="1">
      <c r="A168" s="41">
        <f>IF(Local!F168="NA",Local!A168,"")</f>
        <v/>
      </c>
      <c r="B168" s="41">
        <f>IF(Local!F168="NA",Local!B168,"")</f>
        <v/>
      </c>
      <c r="C168" s="41">
        <f>IF(Local!F168="NA",Local!C168,"")</f>
        <v/>
      </c>
    </row>
    <row r="169" ht="72" customHeight="1">
      <c r="A169" s="41">
        <f>IF(Local!F169="NA",Local!A169,"")</f>
        <v/>
      </c>
      <c r="B169" s="41">
        <f>IF(Local!F169="NA",Local!B169,"")</f>
        <v/>
      </c>
      <c r="C169" s="41">
        <f>IF(Local!F169="NA",Local!C169,"")</f>
        <v/>
      </c>
    </row>
    <row r="170" ht="72" customHeight="1">
      <c r="A170" s="41">
        <f>IF(Local!F170="NA",Local!A170,"")</f>
        <v/>
      </c>
      <c r="B170" s="41">
        <f>IF(Local!F170="NA",Local!B170,"")</f>
        <v/>
      </c>
      <c r="C170" s="41">
        <f>IF(Local!F170="NA",Local!C170,"")</f>
        <v/>
      </c>
    </row>
    <row r="171" ht="72" customHeight="1">
      <c r="A171" s="41">
        <f>IF(Local!F171="NA",Local!A171,"")</f>
        <v/>
      </c>
      <c r="B171" s="41">
        <f>IF(Local!F171="NA",Local!B171,"")</f>
        <v/>
      </c>
      <c r="C171" s="41">
        <f>IF(Local!F171="NA",Local!C171,"")</f>
        <v/>
      </c>
    </row>
    <row r="172" hidden="1" ht="72" customHeight="1">
      <c r="A172" s="41">
        <f>IF(Local!F172="NA",Local!A172,"")</f>
        <v/>
      </c>
      <c r="B172" s="41">
        <f>IF(Local!F172="NA",Local!B172,"")</f>
        <v/>
      </c>
      <c r="C172" s="41">
        <f>IF(Local!F172="NA",Local!C172,"")</f>
        <v/>
      </c>
    </row>
    <row r="173" ht="72" customHeight="1">
      <c r="A173" s="41">
        <f>IF(Local!F173="NA",Local!A173,"")</f>
        <v/>
      </c>
      <c r="B173" s="41">
        <f>IF(Local!F173="NA",Local!B173,"")</f>
        <v/>
      </c>
      <c r="C173" s="41">
        <f>IF(Local!F173="NA",Local!C173,"")</f>
        <v/>
      </c>
    </row>
    <row r="174" ht="72" customHeight="1">
      <c r="A174" s="41">
        <f>IF(Local!F174="NA",Local!A174,"")</f>
        <v/>
      </c>
      <c r="B174" s="41">
        <f>IF(Local!F174="NA",Local!B174,"")</f>
        <v/>
      </c>
      <c r="C174" s="41">
        <f>IF(Local!F174="NA",Local!C174,"")</f>
        <v/>
      </c>
    </row>
    <row r="175" ht="72" customHeight="1">
      <c r="A175" s="41">
        <f>IF(Local!F175="NA",Local!A175,"")</f>
        <v/>
      </c>
      <c r="B175" s="41">
        <f>IF(Local!F175="NA",Local!B175,"")</f>
        <v/>
      </c>
      <c r="C175" s="41">
        <f>IF(Local!F175="NA",Local!C175,"")</f>
        <v/>
      </c>
    </row>
    <row r="176" hidden="1" ht="72" customHeight="1">
      <c r="A176" s="41">
        <f>IF(Local!F176="NA",Local!A176,"")</f>
        <v/>
      </c>
      <c r="B176" s="41">
        <f>IF(Local!F176="NA",Local!B176,"")</f>
        <v/>
      </c>
      <c r="C176" s="41">
        <f>IF(Local!F176="NA",Local!C176,"")</f>
        <v/>
      </c>
    </row>
    <row r="177" hidden="1" ht="72" customHeight="1">
      <c r="A177" s="41">
        <f>IF(Local!F177="NA",Local!A177,"")</f>
        <v/>
      </c>
      <c r="B177" s="41">
        <f>IF(Local!F177="NA",Local!B177,"")</f>
        <v/>
      </c>
      <c r="C177" s="41">
        <f>IF(Local!F177="NA",Local!C177,"")</f>
        <v/>
      </c>
    </row>
    <row r="178" ht="72" customHeight="1">
      <c r="A178" s="41">
        <f>IF(Local!F178="NA",Local!A178,"")</f>
        <v/>
      </c>
      <c r="B178" s="41">
        <f>IF(Local!F178="NA",Local!B178,"")</f>
        <v/>
      </c>
      <c r="C178" s="41">
        <f>IF(Local!F178="NA",Local!C178,"")</f>
        <v/>
      </c>
    </row>
    <row r="179" hidden="1" ht="72" customHeight="1">
      <c r="A179" s="41">
        <f>IF(Local!F179="NA",Local!A179,"")</f>
        <v/>
      </c>
      <c r="B179" s="41">
        <f>IF(Local!F179="NA",Local!B179,"")</f>
        <v/>
      </c>
      <c r="C179" s="41">
        <f>IF(Local!F179="NA",Local!C179,"")</f>
        <v/>
      </c>
    </row>
    <row r="180" hidden="1" ht="72" customHeight="1">
      <c r="A180" s="41">
        <f>IF(Local!F180="NA",Local!A180,"")</f>
        <v/>
      </c>
      <c r="B180" s="41">
        <f>IF(Local!F180="NA",Local!B180,"")</f>
        <v/>
      </c>
      <c r="C180" s="41">
        <f>IF(Local!F180="NA",Local!C180,"")</f>
        <v/>
      </c>
    </row>
    <row r="181" hidden="1" ht="72" customHeight="1">
      <c r="A181" s="41">
        <f>IF(Local!F181="NA",Local!A181,"")</f>
        <v/>
      </c>
      <c r="B181" s="41">
        <f>IF(Local!F181="NA",Local!B181,"")</f>
        <v/>
      </c>
      <c r="C181" s="41">
        <f>IF(Local!F181="NA",Local!C181,"")</f>
        <v/>
      </c>
    </row>
    <row r="182" ht="72" customHeight="1">
      <c r="A182" s="41">
        <f>IF(Local!F182="NA",Local!A182,"")</f>
        <v/>
      </c>
      <c r="B182" s="41">
        <f>IF(Local!F182="NA",Local!B182,"")</f>
        <v/>
      </c>
      <c r="C182" s="41">
        <f>IF(Local!F182="NA",Local!C182,"")</f>
        <v/>
      </c>
    </row>
    <row r="183" ht="72" customHeight="1">
      <c r="A183" s="41">
        <f>IF(Local!F183="NA",Local!A183,"")</f>
        <v/>
      </c>
      <c r="B183" s="41">
        <f>IF(Local!F183="NA",Local!B183,"")</f>
        <v/>
      </c>
      <c r="C183" s="41">
        <f>IF(Local!F183="NA",Local!C183,"")</f>
        <v/>
      </c>
    </row>
    <row r="184" hidden="1" ht="72" customHeight="1">
      <c r="A184" s="41">
        <f>IF(Local!F184="NA",Local!A184,"")</f>
        <v/>
      </c>
      <c r="B184" s="41">
        <f>IF(Local!F184="NA",Local!B184,"")</f>
        <v/>
      </c>
      <c r="C184" s="41">
        <f>IF(Local!F184="NA",Local!C184,"")</f>
        <v/>
      </c>
    </row>
    <row r="185" ht="72" customHeight="1">
      <c r="A185" s="41">
        <f>IF(Local!F185="NA",Local!A185,"")</f>
        <v/>
      </c>
      <c r="B185" s="41">
        <f>IF(Local!F185="NA",Local!B185,"")</f>
        <v/>
      </c>
      <c r="C185" s="41">
        <f>IF(Local!F185="NA",Local!C185,"")</f>
        <v/>
      </c>
    </row>
    <row r="186" ht="72" customHeight="1">
      <c r="A186" s="41">
        <f>IF(Local!F186="NA",Local!A186,"")</f>
        <v/>
      </c>
      <c r="B186" s="41">
        <f>IF(Local!F186="NA",Local!B186,"")</f>
        <v/>
      </c>
      <c r="C186" s="41">
        <f>IF(Local!F186="NA",Local!C186,"")</f>
        <v/>
      </c>
    </row>
    <row r="187" hidden="1" ht="72" customHeight="1">
      <c r="A187" s="41">
        <f>IF(Local!E156="NA",Local!A187,"")</f>
        <v/>
      </c>
      <c r="B187" s="41">
        <f>IF(Local!E156="NA",Local!B187,"")</f>
        <v/>
      </c>
      <c r="C187" s="41">
        <f>IF(Local!E156="NA",Local!C187,"")</f>
        <v/>
      </c>
    </row>
    <row r="188" ht="72" customHeight="1">
      <c r="A188" s="41">
        <f>IF(Local!F188="NA",Local!A188,"")</f>
        <v/>
      </c>
      <c r="B188" s="41">
        <f>IF(Local!F188="NA",Local!B188,"")</f>
        <v/>
      </c>
      <c r="C188" s="41">
        <f>IF(Local!F188="NA",Local!C188,"")</f>
        <v/>
      </c>
    </row>
    <row r="189" hidden="1" ht="72" customHeight="1">
      <c r="A189" s="41">
        <f>IF(Local!F189="NA",Local!A189,"")</f>
        <v/>
      </c>
      <c r="B189" s="41">
        <f>IF(Local!F189="NA",Local!B189,"")</f>
        <v/>
      </c>
      <c r="C189" s="41">
        <f>IF(Local!F189="NA",Local!C189,"")</f>
        <v/>
      </c>
    </row>
    <row r="190" ht="72" customHeight="1">
      <c r="A190" s="41">
        <f>IF(Local!F190="NA",Local!A190,"")</f>
        <v/>
      </c>
      <c r="B190" s="41">
        <f>IF(Local!F190="NA",Local!B190,"")</f>
        <v/>
      </c>
      <c r="C190" s="41">
        <f>IF(Local!F190="NA",Local!C190,"")</f>
        <v/>
      </c>
    </row>
    <row r="191" ht="72" customHeight="1">
      <c r="A191" s="41">
        <f>IF(Local!F191="NA",Local!A191,"")</f>
        <v/>
      </c>
      <c r="B191" s="41">
        <f>IF(Local!F191="NA",Local!B191,"")</f>
        <v/>
      </c>
      <c r="C191" s="41">
        <f>IF(Local!F191="NA",Local!C191,"")</f>
        <v/>
      </c>
    </row>
    <row r="192" hidden="1" ht="72" customHeight="1">
      <c r="A192" s="41">
        <f>IF(Local!F192="NA",Local!A192,"")</f>
        <v/>
      </c>
      <c r="B192" s="41">
        <f>IF(Local!F192="NA",Local!B192,"")</f>
        <v/>
      </c>
      <c r="C192" s="41">
        <f>IF(Local!F192="NA",Local!C192,"")</f>
        <v/>
      </c>
    </row>
    <row r="193" hidden="1" ht="72" customHeight="1">
      <c r="A193" s="41">
        <f>IF(Local!F193="NA",Local!A193,"")</f>
        <v/>
      </c>
      <c r="B193" s="41">
        <f>IF(Local!F193="NA",Local!B193,"")</f>
        <v/>
      </c>
      <c r="C193" s="41">
        <f>IF(Local!F193="NA",Local!C193,"")</f>
        <v/>
      </c>
    </row>
    <row r="194" ht="72" customHeight="1">
      <c r="A194" s="41">
        <f>IF(Local!F194="NA",Local!A194,"")</f>
        <v/>
      </c>
      <c r="B194" s="41">
        <f>IF(Local!F194="NA",Local!B194,"")</f>
        <v/>
      </c>
      <c r="C194" s="41">
        <f>IF(Local!F194="NA",Local!C194,"")</f>
        <v/>
      </c>
    </row>
    <row r="195" hidden="1" ht="72" customHeight="1">
      <c r="A195" s="41">
        <f>IF(Local!F195="NA",Local!A195,"")</f>
        <v/>
      </c>
      <c r="B195" s="41">
        <f>IF(Local!F195="NA",Local!B195,"")</f>
        <v/>
      </c>
      <c r="C195" s="41">
        <f>IF(Local!F195="NA",Local!C195,"")</f>
        <v/>
      </c>
    </row>
    <row r="196" hidden="1" ht="72" customHeight="1">
      <c r="A196" s="41">
        <f>IF(Local!F196="NA",Local!A196,"")</f>
        <v/>
      </c>
      <c r="B196" s="41">
        <f>IF(Local!F196="NA",Local!B196,"")</f>
        <v/>
      </c>
      <c r="C196" s="41">
        <f>IF(Local!F196="NA",Local!C196,"")</f>
        <v/>
      </c>
    </row>
    <row r="197" hidden="1" ht="72" customHeight="1">
      <c r="A197" s="41">
        <f>IF(Local!F197="NA",Local!A197,"")</f>
        <v/>
      </c>
      <c r="B197" s="41">
        <f>IF(Local!F197="NA",Local!B197,"")</f>
        <v/>
      </c>
      <c r="C197" s="41">
        <f>IF(Local!F197="NA",Local!C197,"")</f>
        <v/>
      </c>
    </row>
    <row r="198" ht="72" customHeight="1">
      <c r="A198" s="41">
        <f>IF(Local!F198="NA",Local!A198,"")</f>
        <v/>
      </c>
      <c r="B198" s="41">
        <f>IF(Local!F198="NA",Local!B198,"")</f>
        <v/>
      </c>
      <c r="C198" s="41">
        <f>IF(Local!F198="NA",Local!C198,"")</f>
        <v/>
      </c>
    </row>
    <row r="199" ht="72" customHeight="1">
      <c r="A199" s="41">
        <f>IF(Local!F199="NA",Local!A199,"")</f>
        <v/>
      </c>
      <c r="B199" s="41">
        <f>IF(Local!F199="NA",Local!B199,"")</f>
        <v/>
      </c>
      <c r="C199" s="41">
        <f>IF(Local!F199="NA",Local!C199,"")</f>
        <v/>
      </c>
    </row>
    <row r="200" ht="72" customHeight="1">
      <c r="A200" s="41">
        <f>IF(Local!F200="NA",Local!A200,"")</f>
        <v/>
      </c>
      <c r="B200" s="41">
        <f>IF(Local!F200="NA",Local!B200,"")</f>
        <v/>
      </c>
      <c r="C200" s="41">
        <f>IF(Local!F200="NA",Local!C200,"")</f>
        <v/>
      </c>
    </row>
    <row r="201" hidden="1" ht="72" customHeight="1">
      <c r="A201" s="41">
        <f>IF(Local!F201="NA",Local!A201,"")</f>
        <v/>
      </c>
      <c r="B201" s="41">
        <f>IF(Local!F201="NA",Local!B201,"")</f>
        <v/>
      </c>
      <c r="C201" s="41">
        <f>IF(Local!F201="NA",Local!C201,"")</f>
        <v/>
      </c>
    </row>
    <row r="202" hidden="1" ht="72" customHeight="1">
      <c r="A202" s="41">
        <f>IF(Local!F202="NA",Local!A202,"")</f>
        <v/>
      </c>
      <c r="B202" s="41">
        <f>IF(Local!F202="NA",Local!B202,"")</f>
        <v/>
      </c>
      <c r="C202" s="41">
        <f>IF(Local!F202="NA",Local!C202,"")</f>
        <v/>
      </c>
    </row>
    <row r="203" hidden="1" ht="72" customHeight="1">
      <c r="A203" s="41">
        <f>IF(Local!F203="NA",Local!A203,"")</f>
        <v/>
      </c>
      <c r="B203" s="41">
        <f>IF(Local!F203="NA",Local!B203,"")</f>
        <v/>
      </c>
      <c r="C203" s="41">
        <f>IF(Local!F203="NA",Local!C203,"")</f>
        <v/>
      </c>
    </row>
    <row r="204" hidden="1" ht="72" customHeight="1">
      <c r="A204" s="41">
        <f>IF(Local!F204="NA",Local!A204,"")</f>
        <v/>
      </c>
      <c r="B204" s="41">
        <f>IF(Local!F204="NA",Local!B204,"")</f>
        <v/>
      </c>
      <c r="C204" s="41">
        <f>IF(Local!F204="NA",Local!C204,"")</f>
        <v/>
      </c>
    </row>
    <row r="205" hidden="1" ht="72" customHeight="1">
      <c r="A205" s="41">
        <f>IF(Local!F205="NA",Local!A205,"")</f>
        <v/>
      </c>
      <c r="B205" s="41">
        <f>IF(Local!F205="NA",Local!B205,"")</f>
        <v/>
      </c>
      <c r="C205" s="41">
        <f>IF(Local!F205="NA",Local!C205,"")</f>
        <v/>
      </c>
    </row>
    <row r="206" hidden="1" ht="72" customHeight="1">
      <c r="A206" s="41">
        <f>IF(Local!F206="NA",Local!A206,"")</f>
        <v/>
      </c>
      <c r="B206" s="41">
        <f>IF(Local!F206="NA",Local!B206,"")</f>
        <v/>
      </c>
      <c r="C206" s="41">
        <f>IF(Local!F206="NA",Local!C206,"")</f>
        <v/>
      </c>
    </row>
    <row r="207" hidden="1" ht="72" customHeight="1">
      <c r="A207" s="41">
        <f>IF(Local!F207="NA",Local!A207,"")</f>
        <v/>
      </c>
      <c r="B207" s="41">
        <f>IF(Local!F207="NA",Local!B207,"")</f>
        <v/>
      </c>
      <c r="C207" s="41">
        <f>IF(Local!F207="NA",Local!C207,"")</f>
        <v/>
      </c>
    </row>
    <row r="208" hidden="1" ht="72" customHeight="1">
      <c r="A208" s="41">
        <f>IF(Local!F208="NA",Local!A208,"")</f>
        <v/>
      </c>
      <c r="B208" s="41">
        <f>IF(Local!F208="NA",Local!B208,"")</f>
        <v/>
      </c>
      <c r="C208" s="41">
        <f>IF(Local!F208="NA",Local!C208,"")</f>
        <v/>
      </c>
    </row>
    <row r="209" ht="72" customHeight="1">
      <c r="A209" s="41">
        <f>IF(Local!F209="NA",Local!A209,"")</f>
        <v/>
      </c>
      <c r="B209" s="41">
        <f>IF(Local!F209="NA",Local!B209,"")</f>
        <v/>
      </c>
      <c r="C209" s="41">
        <f>IF(Local!F209="NA",Local!C209,"")</f>
        <v/>
      </c>
    </row>
    <row r="210" ht="72" customHeight="1">
      <c r="A210" s="41">
        <f>IF(Local!F210="NA",Local!A210,"")</f>
        <v/>
      </c>
      <c r="B210" s="41">
        <f>IF(Local!F210="NA",Local!B210,"")</f>
        <v/>
      </c>
      <c r="C210" s="41">
        <f>IF(Local!F210="NA",Local!C210,"")</f>
        <v/>
      </c>
    </row>
    <row r="211" ht="72" customHeight="1">
      <c r="A211" s="41">
        <f>IF(Local!F211="NA",Local!A211,"")</f>
        <v/>
      </c>
      <c r="B211" s="41">
        <f>IF(Local!F211="NA",Local!B211,"")</f>
        <v/>
      </c>
      <c r="C211" s="41">
        <f>IF(Local!F211="NA",Local!C211,"")</f>
        <v/>
      </c>
    </row>
    <row r="212" hidden="1" ht="72" customHeight="1">
      <c r="A212" s="41">
        <f>IF(Local!F212="NA",Local!A212,"")</f>
        <v/>
      </c>
      <c r="B212" s="41">
        <f>IF(Local!F212="NA",Local!B212,"")</f>
        <v/>
      </c>
      <c r="C212" s="41">
        <f>IF(Local!F212="NA",Local!C212,"")</f>
        <v/>
      </c>
    </row>
    <row r="213" ht="72" customHeight="1">
      <c r="A213" s="41">
        <f>IF(Local!F213="NA",Local!A213,"")</f>
        <v/>
      </c>
      <c r="B213" s="41">
        <f>IF(Local!F213="NA",Local!B213,"")</f>
        <v/>
      </c>
      <c r="C213" s="41">
        <f>IF(Local!F213="NA",Local!C213,"")</f>
        <v/>
      </c>
    </row>
    <row r="214" hidden="1" ht="72" customHeight="1">
      <c r="A214" s="41">
        <f>IF(Local!F214="NA",Local!A214,"")</f>
        <v/>
      </c>
      <c r="B214" s="41">
        <f>IF(Local!F214="NA",Local!B214,"")</f>
        <v/>
      </c>
      <c r="C214" s="41">
        <f>IF(Local!F214="NA",Local!C214,"")</f>
        <v/>
      </c>
    </row>
    <row r="215" ht="72" customHeight="1">
      <c r="A215" s="41">
        <f>IF(Local!F215="NA",Local!A215,"")</f>
        <v/>
      </c>
      <c r="B215" s="41">
        <f>IF(Local!F215="NA",Local!B215,"")</f>
        <v/>
      </c>
      <c r="C215" s="41">
        <f>IF(Local!F215="NA",Local!C215,"")</f>
        <v/>
      </c>
    </row>
    <row r="216" ht="72" customHeight="1">
      <c r="A216" s="41">
        <f>IF(Local!F216="NA",Local!A216,"")</f>
        <v/>
      </c>
      <c r="B216" s="41">
        <f>IF(Local!F216="NA",Local!B216,"")</f>
        <v/>
      </c>
      <c r="C216" s="41">
        <f>IF(Local!F216="NA",Local!C216,"")</f>
        <v/>
      </c>
    </row>
    <row r="217" ht="72" customHeight="1">
      <c r="A217" s="41">
        <f>IF(Local!F217="NA",Local!A217,"")</f>
        <v/>
      </c>
      <c r="B217" s="41">
        <f>IF(Local!F217="NA",Local!B217,"")</f>
        <v/>
      </c>
      <c r="C217" s="41">
        <f>IF(Local!F217="NA",Local!C217,"")</f>
        <v/>
      </c>
    </row>
    <row r="218" hidden="1" ht="72" customHeight="1">
      <c r="A218" s="41">
        <f>IF(Local!F218="NA",Local!A218,"")</f>
        <v/>
      </c>
      <c r="B218" s="41">
        <f>IF(Local!F218="NA",Local!B218,"")</f>
        <v/>
      </c>
      <c r="C218" s="41">
        <f>IF(Local!F218="NA",Local!C218,"")</f>
        <v/>
      </c>
    </row>
    <row r="219" ht="72" customHeight="1">
      <c r="A219" s="41">
        <f>IF(Local!F219="NA",Local!A219,"")</f>
        <v/>
      </c>
      <c r="B219" s="41">
        <f>IF(Local!F219="NA",Local!B219,"")</f>
        <v/>
      </c>
      <c r="C219" s="41">
        <f>IF(Local!F219="NA",Local!C219,"")</f>
        <v/>
      </c>
    </row>
    <row r="220" hidden="1" ht="72" customHeight="1">
      <c r="A220" s="41">
        <f>IF(Local!F220="NA",Local!A220,"")</f>
        <v/>
      </c>
      <c r="B220" s="41">
        <f>IF(Local!F220="NA",Local!B220,"")</f>
        <v/>
      </c>
      <c r="C220" s="41">
        <f>IF(Local!F220="NA",Local!C220,"")</f>
        <v/>
      </c>
    </row>
    <row r="221" ht="72" customHeight="1">
      <c r="A221" s="41">
        <f>IF(Local!F221="NA",Local!A221,"")</f>
        <v/>
      </c>
      <c r="B221" s="41">
        <f>IF(Local!F221="NA",Local!B221,"")</f>
        <v/>
      </c>
      <c r="C221" s="41">
        <f>IF(Local!F221="NA",Local!C221,"")</f>
        <v/>
      </c>
    </row>
    <row r="222" hidden="1" ht="72" customHeight="1">
      <c r="A222" s="41">
        <f>IF(Local!F222="NA",Local!A222,"")</f>
        <v/>
      </c>
      <c r="B222" s="41">
        <f>IF(Local!F222="NA",Local!B222,"")</f>
        <v/>
      </c>
      <c r="C222" s="41">
        <f>IF(Local!F222="NA",Local!C222,"")</f>
        <v/>
      </c>
    </row>
    <row r="223" hidden="1" ht="72" customHeight="1">
      <c r="A223" s="41">
        <f>IF(Local!F223="NA",Local!A223,"")</f>
        <v/>
      </c>
      <c r="B223" s="41">
        <f>IF(Local!F223="NA",Local!B223,"")</f>
        <v/>
      </c>
      <c r="C223" s="41">
        <f>IF(Local!F223="NA",Local!C223,"")</f>
        <v/>
      </c>
    </row>
    <row r="224" hidden="1" ht="72" customHeight="1">
      <c r="A224" s="41">
        <f>IF(Local!F224="NA",Local!A224,"")</f>
        <v/>
      </c>
      <c r="B224" s="41">
        <f>IF(Local!F224="NA",Local!B224,"")</f>
        <v/>
      </c>
      <c r="C224" s="41">
        <f>IF(Local!F224="NA",Local!C224,"")</f>
        <v/>
      </c>
    </row>
    <row r="225" ht="72" customHeight="1">
      <c r="A225" s="41">
        <f>IF(Local!F225="NA",Local!A225,"")</f>
        <v/>
      </c>
      <c r="B225" s="41">
        <f>IF(Local!F225="NA",Local!B225,"")</f>
        <v/>
      </c>
      <c r="C225" s="41">
        <f>IF(Local!F225="NA",Local!C225,"")</f>
        <v/>
      </c>
    </row>
    <row r="226" hidden="1" ht="72" customHeight="1">
      <c r="A226" s="41">
        <f>IF(Local!F226="NA",Local!A226,"")</f>
        <v/>
      </c>
      <c r="B226" s="41">
        <f>IF(Local!F226="NA",Local!B226,"")</f>
        <v/>
      </c>
      <c r="C226" s="41">
        <f>IF(Local!F226="NA",Local!C226,"")</f>
        <v/>
      </c>
    </row>
    <row r="227" ht="72" customHeight="1">
      <c r="A227" s="41">
        <f>IF(Local!F227="NA",Local!A227,"")</f>
        <v/>
      </c>
      <c r="B227" s="41">
        <f>IF(Local!F227="NA",Local!B227,"")</f>
        <v/>
      </c>
      <c r="C227" s="41">
        <f>IF(Local!F227="NA",Local!C227,"")</f>
        <v/>
      </c>
    </row>
    <row r="228" hidden="1" ht="72" customHeight="1">
      <c r="A228" s="41">
        <f>IF(Local!F228="NA",Local!A228,"")</f>
        <v/>
      </c>
      <c r="B228" s="41">
        <f>IF(Local!F228="NA",Local!B228,"")</f>
        <v/>
      </c>
      <c r="C228" s="41">
        <f>IF(Local!F228="NA",Local!C228,"")</f>
        <v/>
      </c>
    </row>
    <row r="229" ht="72" customHeight="1">
      <c r="A229" s="41">
        <f>IF(Local!F229="NA",Local!A229,"")</f>
        <v/>
      </c>
      <c r="B229" s="41">
        <f>IF(Local!F229="NA",Local!B229,"")</f>
        <v/>
      </c>
      <c r="C229" s="41">
        <f>IF(Local!F229="NA",Local!C229,"")</f>
        <v/>
      </c>
    </row>
    <row r="230" hidden="1" ht="72" customHeight="1">
      <c r="A230" s="41">
        <f>IF(Local!F230="NA",Local!A230,"")</f>
        <v/>
      </c>
      <c r="B230" s="41">
        <f>IF(Local!F230="NA",Local!B230,"")</f>
        <v/>
      </c>
      <c r="C230" s="41">
        <f>IF(Local!F230="NA",Local!C230,"")</f>
        <v/>
      </c>
    </row>
    <row r="231" hidden="1" ht="72" customHeight="1">
      <c r="A231" s="41">
        <f>IF(Local!F231="NA",Local!A231,"")</f>
        <v/>
      </c>
      <c r="B231" s="41">
        <f>IF(Local!F231="NA",Local!B231,"")</f>
        <v/>
      </c>
      <c r="C231" s="41">
        <f>IF(Local!F231="NA",Local!C231,"")</f>
        <v/>
      </c>
    </row>
    <row r="232" ht="72" customHeight="1">
      <c r="A232" s="41">
        <f>IF(Local!F232="NA",Local!A232,"")</f>
        <v/>
      </c>
      <c r="B232" s="41">
        <f>IF(Local!F232="NA",Local!B232,"")</f>
        <v/>
      </c>
      <c r="C232" s="41">
        <f>IF(Local!F232="NA",Local!C232,"")</f>
        <v/>
      </c>
    </row>
    <row r="233" ht="72" customHeight="1">
      <c r="A233" s="41">
        <f>IF(Local!F233="NA",Local!A233,"")</f>
        <v/>
      </c>
      <c r="B233" s="41">
        <f>IF(Local!F233="NA",Local!B233,"")</f>
        <v/>
      </c>
      <c r="C233" s="41">
        <f>IF(Local!F233="NA",Local!C233,"")</f>
        <v/>
      </c>
    </row>
    <row r="234" hidden="1" ht="72" customHeight="1">
      <c r="A234" s="41">
        <f>IF(Local!F234="NA",Local!A234,"")</f>
        <v/>
      </c>
      <c r="B234" s="41">
        <f>IF(Local!F234="NA",Local!B234,"")</f>
        <v/>
      </c>
      <c r="C234" s="41">
        <f>IF(Local!F234="NA",Local!C234,"")</f>
        <v/>
      </c>
    </row>
    <row r="235" hidden="1" ht="72" customHeight="1">
      <c r="A235" s="41">
        <f>IF(Local!F235="NA",Local!A235,"")</f>
        <v/>
      </c>
      <c r="B235" s="41">
        <f>IF(Local!F235="NA",Local!B235,"")</f>
        <v/>
      </c>
      <c r="C235" s="41">
        <f>IF(Local!F235="NA",Local!C235,"")</f>
        <v/>
      </c>
    </row>
    <row r="236" hidden="1" ht="72" customHeight="1">
      <c r="A236" s="41">
        <f>IF(Local!F236="NA",Local!A236,"")</f>
        <v/>
      </c>
      <c r="B236" s="41">
        <f>IF(Local!F236="NA",Local!B236,"")</f>
        <v/>
      </c>
      <c r="C236" s="41">
        <f>IF(Local!F236="NA",Local!C236,"")</f>
        <v/>
      </c>
    </row>
    <row r="237" hidden="1" ht="72" customHeight="1">
      <c r="A237" s="41">
        <f>IF(Local!F237="NA",Local!A237,"")</f>
        <v/>
      </c>
      <c r="B237" s="41">
        <f>IF(Local!F237="NA",Local!B237,"")</f>
        <v/>
      </c>
      <c r="C237" s="41">
        <f>IF(Local!F237="NA",Local!C237,"")</f>
        <v/>
      </c>
    </row>
    <row r="238" ht="72" customHeight="1">
      <c r="A238" s="41">
        <f>IF(Local!F238="NA",Local!A238,"")</f>
        <v/>
      </c>
      <c r="B238" s="41">
        <f>IF(Local!F238="NA",Local!B238,"")</f>
        <v/>
      </c>
      <c r="C238" s="41">
        <f>IF(Local!F238="NA",Local!C238,"")</f>
        <v/>
      </c>
    </row>
    <row r="239" hidden="1" ht="72" customHeight="1">
      <c r="A239" s="41">
        <f>IF(Local!F239="NA",Local!A239,"")</f>
        <v/>
      </c>
      <c r="B239" s="41">
        <f>IF(Local!F239="NA",Local!B239,"")</f>
        <v/>
      </c>
      <c r="C239" s="41">
        <f>IF(Local!F239="NA",Local!C239,"")</f>
        <v/>
      </c>
    </row>
    <row r="240" ht="72" customHeight="1">
      <c r="A240" s="41">
        <f>IF(Local!F240="NA",Local!A240,"")</f>
        <v/>
      </c>
      <c r="B240" s="41">
        <f>IF(Local!F240="NA",Local!B240,"")</f>
        <v/>
      </c>
      <c r="C240" s="41">
        <f>IF(Local!F240="NA",Local!C240,"")</f>
        <v/>
      </c>
    </row>
    <row r="241" ht="72" customHeight="1">
      <c r="A241" s="41">
        <f>IF(Local!F241="NA",Local!A241,"")</f>
        <v/>
      </c>
      <c r="B241" s="41">
        <f>IF(Local!F241="NA",Local!B241,"")</f>
        <v/>
      </c>
      <c r="C241" s="41">
        <f>IF(Local!F241="NA",Local!C241,"")</f>
        <v/>
      </c>
    </row>
    <row r="242" ht="72" customHeight="1">
      <c r="A242" s="41">
        <f>IF(Local!F242="NA",Local!A242,"")</f>
        <v/>
      </c>
      <c r="B242" s="41">
        <f>IF(Local!F242="NA",Local!B242,"")</f>
        <v/>
      </c>
      <c r="C242" s="41">
        <f>IF(Local!F242="NA",Local!C242,"")</f>
        <v/>
      </c>
    </row>
    <row r="243" hidden="1" ht="72" customHeight="1">
      <c r="A243" s="41">
        <f>IF(Local!F243="NA",Local!A243,"")</f>
        <v/>
      </c>
      <c r="B243" s="41">
        <f>IF(Local!F243="NA",Local!B243,"")</f>
        <v/>
      </c>
      <c r="C243" s="41">
        <f>IF(Local!F243="NA",Local!C243,"")</f>
        <v/>
      </c>
    </row>
    <row r="244" hidden="1" ht="72" customHeight="1">
      <c r="A244" s="41">
        <f>IF(Local!F244="NA",Local!A244,"")</f>
        <v/>
      </c>
      <c r="B244" s="41">
        <f>IF(Local!F244="NA",Local!B244,"")</f>
        <v/>
      </c>
      <c r="C244" s="41">
        <f>IF(Local!F244="NA",Local!C244,"")</f>
        <v/>
      </c>
    </row>
    <row r="245" hidden="1" ht="72" customHeight="1">
      <c r="A245" s="41">
        <f>IF(Local!F245="NA",Local!A245,"")</f>
        <v/>
      </c>
      <c r="B245" s="41">
        <f>IF(Local!F245="NA",Local!B245,"")</f>
        <v/>
      </c>
      <c r="C245" s="41">
        <f>IF(Local!F245="NA",Local!C245,"")</f>
        <v/>
      </c>
    </row>
    <row r="246" ht="72" customHeight="1">
      <c r="A246" s="41">
        <f>IF(Local!F246="NA",Local!A246,"")</f>
        <v/>
      </c>
      <c r="B246" s="41">
        <f>IF(Local!F246="NA",Local!B246,"")</f>
        <v/>
      </c>
      <c r="C246" s="41">
        <f>IF(Local!F246="NA",Local!C246,"")</f>
        <v/>
      </c>
    </row>
    <row r="247" ht="72" customHeight="1">
      <c r="A247" s="41">
        <f>IF(Local!F247="NA",Local!A247,"")</f>
        <v/>
      </c>
      <c r="B247" s="41">
        <f>IF(Local!F247="NA",Local!B247,"")</f>
        <v/>
      </c>
      <c r="C247" s="41">
        <f>IF(Local!F247="NA",Local!C247,"")</f>
        <v/>
      </c>
    </row>
    <row r="248" ht="72" customHeight="1">
      <c r="A248" s="41">
        <f>IF(Local!F248="NA",Local!A248,"")</f>
        <v/>
      </c>
      <c r="B248" s="41">
        <f>IF(Local!F248="NA",Local!B248,"")</f>
        <v/>
      </c>
      <c r="C248" s="41">
        <f>IF(Local!F248="NA",Local!C248,"")</f>
        <v/>
      </c>
    </row>
    <row r="249" ht="72" customHeight="1">
      <c r="A249" s="41">
        <f>IF(Local!F249="NA",Local!A249,"")</f>
        <v/>
      </c>
      <c r="B249" s="41">
        <f>IF(Local!F249="NA",Local!B249,"")</f>
        <v/>
      </c>
      <c r="C249" s="41">
        <f>IF(Local!F249="NA",Local!C249,"")</f>
        <v/>
      </c>
    </row>
    <row r="250" ht="72" customHeight="1">
      <c r="A250" s="41">
        <f>IF(Local!F250="NA",Local!A250,"")</f>
        <v/>
      </c>
      <c r="B250" s="41">
        <f>IF(Local!F250="NA",Local!B250,"")</f>
        <v/>
      </c>
      <c r="C250" s="41">
        <f>IF(Local!F250="NA",Local!C250,"")</f>
        <v/>
      </c>
    </row>
    <row r="251" ht="72" customHeight="1">
      <c r="A251" s="41">
        <f>IF(Local!F251="NA",Local!A251,"")</f>
        <v/>
      </c>
      <c r="B251" s="41">
        <f>IF(Local!F251="NA",Local!B251,"")</f>
        <v/>
      </c>
      <c r="C251" s="41">
        <f>IF(Local!F251="NA",Local!C251,"")</f>
        <v/>
      </c>
    </row>
    <row r="252" hidden="1" ht="72" customHeight="1">
      <c r="A252" s="41">
        <f>IF(Local!F252="NA",Local!A252,"")</f>
        <v/>
      </c>
      <c r="B252" s="41">
        <f>IF(Local!F252="NA",Local!B252,"")</f>
        <v/>
      </c>
      <c r="C252" s="41">
        <f>IF(Local!F252="NA",Local!C252,"")</f>
        <v/>
      </c>
    </row>
    <row r="253" hidden="1" ht="72" customHeight="1">
      <c r="A253" s="41">
        <f>IF(Local!F253="NA",Local!A253,"")</f>
        <v/>
      </c>
      <c r="B253" s="41">
        <f>IF(Local!F253="NA",Local!B253,"")</f>
        <v/>
      </c>
      <c r="C253" s="41">
        <f>IF(Local!F253="NA",Local!C253,"")</f>
        <v/>
      </c>
    </row>
    <row r="254" hidden="1" ht="72" customHeight="1">
      <c r="A254" s="41">
        <f>IF(Local!F254="NA",Local!A254,"")</f>
        <v/>
      </c>
      <c r="B254" s="41">
        <f>IF(Local!F254="NA",Local!B254,"")</f>
        <v/>
      </c>
      <c r="C254" s="41">
        <f>IF(Local!F254="NA",Local!C254,"")</f>
        <v/>
      </c>
    </row>
    <row r="255" hidden="1" ht="72" customHeight="1">
      <c r="A255" s="41">
        <f>IF(Local!F255="NA",Local!A255,"")</f>
        <v/>
      </c>
      <c r="B255" s="41">
        <f>IF(Local!F255="NA",Local!B255,"")</f>
        <v/>
      </c>
      <c r="C255" s="41">
        <f>IF(Local!F255="NA",Local!C255,"")</f>
        <v/>
      </c>
    </row>
    <row r="256" hidden="1" ht="72" customHeight="1">
      <c r="A256" s="41">
        <f>IF(Local!F256="NA",Local!A256,"")</f>
        <v/>
      </c>
      <c r="B256" s="41">
        <f>IF(Local!F256="NA",Local!B256,"")</f>
        <v/>
      </c>
      <c r="C256" s="41">
        <f>IF(Local!F256="NA",Local!C256,"")</f>
        <v/>
      </c>
    </row>
    <row r="257" hidden="1" ht="72" customHeight="1">
      <c r="A257" s="41">
        <f>IF(Local!F257="NA",Local!A257,"")</f>
        <v/>
      </c>
      <c r="B257" s="41">
        <f>IF(Local!F257="NA",Local!B257,"")</f>
        <v/>
      </c>
      <c r="C257" s="41">
        <f>IF(Local!F257="NA",Local!C257,"")</f>
        <v/>
      </c>
    </row>
    <row r="258" ht="72" customHeight="1">
      <c r="A258" s="41">
        <f>IF(Local!F258="NA",Local!A258,"")</f>
        <v/>
      </c>
      <c r="B258" s="41">
        <f>IF(Local!F258="NA",Local!B258,"")</f>
        <v/>
      </c>
      <c r="C258" s="41">
        <f>IF(Local!F258="NA",Local!C258,"")</f>
        <v/>
      </c>
    </row>
    <row r="259" ht="72" customHeight="1">
      <c r="A259" s="41">
        <f>IF(Local!F259="NA",Local!A259,"")</f>
        <v/>
      </c>
      <c r="B259" s="41">
        <f>IF(Local!F259="NA",Local!B259,"")</f>
        <v/>
      </c>
      <c r="C259" s="41">
        <f>IF(Local!F259="NA",Local!C259,"")</f>
        <v/>
      </c>
    </row>
    <row r="260" ht="72" customHeight="1">
      <c r="A260" s="41">
        <f>IF(Local!F260="NA",Local!A260,"")</f>
        <v/>
      </c>
      <c r="B260" s="41">
        <f>IF(Local!F260="NA",Local!B260,"")</f>
        <v/>
      </c>
      <c r="C260" s="41">
        <f>IF(Local!F260="NA",Local!C260,"")</f>
        <v/>
      </c>
    </row>
    <row r="261" ht="72" customHeight="1">
      <c r="A261" s="41">
        <f>IF(Local!F261="NA",Local!A261,"")</f>
        <v/>
      </c>
      <c r="B261" s="41">
        <f>IF(Local!F261="NA",Local!B261,"")</f>
        <v/>
      </c>
      <c r="C261" s="41">
        <f>IF(Local!F261="NA",Local!C261,"")</f>
        <v/>
      </c>
    </row>
    <row r="262" hidden="1" ht="72" customHeight="1">
      <c r="A262" s="41">
        <f>IF(Local!F262="NA",Local!A262,"")</f>
        <v/>
      </c>
      <c r="B262" s="41">
        <f>IF(Local!F262="NA",Local!B262,"")</f>
        <v/>
      </c>
      <c r="C262" s="41">
        <f>IF(Local!F262="NA",Local!C262,"")</f>
        <v/>
      </c>
    </row>
    <row r="263" hidden="1" ht="72" customHeight="1">
      <c r="A263" s="41">
        <f>IF(Local!F263="NA",Local!A263,"")</f>
        <v/>
      </c>
      <c r="B263" s="41">
        <f>IF(Local!F263="NA",Local!B263,"")</f>
        <v/>
      </c>
      <c r="C263" s="41">
        <f>IF(Local!F263="NA",Local!C263,"")</f>
        <v/>
      </c>
    </row>
    <row r="264" hidden="1" ht="72" customHeight="1">
      <c r="A264" s="41">
        <f>IF(Local!F264="NA",Local!A264,"")</f>
        <v/>
      </c>
      <c r="B264" s="41">
        <f>IF(Local!F264="NA",Local!B264,"")</f>
        <v/>
      </c>
      <c r="C264" s="41">
        <f>IF(Local!F264="NA",Local!C264,"")</f>
        <v/>
      </c>
    </row>
    <row r="265" hidden="1" ht="72" customHeight="1">
      <c r="A265" s="41">
        <f>IF(Local!F265="NA",Local!A265,"")</f>
        <v/>
      </c>
      <c r="B265" s="41">
        <f>IF(Local!F265="NA",Local!B265,"")</f>
        <v/>
      </c>
      <c r="C265" s="41">
        <f>IF(Local!F265="NA",Local!C265,"")</f>
        <v/>
      </c>
    </row>
    <row r="266" hidden="1" ht="72" customHeight="1">
      <c r="A266" s="41">
        <f>IF(Local!F266="NA",Local!A266,"")</f>
        <v/>
      </c>
      <c r="B266" s="41">
        <f>IF(Local!F266="NA",Local!B266,"")</f>
        <v/>
      </c>
      <c r="C266" s="41">
        <f>IF(Local!F266="NA",Local!C266,"")</f>
        <v/>
      </c>
    </row>
    <row r="267" hidden="1" ht="72" customHeight="1">
      <c r="A267" s="41">
        <f>IF(Local!F267="NA",Local!A267,"")</f>
        <v/>
      </c>
      <c r="B267" s="41">
        <f>IF(Local!F267="NA",Local!B267,"")</f>
        <v/>
      </c>
      <c r="C267" s="41">
        <f>IF(Local!F267="NA",Local!C267,"")</f>
        <v/>
      </c>
    </row>
    <row r="268" hidden="1" ht="72" customHeight="1">
      <c r="A268" s="41">
        <f>IF(Local!F268="NA",Local!A268,"")</f>
        <v/>
      </c>
      <c r="B268" s="41">
        <f>IF(Local!F268="NA",Local!B268,"")</f>
        <v/>
      </c>
      <c r="C268" s="41">
        <f>IF(Local!F268="NA",Local!C268,"")</f>
        <v/>
      </c>
    </row>
    <row r="269" hidden="1" ht="72" customHeight="1">
      <c r="A269" s="41">
        <f>IF(Local!F269="NA",Local!A269,"")</f>
        <v/>
      </c>
      <c r="B269" s="41">
        <f>IF(Local!F269="NA",Local!B269,"")</f>
        <v/>
      </c>
      <c r="C269" s="41">
        <f>IF(Local!F269="NA",Local!C269,"")</f>
        <v/>
      </c>
    </row>
    <row r="270" hidden="1" ht="72" customHeight="1">
      <c r="A270" s="41">
        <f>IF(Local!F270="NA",Local!A270,"")</f>
        <v/>
      </c>
      <c r="B270" s="41">
        <f>IF(Local!F270="NA",Local!B270,"")</f>
        <v/>
      </c>
      <c r="C270" s="41">
        <f>IF(Local!F270="NA",Local!C270,"")</f>
        <v/>
      </c>
    </row>
    <row r="271" hidden="1" ht="72" customHeight="1">
      <c r="A271" s="41">
        <f>IF(Local!F271="NA",Local!A271,"")</f>
        <v/>
      </c>
      <c r="B271" s="41">
        <f>IF(Local!F271="NA",Local!B271,"")</f>
        <v/>
      </c>
      <c r="C271" s="41">
        <f>IF(Local!F271="NA",Local!C271,"")</f>
        <v/>
      </c>
    </row>
    <row r="272" ht="72" customHeight="1">
      <c r="A272" s="41">
        <f>IF(Local!F272="NA",Local!A272,"")</f>
        <v/>
      </c>
      <c r="B272" s="41">
        <f>IF(Local!F272="NA",Local!B272,"")</f>
        <v/>
      </c>
      <c r="C272" s="41">
        <f>IF(Local!F272="NA",Local!C272,"")</f>
        <v/>
      </c>
    </row>
    <row r="273" hidden="1" ht="72" customHeight="1">
      <c r="A273" s="41">
        <f>IF(Local!F273="NA",Local!A273,"")</f>
        <v/>
      </c>
      <c r="B273" s="41">
        <f>IF(Local!F273="NA",Local!B273,"")</f>
        <v/>
      </c>
      <c r="C273" s="41">
        <f>IF(Local!F273="NA",Local!C273,"")</f>
        <v/>
      </c>
    </row>
    <row r="274" ht="72" customHeight="1">
      <c r="A274" s="41">
        <f>IF(Local!F274="NA",Local!A274,"")</f>
        <v/>
      </c>
      <c r="B274" s="41">
        <f>IF(Local!F274="NA",Local!B274,"")</f>
        <v/>
      </c>
      <c r="C274" s="41">
        <f>IF(Local!F274="NA",Local!C274,"")</f>
        <v/>
      </c>
    </row>
    <row r="275" hidden="1" ht="72" customHeight="1">
      <c r="A275" s="41">
        <f>IF(Local!F275="NA",Local!A275,"")</f>
        <v/>
      </c>
      <c r="B275" s="41">
        <f>IF(Local!F275="NA",Local!B275,"")</f>
        <v/>
      </c>
      <c r="C275" s="41">
        <f>IF(Local!F275="NA",Local!C275,"")</f>
        <v/>
      </c>
    </row>
    <row r="276" ht="72" customHeight="1">
      <c r="A276" s="41">
        <f>IF(Local!F276="NA",Local!A276,"")</f>
        <v/>
      </c>
      <c r="B276" s="41">
        <f>IF(Local!F276="NA",Local!B276,"")</f>
        <v/>
      </c>
      <c r="C276" s="41">
        <f>IF(Local!F276="NA",Local!C276,"")</f>
        <v/>
      </c>
    </row>
    <row r="277" hidden="1" ht="72" customHeight="1">
      <c r="A277" s="41">
        <f>IF(Local!F277="NA",Local!A277,"")</f>
        <v/>
      </c>
      <c r="B277" s="41">
        <f>IF(Local!F277="NA",Local!B277,"")</f>
        <v/>
      </c>
      <c r="C277" s="41">
        <f>IF(Local!F277="NA",Local!C277,"")</f>
        <v/>
      </c>
    </row>
    <row r="278" hidden="1" ht="72" customHeight="1">
      <c r="A278" s="41">
        <f>IF(Local!F278="NA",Local!A278,"")</f>
        <v/>
      </c>
      <c r="B278" s="41">
        <f>IF(Local!F278="NA",Local!B278,"")</f>
        <v/>
      </c>
      <c r="C278" s="41">
        <f>IF(Local!F278="NA",Local!C278,"")</f>
        <v/>
      </c>
    </row>
    <row r="279" ht="72" customHeight="1">
      <c r="A279" s="41">
        <f>IF(Local!F279="NA",Local!A279,"")</f>
        <v/>
      </c>
      <c r="B279" s="41">
        <f>IF(Local!F279="NA",Local!B279,"")</f>
        <v/>
      </c>
      <c r="C279" s="41">
        <f>IF(Local!F279="NA",Local!C279,"")</f>
        <v/>
      </c>
    </row>
    <row r="280" ht="72" customHeight="1">
      <c r="A280" s="41">
        <f>IF(Local!F280="NA",Local!A280,"")</f>
        <v/>
      </c>
      <c r="B280" s="41">
        <f>IF(Local!F280="NA",Local!B280,"")</f>
        <v/>
      </c>
      <c r="C280" s="41">
        <f>IF(Local!F280="NA",Local!C280,"")</f>
        <v/>
      </c>
    </row>
    <row r="281" ht="72" customHeight="1">
      <c r="A281" s="41">
        <f>IF(Local!F281="NA",Local!A281,"")</f>
        <v/>
      </c>
      <c r="B281" s="41">
        <f>IF(Local!F281="NA",Local!B281,"")</f>
        <v/>
      </c>
      <c r="C281" s="41">
        <f>IF(Local!F281="NA",Local!C281,"")</f>
        <v/>
      </c>
    </row>
    <row r="282" ht="72" customHeight="1">
      <c r="A282" s="41">
        <f>IF(Local!F282="NA",Local!A282,"")</f>
        <v/>
      </c>
      <c r="B282" s="41">
        <f>IF(Local!F282="NA",Local!B282,"")</f>
        <v/>
      </c>
      <c r="C282" s="41">
        <f>IF(Local!F282="NA",Local!C282,"")</f>
        <v/>
      </c>
    </row>
    <row r="283" ht="72" customHeight="1">
      <c r="A283" s="41">
        <f>IF(Local!F283="NA",Local!A283,"")</f>
        <v/>
      </c>
      <c r="B283" s="41">
        <f>IF(Local!F283="NA",Local!B283,"")</f>
        <v/>
      </c>
      <c r="C283" s="41">
        <f>IF(Local!F283="NA",Local!C283,"")</f>
        <v/>
      </c>
    </row>
    <row r="284" hidden="1" ht="72" customHeight="1">
      <c r="A284" s="41">
        <f>IF(Local!F284="NA",Local!A284,"")</f>
        <v/>
      </c>
      <c r="B284" s="41">
        <f>IF(Local!F284="NA",Local!B284,"")</f>
        <v/>
      </c>
      <c r="C284" s="41">
        <f>IF(Local!F284="NA",Local!C284,"")</f>
        <v/>
      </c>
    </row>
    <row r="285" ht="72" customHeight="1">
      <c r="A285" s="41">
        <f>IF(Local!F285="NA",Local!A285,"")</f>
        <v/>
      </c>
      <c r="B285" s="41">
        <f>IF(Local!F285="NA",Local!B285,"")</f>
        <v/>
      </c>
      <c r="C285" s="41">
        <f>IF(Local!F285="NA",Local!C285,"")</f>
        <v/>
      </c>
    </row>
    <row r="286" hidden="1" ht="72" customHeight="1">
      <c r="A286" s="41">
        <f>IF(Local!F286="NA",Local!A286,"")</f>
        <v/>
      </c>
      <c r="B286" s="41">
        <f>IF(Local!F286="NA",Local!B286,"")</f>
        <v/>
      </c>
      <c r="C286" s="41">
        <f>IF(Local!F286="NA",Local!C286,"")</f>
        <v/>
      </c>
    </row>
    <row r="287" hidden="1" ht="72" customHeight="1">
      <c r="A287" s="41">
        <f>IF(Local!F287="NA",Local!A287,"")</f>
        <v/>
      </c>
      <c r="B287" s="41">
        <f>IF(Local!F287="NA",Local!B287,"")</f>
        <v/>
      </c>
      <c r="C287" s="41">
        <f>IF(Local!F287="NA",Local!C287,"")</f>
        <v/>
      </c>
    </row>
    <row r="288" hidden="1" ht="72" customHeight="1">
      <c r="A288" s="41">
        <f>IF(Local!F288="NA",Local!A288,"")</f>
        <v/>
      </c>
      <c r="B288" s="41">
        <f>IF(Local!F288="NA",Local!B288,"")</f>
        <v/>
      </c>
      <c r="C288" s="41">
        <f>IF(Local!F288="NA",Local!C288,"")</f>
        <v/>
      </c>
    </row>
    <row r="289" hidden="1" ht="72" customHeight="1">
      <c r="A289" s="41">
        <f>IF(Local!F289="NA",Local!A289,"")</f>
        <v/>
      </c>
      <c r="B289" s="41">
        <f>IF(Local!F289="NA",Local!B289,"")</f>
        <v/>
      </c>
      <c r="C289" s="41">
        <f>IF(Local!F289="NA",Local!C289,"")</f>
        <v/>
      </c>
    </row>
    <row r="290" hidden="1" ht="72" customHeight="1">
      <c r="A290" s="41">
        <f>IF(Local!F290="NA",Local!A290,"")</f>
        <v/>
      </c>
      <c r="B290" s="41">
        <f>IF(Local!F290="NA",Local!B290,"")</f>
        <v/>
      </c>
      <c r="C290" s="41">
        <f>IF(Local!F290="NA",Local!C290,"")</f>
        <v/>
      </c>
    </row>
    <row r="291" hidden="1" ht="72" customHeight="1">
      <c r="A291" s="41">
        <f>IF(Local!F291="NA",Local!A291,"")</f>
        <v/>
      </c>
      <c r="B291" s="41">
        <f>IF(Local!F291="NA",Local!B291,"")</f>
        <v/>
      </c>
      <c r="C291" s="41">
        <f>IF(Local!F291="NA",Local!C291,"")</f>
        <v/>
      </c>
    </row>
    <row r="292" hidden="1" ht="72" customHeight="1">
      <c r="A292" s="41">
        <f>IF(Local!F292="NA",Local!A292,"")</f>
        <v/>
      </c>
      <c r="B292" s="41">
        <f>IF(Local!F292="NA",Local!B292,"")</f>
        <v/>
      </c>
      <c r="C292" s="41">
        <f>IF(Local!F292="NA",Local!C292,"")</f>
        <v/>
      </c>
    </row>
    <row r="293" hidden="1" ht="72" customHeight="1">
      <c r="A293" s="41">
        <f>IF(Local!F293="NA",Local!A293,"")</f>
        <v/>
      </c>
      <c r="B293" s="41">
        <f>IF(Local!F293="NA",Local!B293,"")</f>
        <v/>
      </c>
      <c r="C293" s="41">
        <f>IF(Local!F293="NA",Local!C293,"")</f>
        <v/>
      </c>
    </row>
    <row r="294" hidden="1" ht="72" customHeight="1">
      <c r="A294" s="41">
        <f>IF(Local!F294="NA",Local!A294,"")</f>
        <v/>
      </c>
      <c r="B294" s="41">
        <f>IF(Local!F294="NA",Local!B294,"")</f>
        <v/>
      </c>
      <c r="C294" s="41">
        <f>IF(Local!F294="NA",Local!C294,"")</f>
        <v/>
      </c>
    </row>
    <row r="295" hidden="1" ht="72" customHeight="1">
      <c r="A295" s="41">
        <f>IF(Local!F295="NA",Local!A295,"")</f>
        <v/>
      </c>
      <c r="B295" s="41">
        <f>IF(Local!F295="NA",Local!B295,"")</f>
        <v/>
      </c>
      <c r="C295" s="41">
        <f>IF(Local!F295="NA",Local!C295,"")</f>
        <v/>
      </c>
    </row>
    <row r="296" hidden="1" ht="72" customHeight="1">
      <c r="A296" s="41">
        <f>IF(Local!F296="NA",Local!A296,"")</f>
        <v/>
      </c>
      <c r="B296" s="41">
        <f>IF(Local!F296="NA",Local!B296,"")</f>
        <v/>
      </c>
      <c r="C296" s="41">
        <f>IF(Local!F296="NA",Local!C296,"")</f>
        <v/>
      </c>
    </row>
    <row r="297" hidden="1" ht="72" customHeight="1">
      <c r="A297" s="41">
        <f>IF(Local!F297="NA",Local!A297,"")</f>
        <v/>
      </c>
      <c r="B297" s="41">
        <f>IF(Local!F297="NA",Local!B297,"")</f>
        <v/>
      </c>
      <c r="C297" s="41">
        <f>IF(Local!F297="NA",Local!C297,"")</f>
        <v/>
      </c>
    </row>
    <row r="298" hidden="1" ht="72" customHeight="1">
      <c r="A298" s="41">
        <f>IF(Local!F298="NA",Local!A298,"")</f>
        <v/>
      </c>
      <c r="B298" s="41">
        <f>IF(Local!F298="NA",Local!B298,"")</f>
        <v/>
      </c>
      <c r="C298" s="41">
        <f>IF(Local!F298="NA",Local!C298,"")</f>
        <v/>
      </c>
    </row>
    <row r="299" hidden="1" ht="72" customHeight="1">
      <c r="A299" s="41">
        <f>IF(Local!F299="NA",Local!A299,"")</f>
        <v/>
      </c>
      <c r="B299" s="41">
        <f>IF(Local!F299="NA",Local!B299,"")</f>
        <v/>
      </c>
      <c r="C299" s="41">
        <f>IF(Local!F299="NA",Local!C299,"")</f>
        <v/>
      </c>
    </row>
    <row r="300" hidden="1" ht="72" customHeight="1">
      <c r="A300" s="41">
        <f>IF(Local!F300="NA",Local!A300,"")</f>
        <v/>
      </c>
      <c r="B300" s="41">
        <f>IF(Local!F300="NA",Local!B300,"")</f>
        <v/>
      </c>
      <c r="C300" s="41">
        <f>IF(Local!F300="NA",Local!C300,"")</f>
        <v/>
      </c>
    </row>
    <row r="301" hidden="1" ht="72" customHeight="1">
      <c r="A301" s="41">
        <f>IF(Local!F301="NA",Local!A301,"")</f>
        <v/>
      </c>
      <c r="B301" s="41">
        <f>IF(Local!F301="NA",Local!B301,"")</f>
        <v/>
      </c>
      <c r="C301" s="41">
        <f>IF(Local!F301="NA",Local!C301,"")</f>
        <v/>
      </c>
    </row>
    <row r="302" hidden="1" ht="72" customHeight="1">
      <c r="A302" s="41">
        <f>IF(Local!F302="NA",Local!A302,"")</f>
        <v/>
      </c>
      <c r="B302" s="41">
        <f>IF(Local!F302="NA",Local!B302,"")</f>
        <v/>
      </c>
      <c r="C302" s="41">
        <f>IF(Local!F302="NA",Local!C302,"")</f>
        <v/>
      </c>
    </row>
    <row r="303" hidden="1" ht="72" customHeight="1">
      <c r="A303" s="41">
        <f>IF(Local!F303="NA",Local!A303,"")</f>
        <v/>
      </c>
      <c r="B303" s="41">
        <f>IF(Local!F303="NA",Local!B303,"")</f>
        <v/>
      </c>
      <c r="C303" s="41">
        <f>IF(Local!F303="NA",Local!C303,"")</f>
        <v/>
      </c>
    </row>
    <row r="304" hidden="1" ht="72" customHeight="1">
      <c r="A304" s="41">
        <f>IF(Local!F304="NA",Local!A304,"")</f>
        <v/>
      </c>
      <c r="B304" s="41">
        <f>IF(Local!F304="NA",Local!B304,"")</f>
        <v/>
      </c>
      <c r="C304" s="41">
        <f>IF(Local!F304="NA",Local!C304,"")</f>
        <v/>
      </c>
    </row>
    <row r="305" hidden="1" ht="72" customHeight="1">
      <c r="A305" s="41">
        <f>IF(Local!F305="NA",Local!A305,"")</f>
        <v/>
      </c>
      <c r="B305" s="41">
        <f>IF(Local!F305="NA",Local!B305,"")</f>
        <v/>
      </c>
      <c r="C305" s="41">
        <f>IF(Local!F305="NA",Local!C305,"")</f>
        <v/>
      </c>
    </row>
    <row r="306" hidden="1" ht="72" customHeight="1">
      <c r="A306" s="41">
        <f>IF(Local!F306="NA",Local!A306,"")</f>
        <v/>
      </c>
      <c r="B306" s="41">
        <f>IF(Local!F306="NA",Local!B306,"")</f>
        <v/>
      </c>
      <c r="C306" s="41">
        <f>IF(Local!F306="NA",Local!C306,"")</f>
        <v/>
      </c>
    </row>
    <row r="307" hidden="1" ht="72" customHeight="1">
      <c r="A307" s="41">
        <f>IF(Local!F307="NA",Local!A307,"")</f>
        <v/>
      </c>
      <c r="B307" s="41">
        <f>IF(Local!F307="NA",Local!B307,"")</f>
        <v/>
      </c>
      <c r="C307" s="41">
        <f>IF(Local!F307="NA",Local!C307,"")</f>
        <v/>
      </c>
    </row>
    <row r="308" hidden="1" ht="72" customHeight="1">
      <c r="A308" s="41">
        <f>IF(Local!F308="NA",Local!A308,"")</f>
        <v/>
      </c>
      <c r="B308" s="41">
        <f>IF(Local!F308="NA",Local!B308,"")</f>
        <v/>
      </c>
      <c r="C308" s="41">
        <f>IF(Local!F308="NA",Local!C308,"")</f>
        <v/>
      </c>
    </row>
    <row r="309" hidden="1" ht="72" customHeight="1">
      <c r="A309" s="41">
        <f>IF(Local!F309="NA",Local!A309,"")</f>
        <v/>
      </c>
      <c r="B309" s="41">
        <f>IF(Local!F309="NA",Local!B309,"")</f>
        <v/>
      </c>
      <c r="C309" s="41">
        <f>IF(Local!F309="NA",Local!C309,"")</f>
        <v/>
      </c>
    </row>
    <row r="310" hidden="1" ht="72" customHeight="1">
      <c r="A310" s="41">
        <f>IF(Local!F310="NA",Local!A310,"")</f>
        <v/>
      </c>
      <c r="B310" s="41">
        <f>IF(Local!F310="NA",Local!B310,"")</f>
        <v/>
      </c>
      <c r="C310" s="41">
        <f>IF(Local!F310="NA",Local!C310,"")</f>
        <v/>
      </c>
    </row>
    <row r="311" hidden="1" ht="72" customHeight="1">
      <c r="A311" s="41">
        <f>IF(Local!F311="NA",Local!A311,"")</f>
        <v/>
      </c>
      <c r="B311" s="41">
        <f>IF(Local!F311="NA",Local!B311,"")</f>
        <v/>
      </c>
      <c r="C311" s="41">
        <f>IF(Local!F311="NA",Local!C311,"")</f>
        <v/>
      </c>
    </row>
    <row r="312" hidden="1" ht="72" customHeight="1">
      <c r="A312" s="41">
        <f>IF(Local!F312="NA",Local!A312,"")</f>
        <v/>
      </c>
      <c r="B312" s="41">
        <f>IF(Local!F312="NA",Local!B312,"")</f>
        <v/>
      </c>
      <c r="C312" s="41">
        <f>IF(Local!F312="NA",Local!C312,"")</f>
        <v/>
      </c>
    </row>
    <row r="313" hidden="1" ht="72" customHeight="1">
      <c r="A313" s="41">
        <f>IF(Local!F313="NA",Local!A313,"")</f>
        <v/>
      </c>
      <c r="B313" s="41">
        <f>IF(Local!F313="NA",Local!B313,"")</f>
        <v/>
      </c>
      <c r="C313" s="41">
        <f>IF(Local!F313="NA",Local!C313,"")</f>
        <v/>
      </c>
    </row>
    <row r="314" hidden="1" ht="72" customHeight="1">
      <c r="A314" s="41">
        <f>IF(Local!F314="NA",Local!A314,"")</f>
        <v/>
      </c>
      <c r="B314" s="41">
        <f>IF(Local!F314="NA",Local!B314,"")</f>
        <v/>
      </c>
      <c r="C314" s="41">
        <f>IF(Local!F314="NA",Local!C314,"")</f>
        <v/>
      </c>
    </row>
    <row r="315" hidden="1" ht="72" customHeight="1">
      <c r="A315" s="41">
        <f>IF(Local!F315="NA",Local!A315,"")</f>
        <v/>
      </c>
      <c r="B315" s="41">
        <f>IF(Local!F315="NA",Local!B315,"")</f>
        <v/>
      </c>
      <c r="C315" s="41">
        <f>IF(Local!F315="NA",Local!C315,"")</f>
        <v/>
      </c>
    </row>
    <row r="316" hidden="1" ht="72" customHeight="1">
      <c r="A316" s="41">
        <f>IF(Local!F316="NA",Local!A316,"")</f>
        <v/>
      </c>
      <c r="B316" s="41">
        <f>IF(Local!F316="NA",Local!B316,"")</f>
        <v/>
      </c>
      <c r="C316" s="41">
        <f>IF(Local!F316="NA",Local!C316,"")</f>
        <v/>
      </c>
    </row>
    <row r="317" hidden="1" ht="72" customHeight="1">
      <c r="A317" s="41">
        <f>IF(Local!F317="NA",Local!A317,"")</f>
        <v/>
      </c>
      <c r="B317" s="41">
        <f>IF(Local!F317="NA",Local!B317,"")</f>
        <v/>
      </c>
      <c r="C317" s="41">
        <f>IF(Local!F317="NA",Local!C317,"")</f>
        <v/>
      </c>
    </row>
    <row r="318" hidden="1" ht="72" customHeight="1">
      <c r="A318" s="41">
        <f>IF(Local!F318="NA",Local!A318,"")</f>
        <v/>
      </c>
      <c r="B318" s="41">
        <f>IF(Local!F318="NA",Local!B318,"")</f>
        <v/>
      </c>
      <c r="C318" s="41">
        <f>IF(Local!F318="NA",Local!C318,"")</f>
        <v/>
      </c>
    </row>
    <row r="319" hidden="1" ht="72" customHeight="1">
      <c r="A319" s="41">
        <f>IF(Local!F319="NA",Local!A319,"")</f>
        <v/>
      </c>
      <c r="B319" s="41">
        <f>IF(Local!F319="NA",Local!B319,"")</f>
        <v/>
      </c>
      <c r="C319" s="41">
        <f>IF(Local!F319="NA",Local!C319,"")</f>
        <v/>
      </c>
    </row>
    <row r="320" hidden="1" ht="72" customHeight="1">
      <c r="A320" s="41">
        <f>IF(Local!F320="NA",Local!A320,"")</f>
        <v/>
      </c>
      <c r="B320" s="41">
        <f>IF(Local!F320="NA",Local!B320,"")</f>
        <v/>
      </c>
      <c r="C320" s="41">
        <f>IF(Local!F320="NA",Local!C320,"")</f>
        <v/>
      </c>
    </row>
    <row r="321" hidden="1" ht="72" customHeight="1">
      <c r="A321" s="41">
        <f>IF(Local!F321="NA",Local!A321,"")</f>
        <v/>
      </c>
      <c r="B321" s="41">
        <f>IF(Local!F321="NA",Local!B321,"")</f>
        <v/>
      </c>
      <c r="C321" s="41">
        <f>IF(Local!F321="NA",Local!C321,"")</f>
        <v/>
      </c>
    </row>
    <row r="322" hidden="1" ht="72" customHeight="1">
      <c r="A322" s="41">
        <f>IF(Local!F322="NA",Local!A322,"")</f>
        <v/>
      </c>
      <c r="B322" s="41">
        <f>IF(Local!F322="NA",Local!B322,"")</f>
        <v/>
      </c>
      <c r="C322" s="41">
        <f>IF(Local!F322="NA",Local!C322,"")</f>
        <v/>
      </c>
    </row>
    <row r="323" hidden="1" ht="72" customHeight="1">
      <c r="A323" s="41">
        <f>IF(Local!F323="NA",Local!A323,"")</f>
        <v/>
      </c>
      <c r="B323" s="41">
        <f>IF(Local!F323="NA",Local!B323,"")</f>
        <v/>
      </c>
      <c r="C323" s="41">
        <f>IF(Local!F323="NA",Local!C323,"")</f>
        <v/>
      </c>
    </row>
    <row r="324" hidden="1" ht="72" customHeight="1">
      <c r="A324" s="41">
        <f>IF(Local!F324="NA",Local!A324,"")</f>
        <v/>
      </c>
      <c r="B324" s="41">
        <f>IF(Local!F324="NA",Local!B324,"")</f>
        <v/>
      </c>
      <c r="C324" s="41">
        <f>IF(Local!F324="NA",Local!C324,"")</f>
        <v/>
      </c>
    </row>
    <row r="325" hidden="1" ht="72" customHeight="1">
      <c r="A325" s="41">
        <f>IF(Local!F325="NA",Local!A325,"")</f>
        <v/>
      </c>
      <c r="B325" s="41">
        <f>IF(Local!F325="NA",Local!B325,"")</f>
        <v/>
      </c>
      <c r="C325" s="41">
        <f>IF(Local!F325="NA",Local!C325,"")</f>
        <v/>
      </c>
    </row>
    <row r="326" hidden="1" ht="72" customHeight="1">
      <c r="A326" s="41">
        <f>IF(Local!F326="NA",Local!A326,"")</f>
        <v/>
      </c>
      <c r="B326" s="41">
        <f>IF(Local!F326="NA",Local!B326,"")</f>
        <v/>
      </c>
      <c r="C326" s="41">
        <f>IF(Local!F326="NA",Local!C326,"")</f>
        <v/>
      </c>
    </row>
    <row r="327" hidden="1" ht="72" customHeight="1">
      <c r="A327" s="41">
        <f>IF(Local!F327="NA",Local!A327,"")</f>
        <v/>
      </c>
      <c r="B327" s="41">
        <f>IF(Local!F327="NA",Local!B327,"")</f>
        <v/>
      </c>
      <c r="C327" s="41">
        <f>IF(Local!F327="NA",Local!C327,"")</f>
        <v/>
      </c>
    </row>
    <row r="328" hidden="1" ht="72" customHeight="1">
      <c r="A328" s="41">
        <f>IF(Local!F328="NA",Local!A328,"")</f>
        <v/>
      </c>
      <c r="B328" s="41">
        <f>IF(Local!F328="NA",Local!B328,"")</f>
        <v/>
      </c>
      <c r="C328" s="41">
        <f>IF(Local!F328="NA",Local!C328,"")</f>
        <v/>
      </c>
    </row>
    <row r="329" hidden="1" ht="72" customHeight="1">
      <c r="A329" s="41">
        <f>IF(Local!F329="NA",Local!A329,"")</f>
        <v/>
      </c>
      <c r="B329" s="41">
        <f>IF(Local!F329="NA",Local!B329,"")</f>
        <v/>
      </c>
      <c r="C329" s="41">
        <f>IF(Local!F329="NA",Local!C329,"")</f>
        <v/>
      </c>
    </row>
    <row r="330" hidden="1" ht="72" customHeight="1">
      <c r="A330" s="41">
        <f>IF(Local!F330="NA",Local!A330,"")</f>
        <v/>
      </c>
      <c r="B330" s="41">
        <f>IF(Local!F330="NA",Local!B330,"")</f>
        <v/>
      </c>
      <c r="C330" s="41">
        <f>IF(Local!F330="NA",Local!C330,"")</f>
        <v/>
      </c>
    </row>
    <row r="331" hidden="1" ht="72" customHeight="1">
      <c r="A331" s="41">
        <f>IF(Local!F331="NA",Local!A331,"")</f>
        <v/>
      </c>
      <c r="B331" s="41">
        <f>IF(Local!F331="NA",Local!B331,"")</f>
        <v/>
      </c>
      <c r="C331" s="41">
        <f>IF(Local!F331="NA",Local!C331,"")</f>
        <v/>
      </c>
    </row>
    <row r="332" hidden="1" ht="72" customHeight="1">
      <c r="A332" s="41">
        <f>IF(Local!F332="NA",Local!A332,"")</f>
        <v/>
      </c>
      <c r="B332" s="41">
        <f>IF(Local!F332="NA",Local!B332,"")</f>
        <v/>
      </c>
      <c r="C332" s="41">
        <f>IF(Local!F332="NA",Local!C332,"")</f>
        <v/>
      </c>
    </row>
    <row r="333" hidden="1" ht="72" customHeight="1">
      <c r="A333" s="41">
        <f>IF(Local!F333="NA",Local!A333,"")</f>
        <v/>
      </c>
      <c r="B333" s="41">
        <f>IF(Local!F333="NA",Local!B333,"")</f>
        <v/>
      </c>
      <c r="C333" s="41">
        <f>IF(Local!F333="NA",Local!C333,"")</f>
        <v/>
      </c>
    </row>
    <row r="334" hidden="1" ht="72" customHeight="1">
      <c r="A334" s="41">
        <f>IF(Local!F334="NA",Local!A334,"")</f>
        <v/>
      </c>
      <c r="B334" s="41">
        <f>IF(Local!F334="NA",Local!B334,"")</f>
        <v/>
      </c>
      <c r="C334" s="41">
        <f>IF(Local!F334="NA",Local!C334,"")</f>
        <v/>
      </c>
    </row>
    <row r="335" hidden="1" ht="72" customHeight="1">
      <c r="A335" s="41">
        <f>IF(Local!F335="NA",Local!A335,"")</f>
        <v/>
      </c>
      <c r="B335" s="41">
        <f>IF(Local!F335="NA",Local!B335,"")</f>
        <v/>
      </c>
      <c r="C335" s="41">
        <f>IF(Local!F335="NA",Local!C335,"")</f>
        <v/>
      </c>
    </row>
    <row r="336" hidden="1" ht="72" customHeight="1">
      <c r="A336" s="41">
        <f>IF(Local!F336="NA",Local!A336,"")</f>
        <v/>
      </c>
      <c r="B336" s="41">
        <f>IF(Local!F336="NA",Local!B336,"")</f>
        <v/>
      </c>
      <c r="C336" s="41">
        <f>IF(Local!F336="NA",Local!C336,"")</f>
        <v/>
      </c>
    </row>
    <row r="337" hidden="1" ht="72" customHeight="1">
      <c r="A337" s="41">
        <f>IF(Local!F337="NA",Local!A337,"")</f>
        <v/>
      </c>
      <c r="B337" s="41">
        <f>IF(Local!F337="NA",Local!B337,"")</f>
        <v/>
      </c>
      <c r="C337" s="41">
        <f>IF(Local!F337="NA",Local!C337,"")</f>
        <v/>
      </c>
    </row>
    <row r="338" hidden="1" ht="72" customHeight="1">
      <c r="A338" s="41">
        <f>IF(Local!F338="NA",Local!A338,"")</f>
        <v/>
      </c>
      <c r="B338" s="41">
        <f>IF(Local!F338="NA",Local!B338,"")</f>
        <v/>
      </c>
      <c r="C338" s="41">
        <f>IF(Local!F338="NA",Local!C338,"")</f>
        <v/>
      </c>
    </row>
    <row r="339" hidden="1" ht="72" customHeight="1">
      <c r="A339" s="41">
        <f>IF(Local!F339="NA",Local!A339,"")</f>
        <v/>
      </c>
      <c r="B339" s="41">
        <f>IF(Local!F339="NA",Local!B339,"")</f>
        <v/>
      </c>
      <c r="C339" s="41">
        <f>IF(Local!F339="NA",Local!C339,"")</f>
        <v/>
      </c>
    </row>
    <row r="340" hidden="1" ht="72" customHeight="1">
      <c r="A340" s="41">
        <f>IF(Local!F340="NA",Local!A340,"")</f>
        <v/>
      </c>
      <c r="B340" s="41">
        <f>IF(Local!F340="NA",Local!B340,"")</f>
        <v/>
      </c>
      <c r="C340" s="41">
        <f>IF(Local!F340="NA",Local!C340,"")</f>
        <v/>
      </c>
    </row>
    <row r="341" hidden="1" ht="72" customHeight="1">
      <c r="A341" s="41">
        <f>IF(Local!F341="NA",Local!A341,"")</f>
        <v/>
      </c>
      <c r="B341" s="41">
        <f>IF(Local!F341="NA",Local!B341,"")</f>
        <v/>
      </c>
      <c r="C341" s="41">
        <f>IF(Local!F341="NA",Local!C341,"")</f>
        <v/>
      </c>
    </row>
    <row r="342" hidden="1" ht="72" customHeight="1">
      <c r="A342" s="41">
        <f>IF(Local!F342="NA",Local!A342,"")</f>
        <v/>
      </c>
      <c r="B342" s="41">
        <f>IF(Local!F342="NA",Local!B342,"")</f>
        <v/>
      </c>
      <c r="C342" s="41">
        <f>IF(Local!F342="NA",Local!C342,"")</f>
        <v/>
      </c>
    </row>
    <row r="343" hidden="1" ht="72" customHeight="1">
      <c r="A343" s="41">
        <f>IF(Local!F343="NA",Local!A343,"")</f>
        <v/>
      </c>
      <c r="B343" s="41">
        <f>IF(Local!F343="NA",Local!B343,"")</f>
        <v/>
      </c>
      <c r="C343" s="41">
        <f>IF(Local!F343="NA",Local!C343,"")</f>
        <v/>
      </c>
    </row>
    <row r="344" hidden="1" ht="72" customHeight="1"/>
    <row r="345" hidden="1" ht="72" customHeight="1"/>
    <row r="346" hidden="1" ht="72" customHeight="1"/>
    <row r="347" hidden="1" ht="72" customHeight="1"/>
    <row r="348" hidden="1" ht="72" customHeight="1"/>
    <row r="349" hidden="1" ht="72" customHeight="1"/>
    <row r="350" hidden="1" ht="72" customHeight="1"/>
    <row r="351" hidden="1" ht="72" customHeight="1"/>
    <row r="352" hidden="1" ht="72" customHeight="1"/>
    <row r="353" hidden="1" ht="72" customHeight="1"/>
    <row r="354" hidden="1" ht="72" customHeight="1"/>
    <row r="355" hidden="1" ht="72" customHeight="1"/>
    <row r="356" hidden="1" ht="72" customHeight="1"/>
    <row r="357" hidden="1" ht="72" customHeight="1"/>
    <row r="358" hidden="1" ht="72" customHeight="1"/>
    <row r="359" hidden="1" ht="72" customHeight="1"/>
    <row r="360" hidden="1" ht="72" customHeight="1"/>
    <row r="361" hidden="1" ht="72" customHeight="1"/>
    <row r="362" hidden="1" ht="72" customHeight="1"/>
    <row r="363" hidden="1" ht="72" customHeight="1"/>
    <row r="364" hidden="1" ht="72" customHeight="1"/>
    <row r="365" hidden="1" ht="72" customHeight="1"/>
    <row r="366" hidden="1" ht="72" customHeight="1"/>
    <row r="367" hidden="1" ht="72" customHeight="1"/>
    <row r="368" hidden="1" ht="72" customHeight="1"/>
    <row r="369" hidden="1" ht="72" customHeight="1"/>
    <row r="370" hidden="1" ht="72" customHeight="1"/>
    <row r="371" hidden="1" ht="72" customHeight="1"/>
    <row r="372" hidden="1" ht="72" customHeight="1"/>
    <row r="373" hidden="1" ht="72" customHeight="1"/>
    <row r="374" hidden="1" ht="72" customHeight="1"/>
    <row r="375" hidden="1" ht="72" customHeight="1"/>
    <row r="376" hidden="1" ht="72" customHeight="1"/>
    <row r="377" hidden="1" ht="72" customHeight="1"/>
    <row r="378" hidden="1" ht="72" customHeight="1"/>
    <row r="379" hidden="1" ht="72" customHeight="1"/>
    <row r="380" hidden="1" ht="72" customHeight="1"/>
    <row r="381" hidden="1" ht="72" customHeight="1"/>
    <row r="382" hidden="1" ht="72" customHeight="1"/>
    <row r="383" hidden="1" ht="72" customHeight="1"/>
    <row r="384" hidden="1" ht="72" customHeight="1"/>
    <row r="385" hidden="1" ht="72" customHeight="1"/>
    <row r="386" hidden="1" ht="72" customHeight="1"/>
    <row r="387" hidden="1" ht="72" customHeight="1"/>
    <row r="388" hidden="1" ht="72" customHeight="1"/>
    <row r="389" hidden="1" ht="72" customHeight="1"/>
    <row r="390" hidden="1" ht="72" customHeight="1"/>
    <row r="391" hidden="1" ht="72" customHeight="1"/>
    <row r="392" hidden="1" ht="72" customHeight="1"/>
    <row r="393" hidden="1" ht="72" customHeight="1"/>
    <row r="394" hidden="1" ht="72" customHeight="1"/>
    <row r="395" hidden="1" ht="72" customHeight="1"/>
    <row r="396" hidden="1" ht="72" customHeight="1"/>
    <row r="397" hidden="1" ht="72" customHeight="1"/>
    <row r="398" hidden="1" ht="72" customHeight="1"/>
    <row r="399" hidden="1" ht="72" customHeight="1"/>
    <row r="400" hidden="1" ht="72" customHeight="1"/>
    <row r="401" hidden="1" ht="72" customHeight="1"/>
    <row r="402" hidden="1" ht="72" customHeight="1"/>
    <row r="403" hidden="1" ht="72" customHeight="1"/>
    <row r="404" hidden="1" ht="72" customHeight="1"/>
    <row r="405" hidden="1" ht="72" customHeight="1"/>
    <row r="406" hidden="1" ht="72" customHeight="1"/>
    <row r="407" hidden="1" ht="72" customHeight="1"/>
    <row r="408" hidden="1" ht="72" customHeight="1"/>
    <row r="409" hidden="1" ht="72" customHeight="1"/>
    <row r="410" hidden="1" ht="72" customHeight="1"/>
    <row r="411" hidden="1" ht="72" customHeight="1"/>
    <row r="412" hidden="1" ht="72" customHeight="1"/>
    <row r="413" hidden="1" ht="72" customHeight="1"/>
    <row r="414" hidden="1" ht="72" customHeight="1"/>
    <row r="415" hidden="1" ht="72" customHeight="1"/>
    <row r="416" hidden="1" ht="72" customHeight="1"/>
    <row r="417" hidden="1" ht="72" customHeight="1"/>
    <row r="418" hidden="1" ht="72" customHeight="1"/>
    <row r="419" hidden="1" ht="72" customHeight="1"/>
    <row r="420" hidden="1" ht="72" customHeight="1"/>
    <row r="421" hidden="1" ht="72" customHeight="1"/>
    <row r="422" hidden="1" ht="72" customHeight="1"/>
    <row r="423" hidden="1" ht="72" customHeight="1"/>
    <row r="424" hidden="1" ht="72" customHeight="1"/>
    <row r="425" hidden="1" ht="72" customHeight="1"/>
    <row r="426" hidden="1" ht="72" customHeight="1"/>
    <row r="427" hidden="1" ht="72" customHeight="1"/>
    <row r="428" hidden="1" ht="72" customHeight="1"/>
    <row r="429" hidden="1" ht="72" customHeight="1"/>
    <row r="430" hidden="1" ht="72" customHeight="1"/>
    <row r="431" hidden="1" ht="72" customHeight="1"/>
    <row r="432" hidden="1" ht="72" customHeight="1"/>
    <row r="433" hidden="1" ht="72" customHeight="1"/>
    <row r="434" hidden="1" ht="72" customHeight="1"/>
    <row r="435" hidden="1" ht="72" customHeight="1"/>
    <row r="436" hidden="1" ht="72" customHeight="1"/>
    <row r="437" hidden="1" ht="72" customHeight="1"/>
    <row r="438" hidden="1" ht="72" customHeight="1"/>
    <row r="439" hidden="1" ht="72" customHeight="1"/>
    <row r="440" hidden="1" ht="72" customHeight="1"/>
    <row r="441" hidden="1" ht="72" customHeight="1"/>
    <row r="442" hidden="1" ht="72" customHeight="1"/>
    <row r="443" hidden="1" ht="72" customHeight="1"/>
    <row r="444" hidden="1" ht="72" customHeight="1"/>
    <row r="445" hidden="1" ht="72" customHeight="1"/>
    <row r="446" hidden="1" ht="72" customHeight="1"/>
    <row r="447" hidden="1" ht="72" customHeight="1"/>
    <row r="448" hidden="1" ht="72" customHeight="1"/>
    <row r="449" hidden="1" ht="72" customHeight="1"/>
    <row r="450" hidden="1" ht="72" customHeight="1"/>
    <row r="451" hidden="1" ht="72" customHeight="1"/>
    <row r="452" hidden="1" ht="72" customHeight="1"/>
    <row r="453" hidden="1" ht="72" customHeight="1"/>
    <row r="454" hidden="1" ht="72" customHeight="1"/>
    <row r="455" hidden="1" ht="72" customHeight="1"/>
    <row r="456" hidden="1" ht="72" customHeight="1"/>
    <row r="457" hidden="1" ht="72" customHeight="1"/>
    <row r="458" hidden="1" ht="72" customHeight="1"/>
    <row r="459" hidden="1" ht="72" customHeight="1"/>
    <row r="460" hidden="1" ht="72" customHeight="1"/>
    <row r="461" hidden="1" ht="72" customHeight="1"/>
    <row r="462" hidden="1" ht="72" customHeight="1"/>
    <row r="463" hidden="1" ht="72" customHeight="1"/>
    <row r="464" hidden="1" ht="72" customHeight="1"/>
    <row r="465" hidden="1" ht="72" customHeight="1"/>
    <row r="466" hidden="1" ht="72" customHeight="1"/>
    <row r="467" hidden="1" ht="72" customHeight="1"/>
    <row r="468" hidden="1" ht="72" customHeight="1"/>
    <row r="469" hidden="1" ht="72" customHeight="1"/>
    <row r="470" hidden="1" ht="72" customHeight="1"/>
    <row r="471" hidden="1" ht="72" customHeight="1"/>
    <row r="472" hidden="1" ht="72" customHeight="1"/>
    <row r="473" hidden="1" ht="72" customHeight="1"/>
    <row r="474" hidden="1" ht="72" customHeight="1"/>
    <row r="475" hidden="1" ht="72" customHeight="1"/>
    <row r="476" hidden="1" ht="72" customHeight="1"/>
    <row r="477" hidden="1" ht="72" customHeight="1"/>
    <row r="478" hidden="1" ht="72" customHeight="1"/>
    <row r="479" hidden="1" ht="72" customHeight="1"/>
    <row r="480" hidden="1" ht="72" customHeight="1"/>
    <row r="481" hidden="1" ht="72" customHeight="1"/>
    <row r="482" hidden="1" ht="72" customHeight="1"/>
    <row r="483" hidden="1" ht="72" customHeight="1"/>
    <row r="484" hidden="1" ht="72" customHeight="1"/>
    <row r="485" hidden="1" ht="72" customHeight="1"/>
    <row r="486" hidden="1" ht="72" customHeight="1"/>
    <row r="487" hidden="1" ht="72" customHeight="1"/>
    <row r="488" hidden="1" ht="72" customHeight="1"/>
    <row r="489" hidden="1" ht="72" customHeight="1"/>
    <row r="490" hidden="1" ht="72" customHeight="1"/>
    <row r="491" hidden="1" ht="72" customHeight="1"/>
    <row r="492" hidden="1" ht="72" customHeight="1"/>
    <row r="493" hidden="1" ht="72" customHeight="1"/>
    <row r="494" hidden="1" ht="72" customHeight="1"/>
    <row r="495" hidden="1" ht="72" customHeight="1"/>
    <row r="496" hidden="1" ht="72" customHeight="1"/>
    <row r="497" hidden="1" ht="72" customHeight="1"/>
    <row r="498" hidden="1" ht="72" customHeight="1"/>
    <row r="499" hidden="1" ht="72" customHeight="1"/>
    <row r="500" hidden="1" ht="72" customHeight="1"/>
    <row r="501" hidden="1" ht="72" customHeight="1"/>
    <row r="502" hidden="1" ht="72" customHeight="1"/>
    <row r="503" hidden="1" ht="72" customHeight="1"/>
    <row r="504" hidden="1" ht="72" customHeight="1"/>
    <row r="505" hidden="1" ht="72" customHeight="1"/>
    <row r="506" hidden="1" ht="72" customHeight="1"/>
    <row r="507" hidden="1" ht="72" customHeight="1"/>
    <row r="508" hidden="1" ht="72" customHeight="1"/>
    <row r="509" hidden="1" ht="72" customHeight="1"/>
    <row r="510" hidden="1" ht="72" customHeight="1"/>
    <row r="511" hidden="1" ht="72" customHeight="1"/>
    <row r="512" hidden="1" ht="72" customHeight="1"/>
    <row r="513" hidden="1" ht="72" customHeight="1"/>
    <row r="514" hidden="1" ht="72" customHeight="1"/>
    <row r="515" hidden="1" ht="72" customHeight="1"/>
    <row r="516" hidden="1" ht="72" customHeight="1"/>
    <row r="517" hidden="1" ht="72" customHeight="1"/>
    <row r="518" hidden="1" ht="72" customHeight="1"/>
    <row r="519" hidden="1" ht="72" customHeight="1"/>
    <row r="520" hidden="1" ht="72" customHeight="1"/>
    <row r="521" hidden="1" ht="72" customHeight="1"/>
    <row r="522" hidden="1" ht="72" customHeight="1"/>
    <row r="523" hidden="1" ht="72" customHeight="1"/>
    <row r="524" hidden="1" ht="72" customHeight="1"/>
    <row r="525" hidden="1" ht="72" customHeight="1"/>
    <row r="526" hidden="1" ht="72" customHeight="1"/>
    <row r="527" hidden="1" ht="72" customHeight="1"/>
    <row r="528" hidden="1" ht="72" customHeight="1"/>
    <row r="529" hidden="1" ht="72" customHeight="1"/>
    <row r="530" hidden="1" ht="72" customHeight="1"/>
    <row r="531" hidden="1" ht="72" customHeight="1"/>
    <row r="532" hidden="1" ht="72" customHeight="1"/>
    <row r="533" hidden="1" ht="72" customHeight="1"/>
    <row r="534" hidden="1" ht="72" customHeight="1"/>
    <row r="535" hidden="1" ht="72" customHeight="1"/>
    <row r="536" hidden="1" ht="72" customHeight="1"/>
    <row r="537" hidden="1" ht="72" customHeight="1"/>
    <row r="538" hidden="1" ht="72" customHeight="1"/>
    <row r="539" hidden="1" ht="72" customHeight="1"/>
    <row r="540" hidden="1" ht="72" customHeight="1"/>
    <row r="541" hidden="1" ht="72" customHeight="1"/>
    <row r="542" hidden="1" ht="72" customHeight="1"/>
    <row r="543" hidden="1" ht="72" customHeight="1"/>
    <row r="544" hidden="1" ht="72" customHeight="1"/>
    <row r="545" hidden="1" ht="72" customHeight="1"/>
    <row r="546" hidden="1" ht="72" customHeight="1"/>
    <row r="547" hidden="1" ht="72" customHeight="1"/>
    <row r="548" hidden="1" ht="72" customHeight="1"/>
    <row r="549" hidden="1" ht="72" customHeight="1"/>
    <row r="550" hidden="1" ht="72" customHeight="1"/>
    <row r="551" hidden="1" ht="72" customHeight="1"/>
    <row r="552" hidden="1" ht="72" customHeight="1"/>
    <row r="553" hidden="1" ht="72" customHeight="1"/>
    <row r="554" hidden="1" ht="72" customHeight="1"/>
    <row r="555" hidden="1" ht="72" customHeight="1"/>
    <row r="556" hidden="1" ht="72" customHeight="1"/>
    <row r="557" hidden="1" ht="72" customHeight="1"/>
    <row r="558" hidden="1" ht="72" customHeight="1"/>
    <row r="559" hidden="1" ht="72" customHeight="1"/>
    <row r="560" hidden="1" ht="72" customHeight="1"/>
    <row r="561" hidden="1" ht="72" customHeight="1"/>
    <row r="562" hidden="1" ht="72" customHeight="1"/>
    <row r="563" hidden="1" ht="72" customHeight="1"/>
    <row r="564" hidden="1" ht="72" customHeight="1"/>
    <row r="565" hidden="1" ht="72" customHeight="1"/>
    <row r="566" hidden="1" ht="72" customHeight="1"/>
    <row r="567" hidden="1" ht="72" customHeight="1"/>
    <row r="568" hidden="1" ht="72" customHeight="1"/>
    <row r="569" hidden="1" ht="72" customHeight="1"/>
    <row r="570" hidden="1" ht="72" customHeight="1"/>
    <row r="571" hidden="1" ht="72" customHeight="1"/>
    <row r="572" hidden="1" ht="72" customHeight="1"/>
    <row r="573" hidden="1" ht="72" customHeight="1"/>
    <row r="574" hidden="1" ht="72" customHeight="1"/>
    <row r="575" hidden="1" ht="72" customHeight="1"/>
    <row r="576" hidden="1" ht="72" customHeight="1"/>
    <row r="577" hidden="1" ht="72" customHeight="1"/>
    <row r="578" hidden="1" ht="72" customHeight="1"/>
    <row r="579" hidden="1" ht="72" customHeight="1"/>
    <row r="580" hidden="1" ht="72" customHeight="1"/>
    <row r="581" hidden="1" ht="72" customHeight="1"/>
    <row r="582" hidden="1" ht="72" customHeight="1"/>
    <row r="583" hidden="1" ht="72" customHeight="1"/>
    <row r="584" hidden="1" ht="72" customHeight="1"/>
    <row r="585" hidden="1" ht="72" customHeight="1"/>
    <row r="586" hidden="1" ht="72" customHeight="1"/>
    <row r="587" hidden="1" ht="72" customHeight="1"/>
    <row r="588" hidden="1" ht="72" customHeight="1"/>
    <row r="589" hidden="1" ht="72" customHeight="1"/>
    <row r="590" hidden="1" ht="72" customHeight="1"/>
    <row r="591" hidden="1" ht="72" customHeight="1"/>
    <row r="592" hidden="1" ht="72" customHeight="1"/>
    <row r="593" hidden="1" ht="72" customHeight="1"/>
    <row r="594" hidden="1" ht="72" customHeight="1"/>
    <row r="595" hidden="1" ht="72" customHeight="1"/>
    <row r="596" hidden="1" ht="72" customHeight="1"/>
    <row r="597" hidden="1" ht="72" customHeight="1"/>
    <row r="598" hidden="1" ht="72" customHeight="1"/>
    <row r="599" hidden="1" ht="72" customHeight="1"/>
    <row r="600" hidden="1" ht="72" customHeight="1"/>
    <row r="601" hidden="1" ht="72" customHeight="1"/>
    <row r="602" hidden="1" ht="72" customHeight="1"/>
    <row r="603" hidden="1" ht="72" customHeight="1"/>
    <row r="604" hidden="1" ht="72" customHeight="1"/>
    <row r="605" hidden="1" ht="72" customHeight="1"/>
    <row r="606" hidden="1" ht="72" customHeight="1"/>
    <row r="607" hidden="1" ht="72" customHeight="1"/>
    <row r="608" hidden="1" ht="72" customHeight="1"/>
    <row r="609" hidden="1" ht="72" customHeight="1"/>
    <row r="610" hidden="1" ht="72" customHeight="1"/>
    <row r="611" hidden="1" ht="72" customHeight="1"/>
    <row r="612" hidden="1" ht="72" customHeight="1"/>
    <row r="613" hidden="1" ht="72" customHeight="1"/>
    <row r="614" hidden="1" ht="72" customHeight="1"/>
    <row r="615" hidden="1" ht="72" customHeight="1"/>
    <row r="616" hidden="1" ht="72" customHeight="1"/>
    <row r="617" hidden="1" ht="72" customHeight="1"/>
    <row r="618" hidden="1" ht="72" customHeight="1"/>
    <row r="619" hidden="1" ht="72" customHeight="1"/>
    <row r="620" hidden="1" ht="72" customHeight="1"/>
    <row r="621" hidden="1" ht="72" customHeight="1"/>
    <row r="622" hidden="1" ht="72" customHeight="1"/>
    <row r="623" hidden="1" ht="72" customHeight="1"/>
    <row r="624" hidden="1" ht="72" customHeight="1"/>
    <row r="625" hidden="1" ht="72" customHeight="1"/>
    <row r="626" hidden="1" ht="72" customHeight="1"/>
    <row r="627" hidden="1" ht="72" customHeight="1"/>
    <row r="628" hidden="1" ht="72" customHeight="1"/>
    <row r="629" hidden="1" ht="72" customHeight="1"/>
    <row r="630" hidden="1" ht="72" customHeight="1"/>
    <row r="631" hidden="1" ht="72" customHeight="1"/>
    <row r="632" hidden="1" ht="72" customHeight="1"/>
    <row r="633" hidden="1" ht="72" customHeight="1"/>
    <row r="634" hidden="1" ht="72" customHeight="1"/>
    <row r="635" hidden="1" ht="72" customHeight="1"/>
    <row r="636" hidden="1" ht="72" customHeight="1"/>
    <row r="637" hidden="1" ht="72" customHeight="1"/>
    <row r="638" hidden="1" ht="72" customHeight="1"/>
    <row r="639" hidden="1" ht="72" customHeight="1"/>
    <row r="640" hidden="1" ht="72" customHeight="1"/>
    <row r="641" hidden="1" ht="72" customHeight="1"/>
    <row r="642" hidden="1" ht="72" customHeight="1"/>
    <row r="643" hidden="1" ht="72" customHeight="1"/>
    <row r="644" hidden="1" ht="72" customHeight="1"/>
    <row r="645" hidden="1" ht="72" customHeight="1"/>
    <row r="646" hidden="1" ht="72" customHeight="1"/>
    <row r="647" hidden="1" ht="72" customHeight="1"/>
    <row r="648" hidden="1" ht="72" customHeight="1"/>
    <row r="649" hidden="1" ht="72" customHeight="1"/>
    <row r="650" hidden="1" ht="72" customHeight="1"/>
    <row r="651" hidden="1" ht="72" customHeight="1"/>
    <row r="652" hidden="1" ht="72" customHeight="1"/>
    <row r="653" hidden="1" ht="72" customHeight="1"/>
    <row r="654" hidden="1" ht="72" customHeight="1"/>
    <row r="655" hidden="1" ht="72" customHeight="1"/>
    <row r="656" hidden="1" ht="72" customHeight="1"/>
    <row r="657" hidden="1" ht="72" customHeight="1"/>
    <row r="658" hidden="1" ht="72" customHeight="1"/>
    <row r="659" hidden="1" ht="72" customHeight="1"/>
    <row r="660" hidden="1" ht="72" customHeight="1"/>
    <row r="661" hidden="1" ht="72" customHeight="1"/>
    <row r="662" hidden="1" ht="72" customHeight="1"/>
    <row r="663" hidden="1" ht="72" customHeight="1"/>
    <row r="664" hidden="1" ht="72" customHeight="1"/>
    <row r="665" hidden="1" ht="72" customHeight="1"/>
    <row r="666" hidden="1" ht="72" customHeight="1"/>
    <row r="667" hidden="1" ht="72" customHeight="1"/>
    <row r="668" hidden="1" ht="72" customHeight="1"/>
    <row r="669" hidden="1" ht="72" customHeight="1"/>
    <row r="670" hidden="1" ht="72" customHeight="1"/>
    <row r="671" hidden="1" ht="72" customHeight="1"/>
    <row r="672" hidden="1" ht="72" customHeight="1"/>
    <row r="673" hidden="1" ht="72" customHeight="1"/>
    <row r="674" hidden="1" ht="72" customHeight="1"/>
    <row r="675" hidden="1" ht="72" customHeight="1"/>
    <row r="676" hidden="1" ht="72" customHeight="1"/>
    <row r="677" hidden="1" ht="72" customHeight="1"/>
    <row r="678" hidden="1" ht="72" customHeight="1"/>
    <row r="679" hidden="1" ht="72" customHeight="1"/>
    <row r="680" hidden="1" ht="72" customHeight="1"/>
    <row r="681" hidden="1" ht="72" customHeight="1"/>
    <row r="682" hidden="1" ht="72" customHeight="1"/>
    <row r="683" hidden="1" ht="72" customHeight="1"/>
    <row r="684" hidden="1" ht="72" customHeight="1"/>
    <row r="685" hidden="1" ht="72" customHeight="1"/>
    <row r="686" hidden="1" ht="72" customHeight="1"/>
    <row r="687" hidden="1" ht="72" customHeight="1"/>
    <row r="688" hidden="1" ht="72" customHeight="1"/>
    <row r="689" hidden="1" ht="72" customHeight="1"/>
    <row r="690" hidden="1" ht="72" customHeight="1"/>
    <row r="691" hidden="1" ht="72" customHeight="1"/>
    <row r="692" hidden="1" ht="72" customHeight="1"/>
    <row r="693" hidden="1" ht="72" customHeight="1"/>
    <row r="694" hidden="1" ht="72" customHeight="1"/>
    <row r="695" hidden="1" ht="72" customHeight="1"/>
    <row r="696" hidden="1" ht="72" customHeight="1"/>
    <row r="697" hidden="1" ht="72" customHeight="1"/>
    <row r="698" hidden="1" ht="72" customHeight="1"/>
    <row r="699" hidden="1" ht="72" customHeight="1"/>
    <row r="700" hidden="1" ht="72" customHeight="1"/>
    <row r="701" hidden="1" ht="72" customHeight="1"/>
    <row r="702" hidden="1" ht="72" customHeight="1"/>
    <row r="703" hidden="1" ht="72" customHeight="1"/>
    <row r="704" hidden="1" ht="72" customHeight="1"/>
    <row r="705" hidden="1" ht="72" customHeight="1"/>
    <row r="706" hidden="1" ht="72" customHeight="1"/>
    <row r="707" hidden="1" ht="72" customHeight="1"/>
    <row r="708" hidden="1" ht="72" customHeight="1"/>
    <row r="709" hidden="1" ht="72" customHeight="1"/>
    <row r="710" hidden="1" ht="72" customHeight="1"/>
    <row r="711" hidden="1" ht="72" customHeight="1"/>
    <row r="712" hidden="1" ht="72" customHeight="1"/>
    <row r="713" hidden="1" ht="72" customHeight="1"/>
    <row r="714" hidden="1" ht="72" customHeight="1"/>
    <row r="715" hidden="1" ht="72" customHeight="1"/>
    <row r="716" hidden="1" ht="72" customHeight="1"/>
    <row r="717" hidden="1" ht="72" customHeight="1"/>
    <row r="718" hidden="1" ht="72" customHeight="1"/>
    <row r="719" hidden="1" ht="72" customHeight="1"/>
    <row r="720" hidden="1" ht="72" customHeight="1"/>
    <row r="721" hidden="1" ht="72" customHeight="1"/>
    <row r="722" hidden="1" ht="72" customHeight="1"/>
    <row r="723" hidden="1" ht="72" customHeight="1"/>
    <row r="724" hidden="1" ht="72" customHeight="1"/>
    <row r="725" hidden="1" ht="72" customHeight="1"/>
    <row r="726" hidden="1" ht="72" customHeight="1"/>
    <row r="727" hidden="1" ht="72" customHeight="1"/>
    <row r="728" hidden="1" ht="72" customHeight="1"/>
    <row r="729" hidden="1" ht="72" customHeight="1"/>
    <row r="730" hidden="1" ht="72" customHeight="1"/>
    <row r="731" hidden="1" ht="72" customHeight="1"/>
    <row r="732" hidden="1" ht="72" customHeight="1"/>
    <row r="733" hidden="1" ht="72" customHeight="1"/>
    <row r="734" hidden="1" ht="72" customHeight="1"/>
    <row r="735" hidden="1" ht="72" customHeight="1"/>
    <row r="736" hidden="1" ht="72" customHeight="1"/>
    <row r="737" hidden="1" ht="72" customHeight="1"/>
    <row r="738" hidden="1" ht="72" customHeight="1"/>
    <row r="739" hidden="1" ht="72" customHeight="1"/>
    <row r="740" hidden="1" ht="72" customHeight="1"/>
    <row r="741" hidden="1" ht="72" customHeight="1"/>
    <row r="742" hidden="1" ht="72" customHeight="1"/>
    <row r="743" hidden="1" ht="72" customHeight="1"/>
    <row r="744" hidden="1" ht="72" customHeight="1"/>
    <row r="745" hidden="1" ht="72" customHeight="1"/>
    <row r="746" hidden="1" ht="72" customHeight="1"/>
    <row r="747" hidden="1" ht="72" customHeight="1"/>
    <row r="748" hidden="1" ht="72" customHeight="1"/>
    <row r="749" hidden="1" ht="72" customHeight="1"/>
    <row r="750" hidden="1" ht="72" customHeight="1"/>
    <row r="751" hidden="1" ht="72" customHeight="1"/>
    <row r="752" hidden="1" ht="72" customHeight="1"/>
    <row r="753" hidden="1" ht="72" customHeight="1"/>
    <row r="754" hidden="1" ht="72" customHeight="1"/>
    <row r="755" hidden="1" ht="72" customHeight="1"/>
    <row r="756" hidden="1" ht="72" customHeight="1"/>
    <row r="757" hidden="1" ht="72" customHeight="1"/>
    <row r="758" hidden="1" ht="72" customHeight="1"/>
    <row r="759" hidden="1" ht="72" customHeight="1"/>
    <row r="760" hidden="1" ht="72" customHeight="1"/>
    <row r="761" hidden="1" ht="72" customHeight="1"/>
    <row r="762" hidden="1" ht="72" customHeight="1"/>
    <row r="763" hidden="1" ht="72" customHeight="1"/>
    <row r="764" hidden="1" ht="72" customHeight="1"/>
    <row r="765" hidden="1" ht="72" customHeight="1"/>
    <row r="766" hidden="1" ht="72" customHeight="1"/>
    <row r="767" hidden="1" ht="72" customHeight="1"/>
    <row r="768" hidden="1" ht="72" customHeight="1"/>
    <row r="769" hidden="1" ht="72" customHeight="1"/>
    <row r="770" hidden="1" ht="72" customHeight="1"/>
    <row r="771" hidden="1" ht="72" customHeight="1"/>
    <row r="772" hidden="1" ht="72" customHeight="1"/>
    <row r="773" hidden="1" ht="72" customHeight="1"/>
    <row r="774" hidden="1" ht="72" customHeight="1"/>
    <row r="775" hidden="1" ht="72" customHeight="1"/>
    <row r="776" hidden="1" ht="72" customHeight="1"/>
    <row r="777" hidden="1" ht="72" customHeight="1"/>
    <row r="778" hidden="1" ht="72" customHeight="1"/>
    <row r="779" hidden="1" ht="72" customHeight="1"/>
    <row r="780" hidden="1" ht="72" customHeight="1"/>
    <row r="781" hidden="1" ht="72" customHeight="1"/>
    <row r="782" hidden="1" ht="72" customHeight="1"/>
    <row r="783" hidden="1" ht="72" customHeight="1"/>
    <row r="784" hidden="1" ht="72" customHeight="1"/>
    <row r="785" hidden="1" ht="72" customHeight="1"/>
    <row r="786" hidden="1" ht="72" customHeight="1"/>
    <row r="787" hidden="1" ht="72" customHeight="1"/>
    <row r="788" hidden="1" ht="72" customHeight="1"/>
    <row r="789" hidden="1" ht="72" customHeight="1"/>
    <row r="790" hidden="1" ht="72" customHeight="1"/>
    <row r="791" hidden="1" ht="72" customHeight="1"/>
    <row r="792" hidden="1" ht="72" customHeight="1"/>
    <row r="793" hidden="1" ht="72" customHeight="1"/>
    <row r="794" hidden="1" ht="72" customHeight="1"/>
    <row r="795" hidden="1" ht="72" customHeight="1"/>
    <row r="796" hidden="1" ht="72" customHeight="1"/>
    <row r="797" hidden="1" ht="72" customHeight="1"/>
    <row r="798" hidden="1" ht="72" customHeight="1"/>
    <row r="799" hidden="1" ht="72" customHeight="1"/>
    <row r="800" hidden="1" ht="72" customHeight="1"/>
    <row r="801" hidden="1" ht="72" customHeight="1"/>
    <row r="802" hidden="1" ht="72" customHeight="1"/>
    <row r="803" hidden="1" ht="72" customHeight="1"/>
    <row r="804" hidden="1" ht="72" customHeight="1"/>
    <row r="805" hidden="1" ht="72" customHeight="1"/>
    <row r="806" hidden="1" ht="72" customHeight="1"/>
    <row r="807" hidden="1" ht="72" customHeight="1"/>
    <row r="808" hidden="1" ht="72" customHeight="1"/>
    <row r="809" hidden="1" ht="72" customHeight="1"/>
    <row r="810" hidden="1" ht="72" customHeight="1"/>
    <row r="811" hidden="1" ht="72" customHeight="1"/>
    <row r="812" hidden="1" ht="72" customHeight="1"/>
    <row r="813" hidden="1" ht="72" customHeight="1"/>
    <row r="814" hidden="1" ht="72" customHeight="1"/>
    <row r="815" hidden="1" ht="72" customHeight="1"/>
    <row r="816" hidden="1" ht="72" customHeight="1"/>
    <row r="817" hidden="1" ht="72" customHeight="1"/>
    <row r="818" hidden="1" ht="72" customHeight="1"/>
    <row r="819" hidden="1" ht="72" customHeight="1"/>
    <row r="820" hidden="1" ht="72" customHeight="1"/>
    <row r="821" hidden="1" ht="72" customHeight="1"/>
    <row r="822" hidden="1" ht="72" customHeight="1"/>
    <row r="823" hidden="1" ht="72" customHeight="1"/>
    <row r="824" hidden="1" ht="72" customHeight="1"/>
    <row r="825" hidden="1" ht="72" customHeight="1"/>
    <row r="826" hidden="1" ht="72" customHeight="1"/>
    <row r="827" hidden="1" ht="72" customHeight="1"/>
    <row r="828" hidden="1" ht="72" customHeight="1"/>
    <row r="829" hidden="1" ht="72" customHeight="1"/>
    <row r="830" hidden="1" ht="72" customHeight="1"/>
    <row r="831" hidden="1" ht="72" customHeight="1"/>
    <row r="832" hidden="1" ht="72" customHeight="1"/>
    <row r="833" hidden="1" ht="72" customHeight="1"/>
    <row r="834" hidden="1" ht="72" customHeight="1"/>
    <row r="835" hidden="1" ht="72" customHeight="1"/>
    <row r="836" hidden="1" ht="72" customHeight="1"/>
    <row r="837" hidden="1" ht="72" customHeight="1"/>
    <row r="838" hidden="1" ht="72" customHeight="1"/>
    <row r="839" hidden="1" ht="72" customHeight="1"/>
    <row r="840" hidden="1" ht="72" customHeight="1"/>
    <row r="841" hidden="1" ht="72" customHeight="1"/>
    <row r="842" hidden="1" ht="72" customHeight="1"/>
    <row r="843" hidden="1" ht="72" customHeight="1"/>
    <row r="844" hidden="1" ht="72" customHeight="1"/>
    <row r="845" hidden="1" ht="72" customHeight="1"/>
    <row r="846" hidden="1" ht="72" customHeight="1"/>
    <row r="847" hidden="1" ht="72" customHeight="1"/>
    <row r="848" hidden="1" ht="72" customHeight="1"/>
    <row r="849" hidden="1" ht="72" customHeight="1"/>
    <row r="850" hidden="1" ht="72" customHeight="1"/>
    <row r="851" hidden="1" ht="72" customHeight="1"/>
    <row r="852" hidden="1" ht="72" customHeight="1"/>
    <row r="853" hidden="1" ht="72" customHeight="1"/>
    <row r="854" hidden="1" ht="72" customHeight="1"/>
    <row r="855" hidden="1" ht="72" customHeight="1"/>
    <row r="856" hidden="1" ht="72" customHeight="1"/>
    <row r="857" hidden="1" ht="72" customHeight="1"/>
    <row r="858" hidden="1" ht="72" customHeight="1"/>
    <row r="859" hidden="1" ht="72" customHeight="1"/>
    <row r="860" hidden="1" ht="72" customHeight="1"/>
    <row r="861" hidden="1" ht="72" customHeight="1"/>
    <row r="862" hidden="1" ht="72" customHeight="1"/>
    <row r="863" hidden="1" ht="72" customHeight="1"/>
    <row r="864" hidden="1" ht="72" customHeight="1"/>
    <row r="865" hidden="1" ht="72" customHeight="1"/>
    <row r="866" hidden="1" ht="72" customHeight="1"/>
    <row r="867" hidden="1" ht="72" customHeight="1"/>
    <row r="868" hidden="1" ht="72" customHeight="1"/>
    <row r="869" hidden="1" ht="72" customHeight="1"/>
    <row r="870" hidden="1" ht="72" customHeight="1"/>
    <row r="871" hidden="1" ht="72" customHeight="1"/>
    <row r="872" hidden="1" ht="72" customHeight="1"/>
    <row r="873" hidden="1" ht="72" customHeight="1"/>
    <row r="874" hidden="1" ht="72" customHeight="1"/>
    <row r="875" hidden="1" ht="72" customHeight="1"/>
    <row r="876" hidden="1" ht="72" customHeight="1"/>
    <row r="877" hidden="1" ht="72" customHeight="1"/>
    <row r="878" hidden="1" ht="72" customHeight="1"/>
    <row r="879" hidden="1" ht="72" customHeight="1"/>
    <row r="880" hidden="1" ht="72" customHeight="1"/>
    <row r="881" hidden="1" ht="72" customHeight="1"/>
    <row r="882" hidden="1" ht="72" customHeight="1"/>
    <row r="883" hidden="1" ht="72" customHeight="1"/>
    <row r="884" hidden="1" ht="72" customHeight="1"/>
    <row r="885" hidden="1" ht="72" customHeight="1"/>
    <row r="886" hidden="1" ht="72" customHeight="1"/>
    <row r="887" hidden="1" ht="72" customHeight="1"/>
    <row r="888" hidden="1" ht="72" customHeight="1"/>
    <row r="889" hidden="1" ht="72" customHeight="1"/>
    <row r="890" hidden="1" ht="72" customHeight="1"/>
    <row r="891" hidden="1" ht="72" customHeight="1"/>
    <row r="892" hidden="1" ht="72" customHeight="1"/>
    <row r="893" hidden="1" ht="72" customHeight="1"/>
    <row r="894" hidden="1" ht="72" customHeight="1"/>
    <row r="895" hidden="1" ht="72" customHeight="1"/>
    <row r="896" hidden="1" ht="72" customHeight="1"/>
    <row r="897" hidden="1" ht="72" customHeight="1"/>
    <row r="898" hidden="1" ht="72" customHeight="1"/>
    <row r="899" hidden="1" ht="72" customHeight="1"/>
    <row r="900" hidden="1" ht="72" customHeight="1"/>
    <row r="901" hidden="1" ht="72" customHeight="1"/>
    <row r="902" hidden="1" ht="72" customHeight="1"/>
    <row r="903" hidden="1" ht="72" customHeight="1"/>
    <row r="904" hidden="1" ht="72" customHeight="1"/>
    <row r="905" hidden="1" ht="72" customHeight="1"/>
    <row r="906" hidden="1" ht="72" customHeight="1"/>
    <row r="907" hidden="1" ht="72" customHeight="1"/>
    <row r="908" hidden="1" ht="72" customHeight="1"/>
    <row r="909" hidden="1" ht="72" customHeight="1"/>
    <row r="910" hidden="1" ht="72" customHeight="1"/>
    <row r="911" hidden="1" ht="72" customHeight="1"/>
    <row r="912" hidden="1" ht="72" customHeight="1"/>
    <row r="913" hidden="1" ht="72" customHeight="1"/>
    <row r="914" hidden="1" ht="72" customHeight="1"/>
    <row r="915" hidden="1" ht="72" customHeight="1"/>
    <row r="916" hidden="1" ht="72" customHeight="1"/>
    <row r="917" hidden="1" ht="72" customHeight="1"/>
    <row r="918" hidden="1" ht="72" customHeight="1"/>
    <row r="919" hidden="1" ht="72" customHeight="1"/>
    <row r="920" hidden="1" ht="72" customHeight="1"/>
    <row r="921" hidden="1" ht="72" customHeight="1"/>
    <row r="922" hidden="1" ht="72" customHeight="1"/>
    <row r="923" hidden="1" ht="72" customHeight="1"/>
    <row r="924" hidden="1" ht="72" customHeight="1"/>
    <row r="925" hidden="1" ht="72" customHeight="1"/>
    <row r="926" hidden="1" ht="72" customHeight="1"/>
    <row r="927" hidden="1" ht="72" customHeight="1"/>
    <row r="928" hidden="1" ht="72" customHeight="1"/>
    <row r="929" hidden="1" ht="72" customHeight="1"/>
    <row r="930" hidden="1" ht="72" customHeight="1"/>
    <row r="931" hidden="1" ht="72" customHeight="1"/>
    <row r="932" hidden="1" ht="72" customHeight="1"/>
    <row r="933" hidden="1" ht="72" customHeight="1"/>
    <row r="934" hidden="1" ht="72" customHeight="1"/>
    <row r="935" hidden="1" ht="72" customHeight="1"/>
    <row r="936" hidden="1" ht="72" customHeight="1"/>
    <row r="937" hidden="1" ht="72" customHeight="1"/>
    <row r="938" hidden="1" ht="72" customHeight="1"/>
    <row r="939" hidden="1" ht="72" customHeight="1"/>
    <row r="940" hidden="1" ht="72" customHeight="1"/>
    <row r="941" hidden="1" ht="72" customHeight="1"/>
    <row r="942" hidden="1" ht="72" customHeight="1"/>
    <row r="943" hidden="1" ht="72" customHeight="1"/>
    <row r="944" hidden="1" ht="72" customHeight="1"/>
    <row r="945" hidden="1" ht="72" customHeight="1"/>
    <row r="946" hidden="1" ht="72" customHeight="1"/>
    <row r="947" hidden="1" ht="72" customHeight="1"/>
    <row r="948" hidden="1" ht="72" customHeight="1"/>
    <row r="949" hidden="1" ht="72" customHeight="1"/>
    <row r="950" hidden="1" ht="72" customHeight="1"/>
    <row r="951" hidden="1" ht="72" customHeight="1"/>
    <row r="952" hidden="1" ht="72" customHeight="1"/>
    <row r="953" hidden="1" ht="72" customHeight="1"/>
    <row r="954" hidden="1" ht="72" customHeight="1"/>
    <row r="955" hidden="1" ht="72" customHeight="1"/>
    <row r="956" hidden="1" ht="72" customHeight="1"/>
    <row r="957" hidden="1" ht="72" customHeight="1"/>
    <row r="958" hidden="1" ht="72" customHeight="1"/>
    <row r="959" hidden="1" ht="72" customHeight="1"/>
    <row r="960" hidden="1" ht="72" customHeight="1"/>
    <row r="961" hidden="1" ht="72" customHeight="1"/>
    <row r="962" hidden="1" ht="72" customHeight="1"/>
    <row r="963" hidden="1" ht="72" customHeight="1"/>
    <row r="964" hidden="1" ht="72" customHeight="1"/>
    <row r="965" hidden="1" ht="72" customHeight="1"/>
    <row r="966" hidden="1" ht="72" customHeight="1"/>
    <row r="967" hidden="1" ht="72" customHeight="1"/>
    <row r="968" hidden="1" ht="72" customHeight="1"/>
    <row r="969" hidden="1" ht="72" customHeight="1"/>
    <row r="970" hidden="1" ht="72" customHeight="1"/>
    <row r="971" hidden="1" ht="72" customHeight="1"/>
    <row r="972" hidden="1" ht="72" customHeight="1"/>
    <row r="973" hidden="1" ht="72" customHeight="1"/>
    <row r="974" hidden="1" ht="72" customHeight="1"/>
    <row r="975" hidden="1" ht="72" customHeight="1"/>
    <row r="976" hidden="1" ht="72" customHeight="1"/>
    <row r="977" hidden="1" ht="72" customHeight="1"/>
    <row r="978" hidden="1" ht="72" customHeight="1"/>
    <row r="979" hidden="1" ht="72" customHeight="1"/>
    <row r="980" hidden="1" ht="72" customHeight="1"/>
    <row r="981" hidden="1" ht="72" customHeight="1"/>
    <row r="982" hidden="1" ht="72" customHeight="1"/>
    <row r="983" hidden="1" ht="72" customHeight="1"/>
    <row r="984" hidden="1" ht="72" customHeight="1"/>
    <row r="985" hidden="1" ht="72" customHeight="1"/>
    <row r="986" hidden="1" ht="72" customHeight="1"/>
    <row r="987" hidden="1" ht="72" customHeight="1"/>
    <row r="988" hidden="1" ht="72" customHeight="1"/>
    <row r="989" hidden="1" ht="72" customHeight="1"/>
    <row r="990" hidden="1" ht="72" customHeight="1"/>
    <row r="991" hidden="1" ht="72" customHeight="1"/>
    <row r="992" hidden="1" ht="72" customHeight="1"/>
    <row r="993" hidden="1" ht="72" customHeight="1"/>
    <row r="994" hidden="1" ht="72" customHeight="1"/>
    <row r="995" hidden="1" ht="72" customHeight="1"/>
    <row r="996" hidden="1" ht="72" customHeight="1"/>
    <row r="997" hidden="1" ht="72" customHeight="1"/>
    <row r="998" hidden="1" ht="72" customHeight="1"/>
    <row r="999" hidden="1" ht="72" customHeight="1"/>
    <row r="1000" hidden="1" ht="72" customHeight="1"/>
    <row r="1001" hidden="1" ht="72" customHeight="1"/>
  </sheetData>
  <autoFilter ref="A1:A1001">
    <filterColumn colId="0" hiddenButton="0" showButton="1">
      <filters>
        <filter val="101"/>
        <filter val="112"/>
        <filter val="117"/>
        <filter val="118"/>
        <filter val="121"/>
        <filter val="122"/>
        <filter val="127"/>
        <filter val="128"/>
        <filter val="129"/>
        <filter val="130"/>
        <filter val="131"/>
        <filter val="133"/>
        <filter val="135"/>
        <filter val="136"/>
        <filter val="14"/>
        <filter val="141"/>
        <filter val="143"/>
        <filter val="144"/>
        <filter val="146"/>
        <filter val="150"/>
        <filter val="156"/>
        <filter val="157"/>
        <filter val="158"/>
        <filter val="160"/>
        <filter val="161"/>
        <filter val="167"/>
        <filter val="169"/>
        <filter val="170"/>
        <filter val="172"/>
        <filter val="173"/>
        <filter val="175"/>
        <filter val="177"/>
        <filter val="181"/>
        <filter val="182"/>
        <filter val="184"/>
        <filter val="187"/>
        <filter val="190"/>
        <filter val="198"/>
        <filter val="199"/>
        <filter val="200"/>
        <filter val="202"/>
        <filter val="214"/>
        <filter val="215"/>
        <filter val="216"/>
        <filter val="218"/>
        <filter val="220"/>
        <filter val="221"/>
        <filter val="224"/>
        <filter val="227"/>
        <filter val="233"/>
        <filter val="237"/>
        <filter val="238"/>
        <filter val="239"/>
        <filter val="240"/>
        <filter val="241"/>
        <filter val="245"/>
        <filter val="247"/>
        <filter val="26"/>
        <filter val="272"/>
        <filter val="273"/>
        <filter val="278"/>
        <filter val="279"/>
        <filter val="282"/>
        <filter val="289"/>
        <filter val="293"/>
        <filter val="307"/>
        <filter val="308"/>
        <filter val="309"/>
        <filter val="311"/>
        <filter val="313"/>
        <filter val="36"/>
        <filter val="37"/>
        <filter val="47"/>
        <filter val="51"/>
        <filter val="64"/>
        <filter val="70"/>
        <filter val="71"/>
        <filter val="75"/>
        <filter val="81"/>
        <filter val="83"/>
        <filter val="9"/>
        <filter val="94"/>
        <filter val="95"/>
        <filter val="97"/>
        <filter val="98"/>
      </filters>
    </filterColumn>
  </autoFilter>
  <pageMargins left="0.7" right="0.7" top="0.75" bottom="0.75" header="0.3" footer="0.3"/>
</worksheet>
</file>

<file path=xl/worksheets/sheet4.xml><?xml version="1.0" encoding="utf-8"?>
<worksheet xmlns="http://schemas.openxmlformats.org/spreadsheetml/2006/main">
  <sheetPr filterMode="1">
    <outlinePr summaryBelow="0" summaryRight="0"/>
    <pageSetUpPr/>
  </sheetPr>
  <dimension ref="A1:C375"/>
  <sheetViews>
    <sheetView workbookViewId="0">
      <selection activeCell="A1" sqref="A1"/>
    </sheetView>
  </sheetViews>
  <sheetFormatPr baseColWidth="8" defaultColWidth="12.6328125" defaultRowHeight="15.75" customHeight="1"/>
  <cols>
    <col width="9.36328125" customWidth="1" min="1" max="1"/>
    <col width="12" customWidth="1" min="2" max="2"/>
    <col width="24.7265625" customWidth="1" min="3" max="3"/>
    <col width="9.36328125" customWidth="1" min="4" max="26"/>
  </cols>
  <sheetData>
    <row r="1" ht="16.5" customHeight="1">
      <c r="A1" s="44" t="inlineStr">
        <is>
          <t>Id</t>
        </is>
      </c>
      <c r="B1" s="44" t="inlineStr">
        <is>
          <t>Image</t>
        </is>
      </c>
      <c r="C1" s="44" t="inlineStr">
        <is>
          <t>Name</t>
        </is>
      </c>
    </row>
    <row r="2" hidden="1" ht="72" customHeight="1">
      <c r="A2" s="41">
        <f>IF(Local!F2="Low",Local!A2,"")</f>
        <v/>
      </c>
      <c r="B2" s="41">
        <f>IF(Local!F2="Low",Local!B2,"")</f>
        <v/>
      </c>
      <c r="C2" s="41">
        <f>IF(Local!F2="Low",Local!C2,"")</f>
        <v/>
      </c>
    </row>
    <row r="3" hidden="1" ht="72" customHeight="1">
      <c r="A3" s="41">
        <f>IF(Local!F3="Low",Local!A3,"")</f>
        <v/>
      </c>
      <c r="B3" s="41">
        <f>IF(Local!F3="Low",Local!B3,"")</f>
        <v/>
      </c>
      <c r="C3" s="41">
        <f>IF(Local!F3="Low",Local!C3,"")</f>
        <v/>
      </c>
    </row>
    <row r="4" hidden="1" ht="72" customHeight="1">
      <c r="A4" s="41">
        <f>IF(Local!F4="Low",Local!A4,"")</f>
        <v/>
      </c>
      <c r="B4" s="41">
        <f>IF(Local!F4="Low",Local!B4,"")</f>
        <v/>
      </c>
      <c r="C4" s="41">
        <f>IF(Local!F4="Low",Local!C4,"")</f>
        <v/>
      </c>
    </row>
    <row r="5" hidden="1" ht="72" customHeight="1">
      <c r="A5" s="41">
        <f>IF(Local!F5="Low",Local!A5,"")</f>
        <v/>
      </c>
      <c r="B5" s="41">
        <f>IF(Local!F5="Low",Local!B5,"")</f>
        <v/>
      </c>
      <c r="C5" s="41">
        <f>IF(Local!F5="Low",Local!C5,"")</f>
        <v/>
      </c>
    </row>
    <row r="6" ht="72" customHeight="1">
      <c r="A6" s="41">
        <f>IF(Local!F6="Low",Local!A6,"")</f>
        <v/>
      </c>
      <c r="B6" s="41">
        <f>IF(Local!F6="Low",Local!B6,"")</f>
        <v/>
      </c>
      <c r="C6" s="41">
        <f>IF(Local!F6="Low",Local!C6,"")</f>
        <v/>
      </c>
    </row>
    <row r="7" ht="72" customHeight="1">
      <c r="A7" s="41">
        <f>IF(Local!F7="Low",Local!A7,"")</f>
        <v/>
      </c>
      <c r="B7" s="41">
        <f>IF(Local!F7="Low",Local!B7,"")</f>
        <v/>
      </c>
      <c r="C7" s="41">
        <f>IF(Local!F7="Low",Local!C7,"")</f>
        <v/>
      </c>
    </row>
    <row r="8" hidden="1" ht="72" customHeight="1">
      <c r="A8" s="41">
        <f>IF(Local!F8="Low",Local!A8,"")</f>
        <v/>
      </c>
      <c r="B8" s="41">
        <f>IF(Local!F8="Low",Local!B8,"")</f>
        <v/>
      </c>
      <c r="C8" s="41">
        <f>IF(Local!F8="Low",Local!C8,"")</f>
        <v/>
      </c>
    </row>
    <row r="9" hidden="1" ht="72" customHeight="1">
      <c r="A9" s="41">
        <f>IF(Local!F9="Low",Local!A9,"")</f>
        <v/>
      </c>
      <c r="B9" s="41">
        <f>IF(Local!F9="Low",Local!B9,"")</f>
        <v/>
      </c>
      <c r="C9" s="41">
        <f>IF(Local!F9="Low",Local!C9,"")</f>
        <v/>
      </c>
    </row>
    <row r="10" hidden="1" ht="72" customHeight="1">
      <c r="A10" s="41">
        <f>IF(Local!F10="Low",Local!A10,"")</f>
        <v/>
      </c>
      <c r="B10" s="41">
        <f>IF(Local!F10="Low",Local!B10,"")</f>
        <v/>
      </c>
      <c r="C10" s="41">
        <f>IF(Local!F10="Low",Local!C10,"")</f>
        <v/>
      </c>
    </row>
    <row r="11" ht="72" customHeight="1">
      <c r="A11" s="41">
        <f>IF(Local!F11="Low",Local!A11,"")</f>
        <v/>
      </c>
      <c r="B11" s="41">
        <f>IF(Local!F11="Low",Local!B11,"")</f>
        <v/>
      </c>
      <c r="C11" s="41">
        <f>IF(Local!F11="Low",Local!C11,"")</f>
        <v/>
      </c>
    </row>
    <row r="12" ht="72" customHeight="1">
      <c r="A12" s="41">
        <f>IF(Local!F12="Low",Local!A12,"")</f>
        <v/>
      </c>
      <c r="B12" s="41">
        <f>IF(Local!F12="Low",Local!B12,"")</f>
        <v/>
      </c>
      <c r="C12" s="41">
        <f>IF(Local!F12="Low",Local!C12,"")</f>
        <v/>
      </c>
    </row>
    <row r="13" hidden="1" ht="72" customHeight="1">
      <c r="A13" s="41">
        <f>IF(Local!F13="Low",Local!A13,"")</f>
        <v/>
      </c>
      <c r="B13" s="41">
        <f>IF(Local!F13="Low",Local!B13,"")</f>
        <v/>
      </c>
      <c r="C13" s="41">
        <f>IF(Local!F13="Low",Local!C13,"")</f>
        <v/>
      </c>
    </row>
    <row r="14" hidden="1" ht="72" customHeight="1">
      <c r="A14" s="41">
        <f>IF(Local!F14="Low",Local!A14,"")</f>
        <v/>
      </c>
      <c r="B14" s="41">
        <f>IF(Local!F14="Low",Local!B14,"")</f>
        <v/>
      </c>
      <c r="C14" s="41">
        <f>IF(Local!F14="Low",Local!C14,"")</f>
        <v/>
      </c>
    </row>
    <row r="15" hidden="1" ht="72" customHeight="1">
      <c r="A15" s="41">
        <f>IF(Local!F15="Low",Local!A15,"")</f>
        <v/>
      </c>
      <c r="B15" s="41">
        <f>IF(Local!F15="Low",Local!B15,"")</f>
        <v/>
      </c>
      <c r="C15" s="41">
        <f>IF(Local!F15="Low",Local!C15,"")</f>
        <v/>
      </c>
    </row>
    <row r="16" hidden="1" ht="72" customHeight="1">
      <c r="A16" s="41">
        <f>IF(Local!F16="Low",Local!A16,"")</f>
        <v/>
      </c>
      <c r="B16" s="41">
        <f>IF(Local!F16="Low",Local!B16,"")</f>
        <v/>
      </c>
      <c r="C16" s="41">
        <f>IF(Local!F16="Low",Local!C16,"")</f>
        <v/>
      </c>
    </row>
    <row r="17" hidden="1" ht="72" customHeight="1">
      <c r="A17" s="41">
        <f>IF(Local!F17="Low",Local!A17,"")</f>
        <v/>
      </c>
      <c r="B17" s="41">
        <f>IF(Local!F17="Low",Local!B17,"")</f>
        <v/>
      </c>
      <c r="C17" s="41">
        <f>IF(Local!F17="Low",Local!C17,"")</f>
        <v/>
      </c>
    </row>
    <row r="18" hidden="1" ht="72" customHeight="1">
      <c r="A18" s="41">
        <f>IF(Local!F18="Low",Local!A18,"")</f>
        <v/>
      </c>
      <c r="B18" s="41">
        <f>IF(Local!F18="Low",Local!B18,"")</f>
        <v/>
      </c>
      <c r="C18" s="41">
        <f>IF(Local!F18="Low",Local!C18,"")</f>
        <v/>
      </c>
    </row>
    <row r="19" ht="72" customHeight="1">
      <c r="A19" s="41">
        <f>IF(Local!F19="Low",Local!A19,"")</f>
        <v/>
      </c>
      <c r="B19" s="41">
        <f>IF(Local!F19="Low",Local!B19,"")</f>
        <v/>
      </c>
      <c r="C19" s="41">
        <f>IF(Local!F19="Low",Local!C19,"")</f>
        <v/>
      </c>
    </row>
    <row r="20" ht="72" customHeight="1">
      <c r="A20" s="41">
        <f>IF(Local!F20="Low",Local!A20,"")</f>
        <v/>
      </c>
      <c r="B20" s="41">
        <f>IF(Local!F20="Low",Local!B20,"")</f>
        <v/>
      </c>
      <c r="C20" s="41">
        <f>IF(Local!F20="Low",Local!C20,"")</f>
        <v/>
      </c>
    </row>
    <row r="21" hidden="1" ht="72" customHeight="1">
      <c r="A21" s="41">
        <f>IF(Local!F21="Low",Local!A21,"")</f>
        <v/>
      </c>
      <c r="B21" s="41">
        <f>IF(Local!F21="Low",Local!B21,"")</f>
        <v/>
      </c>
      <c r="C21" s="41">
        <f>IF(Local!F21="Low",Local!C21,"")</f>
        <v/>
      </c>
    </row>
    <row r="22" hidden="1" ht="72" customHeight="1">
      <c r="A22" s="41">
        <f>IF(Local!F22="Low",Local!A22,"")</f>
        <v/>
      </c>
      <c r="B22" s="41">
        <f>IF(Local!F22="Low",Local!B22,"")</f>
        <v/>
      </c>
      <c r="C22" s="41">
        <f>IF(Local!F22="Low",Local!C22,"")</f>
        <v/>
      </c>
    </row>
    <row r="23" hidden="1" ht="72" customHeight="1">
      <c r="A23" s="41">
        <f>IF(Local!F23="Low",Local!A23,"")</f>
        <v/>
      </c>
      <c r="B23" s="41">
        <f>IF(Local!F23="Low",Local!B23,"")</f>
        <v/>
      </c>
      <c r="C23" s="41">
        <f>IF(Local!F23="Low",Local!C23,"")</f>
        <v/>
      </c>
    </row>
    <row r="24" hidden="1" ht="72" customHeight="1">
      <c r="A24" s="41">
        <f>IF(Local!F24="Low",Local!A24,"")</f>
        <v/>
      </c>
      <c r="B24" s="41">
        <f>IF(Local!F24="Low",Local!B24,"")</f>
        <v/>
      </c>
      <c r="C24" s="41">
        <f>IF(Local!F24="Low",Local!C24,"")</f>
        <v/>
      </c>
    </row>
    <row r="25" hidden="1" ht="72" customHeight="1">
      <c r="A25" s="41">
        <f>IF(Local!F25="Low",Local!A25,"")</f>
        <v/>
      </c>
      <c r="B25" s="41">
        <f>IF(Local!F25="Low",Local!B25,"")</f>
        <v/>
      </c>
      <c r="C25" s="41">
        <f>IF(Local!F25="Low",Local!C25,"")</f>
        <v/>
      </c>
    </row>
    <row r="26" hidden="1" ht="72" customHeight="1">
      <c r="A26" s="41">
        <f>IF(Local!F26="Low",Local!A26,"")</f>
        <v/>
      </c>
      <c r="B26" s="41">
        <f>IF(Local!F26="Low",Local!B26,"")</f>
        <v/>
      </c>
      <c r="C26" s="41">
        <f>IF(Local!F26="Low",Local!C26,"")</f>
        <v/>
      </c>
    </row>
    <row r="27" hidden="1" ht="72" customHeight="1">
      <c r="A27" s="41">
        <f>IF(Local!F27="Low",Local!A27,"")</f>
        <v/>
      </c>
      <c r="B27" s="41">
        <f>IF(Local!F27="Low",Local!B27,"")</f>
        <v/>
      </c>
      <c r="C27" s="41">
        <f>IF(Local!F27="Low",Local!C27,"")</f>
        <v/>
      </c>
    </row>
    <row r="28" hidden="1" ht="72" customHeight="1">
      <c r="A28" s="41">
        <f>IF(Local!F28="Low",Local!A28,"")</f>
        <v/>
      </c>
      <c r="B28" s="41">
        <f>IF(Local!F28="Low",Local!B28,"")</f>
        <v/>
      </c>
      <c r="C28" s="41">
        <f>IF(Local!F28="Low",Local!C28,"")</f>
        <v/>
      </c>
    </row>
    <row r="29" hidden="1" ht="72" customHeight="1">
      <c r="A29" s="41">
        <f>IF(Local!F29="Low",Local!A29,"")</f>
        <v/>
      </c>
      <c r="B29" s="41">
        <f>IF(Local!F29="Low",Local!B29,"")</f>
        <v/>
      </c>
      <c r="C29" s="41">
        <f>IF(Local!F29="Low",Local!C29,"")</f>
        <v/>
      </c>
    </row>
    <row r="30" hidden="1" ht="72" customHeight="1">
      <c r="A30" s="41">
        <f>IF(Local!F30="Low",Local!A30,"")</f>
        <v/>
      </c>
      <c r="B30" s="41">
        <f>IF(Local!F30="Low",Local!B30,"")</f>
        <v/>
      </c>
      <c r="C30" s="41">
        <f>IF(Local!F30="Low",Local!C30,"")</f>
        <v/>
      </c>
    </row>
    <row r="31" hidden="1" ht="72" customHeight="1">
      <c r="A31" s="41">
        <f>IF(Local!F31="Low",Local!A31,"")</f>
        <v/>
      </c>
      <c r="B31" s="41">
        <f>IF(Local!F31="Low",Local!B31,"")</f>
        <v/>
      </c>
      <c r="C31" s="41">
        <f>IF(Local!F31="Low",Local!C31,"")</f>
        <v/>
      </c>
    </row>
    <row r="32" hidden="1" ht="72" customHeight="1">
      <c r="A32" s="41">
        <f>IF(Local!F32="Low",Local!A32,"")</f>
        <v/>
      </c>
      <c r="B32" s="41">
        <f>IF(Local!F32="Low",Local!B32,"")</f>
        <v/>
      </c>
      <c r="C32" s="41">
        <f>IF(Local!F32="Low",Local!C32,"")</f>
        <v/>
      </c>
    </row>
    <row r="33" hidden="1" ht="72" customHeight="1">
      <c r="A33" s="41">
        <f>IF(Local!F33="Low",Local!A33,"")</f>
        <v/>
      </c>
      <c r="B33" s="41">
        <f>IF(Local!F33="Low",Local!B33,"")</f>
        <v/>
      </c>
      <c r="C33" s="41">
        <f>IF(Local!F33="Low",Local!C33,"")</f>
        <v/>
      </c>
    </row>
    <row r="34" hidden="1" ht="72" customHeight="1">
      <c r="A34" s="41">
        <f>IF(Local!F34="Low",Local!A34,"")</f>
        <v/>
      </c>
      <c r="B34" s="41">
        <f>IF(Local!F34="Low",Local!B34,"")</f>
        <v/>
      </c>
      <c r="C34" s="41">
        <f>IF(Local!F34="Low",Local!C34,"")</f>
        <v/>
      </c>
    </row>
    <row r="35" ht="72" customHeight="1">
      <c r="A35" s="41">
        <f>IF(Local!F35="Low",Local!A35,"")</f>
        <v/>
      </c>
      <c r="B35" s="41">
        <f>IF(Local!F35="Low",Local!B35,"")</f>
        <v/>
      </c>
      <c r="C35" s="41">
        <f>IF(Local!F35="Low",Local!C35,"")</f>
        <v/>
      </c>
    </row>
    <row r="36" hidden="1" ht="72" customHeight="1">
      <c r="A36" s="41">
        <f>IF(Local!F36="Low",Local!A36,"")</f>
        <v/>
      </c>
      <c r="B36" s="41">
        <f>IF(Local!F36="Low",Local!B36,"")</f>
        <v/>
      </c>
      <c r="C36" s="41">
        <f>IF(Local!F36="Low",Local!C36,"")</f>
        <v/>
      </c>
    </row>
    <row r="37" hidden="1" ht="72" customHeight="1">
      <c r="A37" s="41">
        <f>IF(Local!F37="Low",Local!A37,"")</f>
        <v/>
      </c>
      <c r="B37" s="41">
        <f>IF(Local!F37="Low",Local!B37,"")</f>
        <v/>
      </c>
      <c r="C37" s="41">
        <f>IF(Local!F37="Low",Local!C37,"")</f>
        <v/>
      </c>
    </row>
    <row r="38" hidden="1" ht="72" customHeight="1">
      <c r="A38" s="41">
        <f>IF(Local!F38="Low",Local!A38,"")</f>
        <v/>
      </c>
      <c r="B38" s="41">
        <f>IF(Local!F38="Low",Local!B38,"")</f>
        <v/>
      </c>
      <c r="C38" s="41">
        <f>IF(Local!F38="Low",Local!C38,"")</f>
        <v/>
      </c>
    </row>
    <row r="39" hidden="1" ht="72" customHeight="1">
      <c r="A39" s="41">
        <f>IF(Local!F39="Low",Local!A39,"")</f>
        <v/>
      </c>
      <c r="B39" s="41">
        <f>IF(Local!F39="Low",Local!B39,"")</f>
        <v/>
      </c>
      <c r="C39" s="41">
        <f>IF(Local!F39="Low",Local!C39,"")</f>
        <v/>
      </c>
    </row>
    <row r="40" hidden="1" ht="72" customHeight="1">
      <c r="A40" s="41">
        <f>IF(Local!F40="Low",Local!A40,"")</f>
        <v/>
      </c>
      <c r="B40" s="41">
        <f>IF(Local!F40="Low",Local!B40,"")</f>
        <v/>
      </c>
      <c r="C40" s="41">
        <f>IF(Local!F40="Low",Local!C40,"")</f>
        <v/>
      </c>
    </row>
    <row r="41" hidden="1" ht="72" customHeight="1">
      <c r="A41" s="41">
        <f>IF(#REF!="Low",Local!A41,"")</f>
        <v/>
      </c>
      <c r="B41" s="41">
        <f>IF(#REF!="Low",Local!B41,"")</f>
        <v/>
      </c>
      <c r="C41" s="41">
        <f>IF(#REF!="Low",Local!C41,"")</f>
        <v/>
      </c>
    </row>
    <row r="42" hidden="1" ht="72" customHeight="1">
      <c r="A42" s="41">
        <f>IF(#REF!="Low",Local!A42,"")</f>
        <v/>
      </c>
      <c r="B42" s="41">
        <f>IF(#REF!="Low",Local!B42,"")</f>
        <v/>
      </c>
      <c r="C42" s="41">
        <f>IF(#REF!="Low",Local!C42,"")</f>
        <v/>
      </c>
    </row>
    <row r="43" hidden="1" ht="72" customHeight="1">
      <c r="A43" s="41">
        <f>IF(#REF!="Low",Local!A43,"")</f>
        <v/>
      </c>
      <c r="B43" s="41">
        <f>IF(#REF!="Low",Local!B43,"")</f>
        <v/>
      </c>
      <c r="C43" s="41">
        <f>IF(#REF!="Low",Local!C43,"")</f>
        <v/>
      </c>
    </row>
    <row r="44" hidden="1" ht="72" customHeight="1">
      <c r="A44" s="41">
        <f>IF(#REF!="Low",Local!A44,"")</f>
        <v/>
      </c>
      <c r="B44" s="41">
        <f>IF(#REF!="Low",Local!B44,"")</f>
        <v/>
      </c>
      <c r="C44" s="41">
        <f>IF(#REF!="Low",Local!C44,"")</f>
        <v/>
      </c>
    </row>
    <row r="45" ht="72" customHeight="1">
      <c r="A45" s="41">
        <f>IF(Local!F45="Low",Local!A45,"")</f>
        <v/>
      </c>
      <c r="B45" s="41">
        <f>IF(Local!F45="Low",Local!B45,"")</f>
        <v/>
      </c>
      <c r="C45" s="41">
        <f>IF(Local!F45="Low",Local!C45,"")</f>
        <v/>
      </c>
    </row>
    <row r="46" hidden="1" ht="72" customHeight="1">
      <c r="A46" s="41">
        <f>IF(Local!F46="Low",Local!A46,"")</f>
        <v/>
      </c>
      <c r="B46" s="41">
        <f>IF(Local!F46="Low",Local!B46,"")</f>
        <v/>
      </c>
      <c r="C46" s="41">
        <f>IF(Local!F46="Low",Local!C46,"")</f>
        <v/>
      </c>
    </row>
    <row r="47" hidden="1" ht="72" customHeight="1">
      <c r="A47" s="41">
        <f>IF(Local!F47="Low",Local!A47,"")</f>
        <v/>
      </c>
      <c r="B47" s="41">
        <f>IF(Local!F47="Low",Local!B47,"")</f>
        <v/>
      </c>
      <c r="C47" s="41">
        <f>IF(Local!F47="Low",Local!C47,"")</f>
        <v/>
      </c>
    </row>
    <row r="48" hidden="1" ht="72" customHeight="1">
      <c r="A48" s="41">
        <f>IF(Local!F48="Low",Local!A48,"")</f>
        <v/>
      </c>
      <c r="B48" s="41">
        <f>IF(Local!F48="Low",Local!B48,"")</f>
        <v/>
      </c>
      <c r="C48" s="41">
        <f>IF(Local!F48="Low",Local!C48,"")</f>
        <v/>
      </c>
    </row>
    <row r="49" hidden="1" ht="72" customHeight="1">
      <c r="A49" s="41">
        <f>IF(Local!F49="Low",Local!A49,"")</f>
        <v/>
      </c>
      <c r="B49" s="41">
        <f>IF(Local!F49="Low",Local!B49,"")</f>
        <v/>
      </c>
      <c r="C49" s="41">
        <f>IF(Local!F49="Low",Local!C49,"")</f>
        <v/>
      </c>
    </row>
    <row r="50" hidden="1" ht="72" customHeight="1">
      <c r="A50" s="41">
        <f>IF(Local!F50="Low",Local!A50,"")</f>
        <v/>
      </c>
      <c r="B50" s="41">
        <f>IF(Local!F50="Low",Local!B50,"")</f>
        <v/>
      </c>
      <c r="C50" s="41">
        <f>IF(Local!F50="Low",Local!C50,"")</f>
        <v/>
      </c>
    </row>
    <row r="51" hidden="1" ht="72" customHeight="1">
      <c r="A51" s="41">
        <f>IF(Local!F51="Low",Local!A51,"")</f>
        <v/>
      </c>
      <c r="B51" s="41">
        <f>IF(Local!F51="Low",Local!B51,"")</f>
        <v/>
      </c>
      <c r="C51" s="41">
        <f>IF(Local!F51="Low",Local!C51,"")</f>
        <v/>
      </c>
    </row>
    <row r="52" hidden="1" ht="72" customHeight="1">
      <c r="A52" s="41">
        <f>IF(Local!F52="Low",Local!A52,"")</f>
        <v/>
      </c>
      <c r="B52" s="41">
        <f>IF(Local!F52="Low",Local!B52,"")</f>
        <v/>
      </c>
      <c r="C52" s="41">
        <f>IF(Local!F52="Low",Local!C52,"")</f>
        <v/>
      </c>
    </row>
    <row r="53" hidden="1" ht="72" customHeight="1">
      <c r="A53" s="41">
        <f>IF(Local!F53="Low",Local!A53,"")</f>
        <v/>
      </c>
      <c r="B53" s="41">
        <f>IF(Local!F53="Low",Local!B53,"")</f>
        <v/>
      </c>
      <c r="C53" s="41">
        <f>IF(Local!F53="Low",Local!C53,"")</f>
        <v/>
      </c>
    </row>
    <row r="54" hidden="1" ht="72" customHeight="1">
      <c r="A54" s="41">
        <f>IF(Local!F54="Low",Local!A54,"")</f>
        <v/>
      </c>
      <c r="B54" s="41">
        <f>IF(Local!F54="Low",Local!B54,"")</f>
        <v/>
      </c>
      <c r="C54" s="41">
        <f>IF(Local!F54="Low",Local!C54,"")</f>
        <v/>
      </c>
    </row>
    <row r="55" hidden="1" ht="72" customHeight="1">
      <c r="A55" s="41">
        <f>IF(Local!F55="Low",Local!A55,"")</f>
        <v/>
      </c>
      <c r="B55" s="41">
        <f>IF(Local!F55="Low",Local!B55,"")</f>
        <v/>
      </c>
      <c r="C55" s="41">
        <f>IF(Local!F55="Low",Local!C55,"")</f>
        <v/>
      </c>
    </row>
    <row r="56" hidden="1" ht="72" customHeight="1">
      <c r="A56" s="41">
        <f>IF(Local!F56="Low",Local!A56,"")</f>
        <v/>
      </c>
      <c r="B56" s="41">
        <f>IF(Local!F56="Low",Local!B56,"")</f>
        <v/>
      </c>
      <c r="C56" s="41">
        <f>IF(Local!F56="Low",Local!C56,"")</f>
        <v/>
      </c>
    </row>
    <row r="57" hidden="1" ht="72" customHeight="1">
      <c r="A57" s="41">
        <f>IF(Local!F57="Low",Local!A57,"")</f>
        <v/>
      </c>
      <c r="B57" s="41">
        <f>IF(Local!F57="Low",Local!B57,"")</f>
        <v/>
      </c>
      <c r="C57" s="41">
        <f>IF(Local!F57="Low",Local!C57,"")</f>
        <v/>
      </c>
    </row>
    <row r="58" hidden="1" ht="72" customHeight="1">
      <c r="A58" s="41">
        <f>IF(Local!F58="Low",Local!A58,"")</f>
        <v/>
      </c>
      <c r="B58" s="41">
        <f>IF(Local!F58="Low",Local!B58,"")</f>
        <v/>
      </c>
      <c r="C58" s="41">
        <f>IF(Local!F58="Low",Local!C58,"")</f>
        <v/>
      </c>
    </row>
    <row r="59" hidden="1" ht="72" customHeight="1">
      <c r="A59" s="41">
        <f>IF(Local!F59="Low",Local!A59,"")</f>
        <v/>
      </c>
      <c r="B59" s="41">
        <f>IF(Local!F59="Low",Local!B59,"")</f>
        <v/>
      </c>
      <c r="C59" s="41">
        <f>IF(Local!F59="Low",Local!C59,"")</f>
        <v/>
      </c>
    </row>
    <row r="60" hidden="1" ht="72" customHeight="1">
      <c r="A60" s="41">
        <f>IF(Local!F60="Low",Local!A60,"")</f>
        <v/>
      </c>
      <c r="B60" s="41">
        <f>IF(Local!F60="Low",Local!B60,"")</f>
        <v/>
      </c>
      <c r="C60" s="41">
        <f>IF(Local!F60="Low",Local!C60,"")</f>
        <v/>
      </c>
    </row>
    <row r="61" hidden="1" ht="72" customHeight="1">
      <c r="A61" s="41">
        <f>IF(Local!F61="Low",Local!A61,"")</f>
        <v/>
      </c>
      <c r="B61" s="41">
        <f>IF(Local!F61="Low",Local!B61,"")</f>
        <v/>
      </c>
      <c r="C61" s="41">
        <f>IF(Local!F61="Low",Local!C61,"")</f>
        <v/>
      </c>
    </row>
    <row r="62" hidden="1" ht="72" customHeight="1">
      <c r="A62" s="41">
        <f>IF(Local!F62="Low",Local!A62,"")</f>
        <v/>
      </c>
      <c r="B62" s="41">
        <f>IF(Local!F62="Low",Local!B62,"")</f>
        <v/>
      </c>
      <c r="C62" s="41">
        <f>IF(Local!F62="Low",Local!C62,"")</f>
        <v/>
      </c>
    </row>
    <row r="63" hidden="1" ht="72" customHeight="1">
      <c r="A63" s="41">
        <f>IF(Local!F63="Low",Local!A63,"")</f>
        <v/>
      </c>
      <c r="B63" s="41">
        <f>IF(Local!F63="Low",Local!B63,"")</f>
        <v/>
      </c>
      <c r="C63" s="41">
        <f>IF(Local!F63="Low",Local!C63,"")</f>
        <v/>
      </c>
    </row>
    <row r="64" hidden="1" ht="72" customHeight="1">
      <c r="A64" s="41">
        <f>IF(Local!F64="Low",Local!A64,"")</f>
        <v/>
      </c>
      <c r="B64" s="41">
        <f>IF(Local!F64="Low",Local!B64,"")</f>
        <v/>
      </c>
      <c r="C64" s="41">
        <f>IF(Local!F64="Low",Local!C64,"")</f>
        <v/>
      </c>
    </row>
    <row r="65" hidden="1" ht="72" customHeight="1">
      <c r="A65" s="41">
        <f>IF(Local!F65="Low",Local!A65,"")</f>
        <v/>
      </c>
      <c r="B65" s="41">
        <f>IF(Local!F65="Low",Local!B65,"")</f>
        <v/>
      </c>
      <c r="C65" s="41">
        <f>IF(Local!F65="Low",Local!C65,"")</f>
        <v/>
      </c>
    </row>
    <row r="66" hidden="1" ht="72" customHeight="1">
      <c r="A66" s="41">
        <f>IF(Local!F66="Low",Local!A66,"")</f>
        <v/>
      </c>
      <c r="B66" s="41">
        <f>IF(Local!F66="Low",Local!B66,"")</f>
        <v/>
      </c>
      <c r="C66" s="41">
        <f>IF(Local!F66="Low",Local!C66,"")</f>
        <v/>
      </c>
    </row>
    <row r="67" hidden="1" ht="72" customHeight="1">
      <c r="A67" s="41">
        <f>IF(Local!F67="Low",Local!A67,"")</f>
        <v/>
      </c>
      <c r="B67" s="41">
        <f>IF(Local!F67="Low",Local!B67,"")</f>
        <v/>
      </c>
      <c r="C67" s="41">
        <f>IF(Local!F67="Low",Local!C67,"")</f>
        <v/>
      </c>
    </row>
    <row r="68" hidden="1" ht="72" customHeight="1">
      <c r="A68" s="41">
        <f>IF(Local!F68="Low",Local!A68,"")</f>
        <v/>
      </c>
      <c r="B68" s="41">
        <f>IF(Local!F68="Low",Local!B68,"")</f>
        <v/>
      </c>
      <c r="C68" s="41">
        <f>IF(Local!F68="Low",Local!C68,"")</f>
        <v/>
      </c>
    </row>
    <row r="69" hidden="1" ht="72" customHeight="1">
      <c r="A69" s="41">
        <f>IF(Local!F69="Low",Local!A69,"")</f>
        <v/>
      </c>
      <c r="B69" s="41">
        <f>IF(Local!F69="Low",Local!B69,"")</f>
        <v/>
      </c>
      <c r="C69" s="41">
        <f>IF(Local!F69="Low",Local!C69,"")</f>
        <v/>
      </c>
    </row>
    <row r="70" hidden="1" ht="72" customHeight="1">
      <c r="A70" s="41">
        <f>IF(Local!F70="Low",Local!A70,"")</f>
        <v/>
      </c>
      <c r="B70" s="41">
        <f>IF(Local!F70="Low",Local!B70,"")</f>
        <v/>
      </c>
      <c r="C70" s="41">
        <f>IF(Local!F70="Low",Local!C70,"")</f>
        <v/>
      </c>
    </row>
    <row r="71" hidden="1" ht="72" customHeight="1">
      <c r="A71" s="41">
        <f>IF(Local!F71="Low",Local!A71,"")</f>
        <v/>
      </c>
      <c r="B71" s="41">
        <f>IF(Local!F71="Low",Local!B71,"")</f>
        <v/>
      </c>
      <c r="C71" s="41">
        <f>IF(Local!F71="Low",Local!C71,"")</f>
        <v/>
      </c>
    </row>
    <row r="72" hidden="1" ht="72" customHeight="1">
      <c r="A72" s="41">
        <f>IF(Local!F72="Low",Local!A72,"")</f>
        <v/>
      </c>
      <c r="B72" s="41">
        <f>IF(Local!F72="Low",Local!B72,"")</f>
        <v/>
      </c>
      <c r="C72" s="41">
        <f>IF(Local!F72="Low",Local!C72,"")</f>
        <v/>
      </c>
    </row>
    <row r="73" hidden="1" ht="72" customHeight="1">
      <c r="A73" s="41">
        <f>IF(Local!F73="Low",Local!A73,"")</f>
        <v/>
      </c>
      <c r="B73" s="41">
        <f>IF(Local!F73="Low",Local!B73,"")</f>
        <v/>
      </c>
      <c r="C73" s="41">
        <f>IF(Local!F73="Low",Local!C73,"")</f>
        <v/>
      </c>
    </row>
    <row r="74" hidden="1" ht="72" customHeight="1">
      <c r="A74" s="41">
        <f>IF(Local!F74="Low",Local!A74,"")</f>
        <v/>
      </c>
      <c r="B74" s="41">
        <f>IF(Local!F74="Low",Local!B74,"")</f>
        <v/>
      </c>
      <c r="C74" s="41">
        <f>IF(Local!F74="Low",Local!C74,"")</f>
        <v/>
      </c>
    </row>
    <row r="75" hidden="1" ht="72" customHeight="1">
      <c r="A75" s="41">
        <f>IF(Local!F75="Low",Local!A75,"")</f>
        <v/>
      </c>
      <c r="B75" s="41">
        <f>IF(Local!F75="Low",Local!B75,"")</f>
        <v/>
      </c>
      <c r="C75" s="41">
        <f>IF(Local!F75="Low",Local!C75,"")</f>
        <v/>
      </c>
    </row>
    <row r="76" hidden="1" ht="72" customHeight="1">
      <c r="A76" s="41">
        <f>IF(Local!F76="Low",Local!A76,"")</f>
        <v/>
      </c>
      <c r="B76" s="41">
        <f>IF(Local!F76="Low",Local!B76,"")</f>
        <v/>
      </c>
      <c r="C76" s="41">
        <f>IF(Local!F76="Low",Local!C76,"")</f>
        <v/>
      </c>
    </row>
    <row r="77" hidden="1" ht="72" customHeight="1">
      <c r="A77" s="41">
        <f>IF(Local!F77="Low",Local!A77,"")</f>
        <v/>
      </c>
      <c r="B77" s="41">
        <f>IF(Local!F77="Low",Local!B77,"")</f>
        <v/>
      </c>
      <c r="C77" s="41">
        <f>IF(Local!F77="Low",Local!C77,"")</f>
        <v/>
      </c>
    </row>
    <row r="78" hidden="1" ht="72" customHeight="1">
      <c r="A78" s="41">
        <f>IF(Local!F78="Low",Local!A78,"")</f>
        <v/>
      </c>
      <c r="B78" s="41">
        <f>IF(Local!F78="Low",Local!B78,"")</f>
        <v/>
      </c>
      <c r="C78" s="41">
        <f>IF(Local!F78="Low",Local!C78,"")</f>
        <v/>
      </c>
    </row>
    <row r="79" hidden="1" ht="72" customHeight="1">
      <c r="A79" s="41">
        <f>IF(Local!F79="Low",Local!A79,"")</f>
        <v/>
      </c>
      <c r="B79" s="41">
        <f>IF(Local!F79="Low",Local!B79,"")</f>
        <v/>
      </c>
      <c r="C79" s="41">
        <f>IF(Local!F79="Low",Local!C79,"")</f>
        <v/>
      </c>
    </row>
    <row r="80" hidden="1" ht="72" customHeight="1">
      <c r="A80" s="41">
        <f>IF(Local!F80="Low",Local!A80,"")</f>
        <v/>
      </c>
      <c r="B80" s="41">
        <f>IF(Local!F80="Low",Local!B80,"")</f>
        <v/>
      </c>
      <c r="C80" s="41">
        <f>IF(Local!F80="Low",Local!C80,"")</f>
        <v/>
      </c>
    </row>
    <row r="81" hidden="1" ht="72" customHeight="1">
      <c r="A81" s="41">
        <f>IF(#REF!="Low",Local!A81,"")</f>
        <v/>
      </c>
      <c r="B81" s="41">
        <f>IF(#REF!="Low",Local!B81,"")</f>
        <v/>
      </c>
      <c r="C81" s="41">
        <f>IF(#REF!="Low",Local!C81,"")</f>
        <v/>
      </c>
    </row>
    <row r="82" hidden="1" ht="72" customHeight="1">
      <c r="A82" s="41">
        <f>IF(Local!F81="Low",Local!A82,"")</f>
        <v/>
      </c>
      <c r="B82" s="41">
        <f>IF(Local!F81="Low",Local!B82,"")</f>
        <v/>
      </c>
      <c r="C82" s="41">
        <f>IF(Local!F81="Low",Local!C82,"")</f>
        <v/>
      </c>
    </row>
    <row r="83" hidden="1" ht="72" customHeight="1">
      <c r="A83" s="41">
        <f>IF(Local!F83="Low",Local!A83,"")</f>
        <v/>
      </c>
      <c r="B83" s="41">
        <f>IF(Local!F83="Low",Local!B83,"")</f>
        <v/>
      </c>
      <c r="C83" s="41">
        <f>IF(Local!F83="Low",Local!C83,"")</f>
        <v/>
      </c>
    </row>
    <row r="84" hidden="1" ht="72" customHeight="1">
      <c r="A84" s="41">
        <f>IF(Local!F84="Low",Local!A84,"")</f>
        <v/>
      </c>
      <c r="B84" s="41">
        <f>IF(Local!F84="Low",Local!B84,"")</f>
        <v/>
      </c>
      <c r="C84" s="41">
        <f>IF(Local!F84="Low",Local!C84,"")</f>
        <v/>
      </c>
    </row>
    <row r="85" hidden="1" ht="72" customHeight="1">
      <c r="A85" s="41">
        <f>IF(Local!F85="Low",Local!A85,"")</f>
        <v/>
      </c>
      <c r="B85" s="41">
        <f>IF(Local!F85="Low",Local!B85,"")</f>
        <v/>
      </c>
      <c r="C85" s="41">
        <f>IF(Local!F85="Low",Local!C85,"")</f>
        <v/>
      </c>
    </row>
    <row r="86" hidden="1" ht="72" customHeight="1">
      <c r="A86" s="41">
        <f>IF(Local!F86="Low",Local!A86,"")</f>
        <v/>
      </c>
      <c r="B86" s="41">
        <f>IF(Local!F86="Low",Local!B86,"")</f>
        <v/>
      </c>
      <c r="C86" s="41">
        <f>IF(Local!F86="Low",Local!C86,"")</f>
        <v/>
      </c>
    </row>
    <row r="87" ht="72" customHeight="1">
      <c r="A87" s="41">
        <f>IF(Local!F87="Low",Local!A87,"")</f>
        <v/>
      </c>
      <c r="B87" s="41">
        <f>IF(Local!F87="Low",Local!B87,"")</f>
        <v/>
      </c>
      <c r="C87" s="41">
        <f>IF(Local!F87="Low",Local!C87,"")</f>
        <v/>
      </c>
    </row>
    <row r="88" ht="72" customHeight="1">
      <c r="A88" s="41">
        <f>IF(Local!F88="Low",Local!A88,"")</f>
        <v/>
      </c>
      <c r="B88" s="41">
        <f>IF(Local!F88="Low",Local!B88,"")</f>
        <v/>
      </c>
      <c r="C88" s="41">
        <f>IF(Local!F88="Low",Local!C88,"")</f>
        <v/>
      </c>
    </row>
    <row r="89" ht="72" customHeight="1">
      <c r="A89" s="41">
        <f>IF(Local!F89="Low",Local!A89,"")</f>
        <v/>
      </c>
      <c r="B89" s="41">
        <f>IF(Local!F89="Low",Local!B89,"")</f>
        <v/>
      </c>
      <c r="C89" s="41">
        <f>IF(Local!F89="Low",Local!C89,"")</f>
        <v/>
      </c>
    </row>
    <row r="90" hidden="1" ht="72" customHeight="1">
      <c r="A90" s="41">
        <f>IF(Local!F90="Low",Local!A90,"")</f>
        <v/>
      </c>
      <c r="B90" s="41">
        <f>IF(Local!F90="Low",Local!B90,"")</f>
        <v/>
      </c>
      <c r="C90" s="41">
        <f>IF(Local!F90="Low",Local!C90,"")</f>
        <v/>
      </c>
    </row>
    <row r="91" hidden="1" ht="72" customHeight="1">
      <c r="A91" s="41">
        <f>IF(Local!F91="Low",Local!A91,"")</f>
        <v/>
      </c>
      <c r="B91" s="41">
        <f>IF(Local!F91="Low",Local!B91,"")</f>
        <v/>
      </c>
      <c r="C91" s="41">
        <f>IF(Local!F91="Low",Local!C91,"")</f>
        <v/>
      </c>
    </row>
    <row r="92" hidden="1" ht="72" customHeight="1">
      <c r="A92" s="41">
        <f>IF(Local!F92="Low",Local!A92,"")</f>
        <v/>
      </c>
      <c r="B92" s="41">
        <f>IF(Local!F92="Low",Local!B92,"")</f>
        <v/>
      </c>
      <c r="C92" s="41">
        <f>IF(Local!F92="Low",Local!C92,"")</f>
        <v/>
      </c>
    </row>
    <row r="93" ht="72" customHeight="1">
      <c r="A93" s="41">
        <f>IF(Local!F93="Low",Local!A93,"")</f>
        <v/>
      </c>
      <c r="B93" s="41">
        <f>IF(Local!F93="Low",Local!B93,"")</f>
        <v/>
      </c>
      <c r="C93" s="41">
        <f>IF(Local!F93="Low",Local!C93,"")</f>
        <v/>
      </c>
    </row>
    <row r="94" hidden="1" ht="72" customHeight="1">
      <c r="A94" s="41">
        <f>IF(Local!F94="Low",Local!A94,"")</f>
        <v/>
      </c>
      <c r="B94" s="41">
        <f>IF(Local!F94="Low",Local!B94,"")</f>
        <v/>
      </c>
      <c r="C94" s="41">
        <f>IF(Local!F94="Low",Local!C94,"")</f>
        <v/>
      </c>
    </row>
    <row r="95" hidden="1" ht="72" customHeight="1">
      <c r="A95" s="41">
        <f>IF(Local!F95="Low",Local!A95,"")</f>
        <v/>
      </c>
      <c r="B95" s="41">
        <f>IF(Local!F95="Low",Local!B95,"")</f>
        <v/>
      </c>
      <c r="C95" s="41">
        <f>IF(Local!F95="Low",Local!C95,"")</f>
        <v/>
      </c>
    </row>
    <row r="96" hidden="1" ht="72" customHeight="1">
      <c r="A96" s="41">
        <f>IF(Local!F96="Low",Local!A96,"")</f>
        <v/>
      </c>
      <c r="B96" s="41">
        <f>IF(Local!F96="Low",Local!B96,"")</f>
        <v/>
      </c>
      <c r="C96" s="41">
        <f>IF(Local!F96="Low",Local!C96,"")</f>
        <v/>
      </c>
    </row>
    <row r="97" ht="72" customHeight="1">
      <c r="A97" s="41">
        <f>IF(Local!F97="Low",Local!A97,"")</f>
        <v/>
      </c>
      <c r="B97" s="41">
        <f>IF(Local!F97="Low",Local!B97,"")</f>
        <v/>
      </c>
      <c r="C97" s="41">
        <f>IF(Local!F97="Low",Local!C97,"")</f>
        <v/>
      </c>
    </row>
    <row r="98" hidden="1" ht="72" customHeight="1">
      <c r="A98" s="41">
        <f>IF(Local!F98="Low",Local!A98,"")</f>
        <v/>
      </c>
      <c r="B98" s="41">
        <f>IF(Local!F98="Low",Local!B98,"")</f>
        <v/>
      </c>
      <c r="C98" s="41">
        <f>IF(Local!F98="Low",Local!C98,"")</f>
        <v/>
      </c>
    </row>
    <row r="99" hidden="1" ht="72" customHeight="1">
      <c r="A99" s="41">
        <f>IF(Local!F99="Low",Local!A99,"")</f>
        <v/>
      </c>
      <c r="B99" s="41">
        <f>IF(Local!F99="Low",Local!B99,"")</f>
        <v/>
      </c>
      <c r="C99" s="41">
        <f>IF(Local!F99="Low",Local!C99,"")</f>
        <v/>
      </c>
    </row>
    <row r="100" hidden="1" ht="72" customHeight="1">
      <c r="A100" s="41">
        <f>IF(Local!F100="Low",Local!A100,"")</f>
        <v/>
      </c>
      <c r="B100" s="41">
        <f>IF(Local!F100="Low",Local!B100,"")</f>
        <v/>
      </c>
      <c r="C100" s="41">
        <f>IF(Local!F100="Low",Local!C100,"")</f>
        <v/>
      </c>
    </row>
    <row r="101" hidden="1" ht="72" customHeight="1">
      <c r="A101" s="41">
        <f>IF(Local!F101="Low",Local!A101,"")</f>
        <v/>
      </c>
      <c r="B101" s="41">
        <f>IF(Local!F101="Low",Local!B101,"")</f>
        <v/>
      </c>
      <c r="C101" s="41">
        <f>IF(Local!F101="Low",Local!C101,"")</f>
        <v/>
      </c>
    </row>
    <row r="102" hidden="1" ht="72" customHeight="1">
      <c r="A102" s="41">
        <f>IF(Local!F102="Low",Local!A102,"")</f>
        <v/>
      </c>
      <c r="B102" s="41">
        <f>IF(Local!F102="Low",Local!B102,"")</f>
        <v/>
      </c>
      <c r="C102" s="41">
        <f>IF(Local!F102="Low",Local!C102,"")</f>
        <v/>
      </c>
    </row>
    <row r="103" hidden="1" ht="72" customHeight="1">
      <c r="A103" s="41">
        <f>IF(Local!F103="Low",Local!A103,"")</f>
        <v/>
      </c>
      <c r="B103" s="41">
        <f>IF(Local!F103="Low",Local!B103,"")</f>
        <v/>
      </c>
      <c r="C103" s="41">
        <f>IF(Local!F103="Low",Local!C103,"")</f>
        <v/>
      </c>
    </row>
    <row r="104" ht="72" customHeight="1">
      <c r="A104" s="41">
        <f>IF(Local!F104="Low",Local!A104,"")</f>
        <v/>
      </c>
      <c r="B104" s="41">
        <f>IF(Local!F104="Low",Local!B104,"")</f>
        <v/>
      </c>
      <c r="C104" s="41">
        <f>IF(Local!F104="Low",Local!C104,"")</f>
        <v/>
      </c>
    </row>
    <row r="105" hidden="1" ht="72" customHeight="1">
      <c r="A105" s="41">
        <f>IF(Local!F105="Low",Local!A105,"")</f>
        <v/>
      </c>
      <c r="B105" s="41">
        <f>IF(Local!F105="Low",Local!B105,"")</f>
        <v/>
      </c>
      <c r="C105" s="41">
        <f>IF(Local!F105="Low",Local!C105,"")</f>
        <v/>
      </c>
    </row>
    <row r="106" hidden="1" ht="72" customHeight="1">
      <c r="A106" s="41">
        <f>IF(Local!F106="Low",Local!A106,"")</f>
        <v/>
      </c>
      <c r="B106" s="41">
        <f>IF(Local!F106="Low",Local!B106,"")</f>
        <v/>
      </c>
      <c r="C106" s="41">
        <f>IF(Local!F106="Low",Local!C106,"")</f>
        <v/>
      </c>
    </row>
    <row r="107" hidden="1" ht="72" customHeight="1">
      <c r="A107" s="41">
        <f>IF(Local!F107="Low",Local!A107,"")</f>
        <v/>
      </c>
      <c r="B107" s="41">
        <f>IF(Local!F107="Low",Local!B107,"")</f>
        <v/>
      </c>
      <c r="C107" s="41">
        <f>IF(Local!F107="Low",Local!C107,"")</f>
        <v/>
      </c>
    </row>
    <row r="108" ht="72" customHeight="1">
      <c r="A108" s="41">
        <f>IF(Local!F108="Low",Local!A108,"")</f>
        <v/>
      </c>
      <c r="B108" s="41">
        <f>IF(Local!F108="Low",Local!B108,"")</f>
        <v/>
      </c>
      <c r="C108" s="41">
        <f>IF(Local!F108="Low",Local!C108,"")</f>
        <v/>
      </c>
    </row>
    <row r="109" hidden="1" ht="72" customHeight="1">
      <c r="A109" s="41">
        <f>IF(Local!F109="Low",Local!A109,"")</f>
        <v/>
      </c>
      <c r="B109" s="41">
        <f>IF(Local!F109="Low",Local!B109,"")</f>
        <v/>
      </c>
      <c r="C109" s="41">
        <f>IF(Local!F109="Low",Local!C109,"")</f>
        <v/>
      </c>
    </row>
    <row r="110" hidden="1" ht="72" customHeight="1">
      <c r="A110" s="41">
        <f>IF(Local!F110="Low",Local!A110,"")</f>
        <v/>
      </c>
      <c r="B110" s="41">
        <f>IF(Local!F110="Low",Local!B110,"")</f>
        <v/>
      </c>
      <c r="C110" s="41">
        <f>IF(Local!F110="Low",Local!C110,"")</f>
        <v/>
      </c>
    </row>
    <row r="111" hidden="1" ht="72" customHeight="1">
      <c r="A111" s="41">
        <f>IF(Local!F111="Low",Local!A111,"")</f>
        <v/>
      </c>
      <c r="B111" s="41">
        <f>IF(Local!F111="Low",Local!B111,"")</f>
        <v/>
      </c>
      <c r="C111" s="41">
        <f>IF(Local!F111="Low",Local!C111,"")</f>
        <v/>
      </c>
    </row>
    <row r="112" hidden="1" ht="72" customHeight="1">
      <c r="A112" s="41">
        <f>IF(Local!F112="Low",Local!A112,"")</f>
        <v/>
      </c>
      <c r="B112" s="41">
        <f>IF(Local!F112="Low",Local!B112,"")</f>
        <v/>
      </c>
      <c r="C112" s="41">
        <f>IF(Local!F112="Low",Local!C112,"")</f>
        <v/>
      </c>
    </row>
    <row r="113" hidden="1" ht="72" customHeight="1">
      <c r="A113" s="41">
        <f>IF(Local!F113="Low",Local!A113,"")</f>
        <v/>
      </c>
      <c r="B113" s="41">
        <f>IF(Local!F113="Low",Local!B113,"")</f>
        <v/>
      </c>
      <c r="C113" s="41">
        <f>IF(Local!F113="Low",Local!C113,"")</f>
        <v/>
      </c>
    </row>
    <row r="114" hidden="1" ht="72" customHeight="1">
      <c r="A114" s="41">
        <f>IF(Local!F114="Low",Local!A114,"")</f>
        <v/>
      </c>
      <c r="B114" s="41">
        <f>IF(Local!F114="Low",Local!B114,"")</f>
        <v/>
      </c>
      <c r="C114" s="41">
        <f>IF(Local!F114="Low",Local!C114,"")</f>
        <v/>
      </c>
    </row>
    <row r="115" hidden="1" ht="72" customHeight="1">
      <c r="A115" s="41">
        <f>IF(Local!F115="Low",Local!A115,"")</f>
        <v/>
      </c>
      <c r="B115" s="41">
        <f>IF(Local!F115="Low",Local!B115,"")</f>
        <v/>
      </c>
      <c r="C115" s="41">
        <f>IF(Local!F115="Low",Local!C115,"")</f>
        <v/>
      </c>
    </row>
    <row r="116" hidden="1" ht="72" customHeight="1">
      <c r="A116" s="41">
        <f>IF(Local!F116="Low",Local!A116,"")</f>
        <v/>
      </c>
      <c r="B116" s="41">
        <f>IF(Local!F116="Low",Local!B116,"")</f>
        <v/>
      </c>
      <c r="C116" s="41">
        <f>IF(Local!F116="Low",Local!C116,"")</f>
        <v/>
      </c>
    </row>
    <row r="117" hidden="1" ht="72" customHeight="1">
      <c r="A117" s="41">
        <f>IF(Local!F117="Low",Local!A117,"")</f>
        <v/>
      </c>
      <c r="B117" s="41">
        <f>IF(Local!F117="Low",Local!B117,"")</f>
        <v/>
      </c>
      <c r="C117" s="41">
        <f>IF(Local!F117="Low",Local!C117,"")</f>
        <v/>
      </c>
    </row>
    <row r="118" ht="72" customHeight="1">
      <c r="A118" s="41">
        <f>IF(Local!F118="Low",Local!A118,"")</f>
        <v/>
      </c>
      <c r="B118" s="41">
        <f>IF(Local!F118="Low",Local!B118,"")</f>
        <v/>
      </c>
      <c r="C118" s="41">
        <f>IF(Local!F118="Low",Local!C118,"")</f>
        <v/>
      </c>
    </row>
    <row r="119" hidden="1" ht="72" customHeight="1">
      <c r="A119" s="41">
        <f>IF(Local!F119="Low",Local!A119,"")</f>
        <v/>
      </c>
      <c r="B119" s="41">
        <f>IF(Local!F119="Low",Local!B119,"")</f>
        <v/>
      </c>
      <c r="C119" s="41">
        <f>IF(Local!F119="Low",Local!C119,"")</f>
        <v/>
      </c>
    </row>
    <row r="120" hidden="1" ht="72" customHeight="1">
      <c r="A120" s="41">
        <f>IF(Local!F120="Low",Local!A120,"")</f>
        <v/>
      </c>
      <c r="B120" s="41">
        <f>IF(Local!F120="Low",Local!B120,"")</f>
        <v/>
      </c>
      <c r="C120" s="41">
        <f>IF(Local!F120="Low",Local!C120,"")</f>
        <v/>
      </c>
    </row>
    <row r="121" hidden="1" ht="72" customHeight="1">
      <c r="A121" s="41">
        <f>IF(Local!F121="Low",Local!A121,"")</f>
        <v/>
      </c>
      <c r="B121" s="41">
        <f>IF(Local!F121="Low",Local!B121,"")</f>
        <v/>
      </c>
      <c r="C121" s="41">
        <f>IF(Local!F121="Low",Local!C121,"")</f>
        <v/>
      </c>
    </row>
    <row r="122" hidden="1" ht="72" customHeight="1">
      <c r="A122" s="41">
        <f>IF(Local!F122="Low",Local!A122,"")</f>
        <v/>
      </c>
      <c r="B122" s="41">
        <f>IF(Local!F122="Low",Local!B122,"")</f>
        <v/>
      </c>
      <c r="C122" s="41">
        <f>IF(Local!F122="Low",Local!C122,"")</f>
        <v/>
      </c>
    </row>
    <row r="123" hidden="1" ht="72" customHeight="1">
      <c r="A123" s="41">
        <f>IF(Local!F123="Low",Local!A123,"")</f>
        <v/>
      </c>
      <c r="B123" s="41">
        <f>IF(Local!F123="Low",Local!B123,"")</f>
        <v/>
      </c>
      <c r="C123" s="41">
        <f>IF(Local!F123="Low",Local!C123,"")</f>
        <v/>
      </c>
    </row>
    <row r="124" hidden="1" ht="72" customHeight="1">
      <c r="A124" s="41">
        <f>IF(Local!F124="Low",Local!A124,"")</f>
        <v/>
      </c>
      <c r="B124" s="41">
        <f>IF(Local!F124="Low",Local!B124,"")</f>
        <v/>
      </c>
      <c r="C124" s="41">
        <f>IF(Local!F124="Low",Local!C124,"")</f>
        <v/>
      </c>
    </row>
    <row r="125" ht="72" customHeight="1">
      <c r="A125" s="41">
        <f>IF(Local!F125="Low",Local!A125,"")</f>
        <v/>
      </c>
      <c r="B125" s="41">
        <f>IF(Local!F125="Low",Local!B125,"")</f>
        <v/>
      </c>
      <c r="C125" s="41">
        <f>IF(Local!F125="Low",Local!C125,"")</f>
        <v/>
      </c>
    </row>
    <row r="126" hidden="1" ht="72" customHeight="1">
      <c r="A126" s="41">
        <f>IF(Local!F126="Low",Local!A126,"")</f>
        <v/>
      </c>
      <c r="B126" s="41">
        <f>IF(Local!F126="Low",Local!B126,"")</f>
        <v/>
      </c>
      <c r="C126" s="41">
        <f>IF(Local!F126="Low",Local!C126,"")</f>
        <v/>
      </c>
    </row>
    <row r="127" hidden="1" ht="72" customHeight="1">
      <c r="A127" s="41">
        <f>IF(Local!F127="Low",Local!A127,"")</f>
        <v/>
      </c>
      <c r="B127" s="41">
        <f>IF(Local!F127="Low",Local!B127,"")</f>
        <v/>
      </c>
      <c r="C127" s="41">
        <f>IF(Local!F127="Low",Local!C127,"")</f>
        <v/>
      </c>
    </row>
    <row r="128" hidden="1" ht="72" customHeight="1">
      <c r="A128" s="41">
        <f>IF(Local!F128="Low",Local!A128,"")</f>
        <v/>
      </c>
      <c r="B128" s="41">
        <f>IF(Local!F128="Low",Local!B128,"")</f>
        <v/>
      </c>
      <c r="C128" s="41">
        <f>IF(Local!F128="Low",Local!C128,"")</f>
        <v/>
      </c>
    </row>
    <row r="129" hidden="1" ht="72" customHeight="1">
      <c r="A129" s="41">
        <f>IF(Local!F129="Low",Local!A129,"")</f>
        <v/>
      </c>
      <c r="B129" s="41">
        <f>IF(Local!F129="Low",Local!B129,"")</f>
        <v/>
      </c>
      <c r="C129" s="41">
        <f>IF(Local!F129="Low",Local!C129,"")</f>
        <v/>
      </c>
    </row>
    <row r="130" ht="72" customHeight="1">
      <c r="A130" s="41">
        <f>IF(Local!F130="Low",Local!A130,"")</f>
        <v/>
      </c>
      <c r="B130" s="41">
        <f>IF(Local!F130="Low",Local!B130,"")</f>
        <v/>
      </c>
      <c r="C130" s="41">
        <f>IF(Local!F130="Low",Local!C130,"")</f>
        <v/>
      </c>
    </row>
    <row r="131" hidden="1" ht="72" customHeight="1">
      <c r="A131" s="41">
        <f>IF(Local!F131="Low",Local!A131,"")</f>
        <v/>
      </c>
      <c r="B131" s="41">
        <f>IF(Local!F131="Low",Local!B131,"")</f>
        <v/>
      </c>
      <c r="C131" s="41">
        <f>IF(Local!F131="Low",Local!C131,"")</f>
        <v/>
      </c>
    </row>
    <row r="132" ht="72" customHeight="1">
      <c r="A132" s="41">
        <f>IF(Local!F132="Low",Local!A132,"")</f>
        <v/>
      </c>
      <c r="B132" s="41">
        <f>IF(Local!F132="Low",Local!B132,"")</f>
        <v/>
      </c>
      <c r="C132" s="41">
        <f>IF(Local!F132="Low",Local!C132,"")</f>
        <v/>
      </c>
    </row>
    <row r="133" ht="72" customHeight="1">
      <c r="A133" s="41">
        <f>IF(Local!F133="Low",Local!A133,"")</f>
        <v/>
      </c>
      <c r="B133" s="41">
        <f>IF(Local!F133="Low",Local!B133,"")</f>
        <v/>
      </c>
      <c r="C133" s="41">
        <f>IF(Local!F133="Low",Local!C133,"")</f>
        <v/>
      </c>
    </row>
    <row r="134" hidden="1" ht="72" customHeight="1">
      <c r="A134" s="41">
        <f>IF(Local!F134="Low",Local!A134,"")</f>
        <v/>
      </c>
      <c r="B134" s="41">
        <f>IF(Local!F134="Low",Local!B134,"")</f>
        <v/>
      </c>
      <c r="C134" s="41">
        <f>IF(Local!F134="Low",Local!C134,"")</f>
        <v/>
      </c>
    </row>
    <row r="135" hidden="1" ht="72" customHeight="1">
      <c r="A135" s="41">
        <f>IF(Local!F135="Low",Local!A135,"")</f>
        <v/>
      </c>
      <c r="B135" s="41">
        <f>IF(Local!F135="Low",Local!B135,"")</f>
        <v/>
      </c>
      <c r="C135" s="41">
        <f>IF(Local!F135="Low",Local!C135,"")</f>
        <v/>
      </c>
    </row>
    <row r="136" hidden="1" ht="72" customHeight="1">
      <c r="A136" s="41">
        <f>IF(Local!F136="Low",Local!A136,"")</f>
        <v/>
      </c>
      <c r="B136" s="41">
        <f>IF(Local!F136="Low",Local!B136,"")</f>
        <v/>
      </c>
      <c r="C136" s="41">
        <f>IF(Local!F136="Low",Local!C136,"")</f>
        <v/>
      </c>
    </row>
    <row r="137" hidden="1" ht="72" customHeight="1">
      <c r="A137" s="41">
        <f>IF(Local!F137="Low",Local!A137,"")</f>
        <v/>
      </c>
      <c r="B137" s="41">
        <f>IF(Local!F137="Low",Local!B137,"")</f>
        <v/>
      </c>
      <c r="C137" s="41">
        <f>IF(Local!F137="Low",Local!C137,"")</f>
        <v/>
      </c>
    </row>
    <row r="138" hidden="1" ht="72" customHeight="1">
      <c r="A138" s="41">
        <f>IF(Local!F138="Low",Local!A138,"")</f>
        <v/>
      </c>
      <c r="B138" s="41">
        <f>IF(Local!F138="Low",Local!B138,"")</f>
        <v/>
      </c>
      <c r="C138" s="41">
        <f>IF(Local!F138="Low",Local!C138,"")</f>
        <v/>
      </c>
    </row>
    <row r="139" hidden="1" ht="72" customHeight="1">
      <c r="A139" s="41">
        <f>IF(Local!F139="Low",Local!A139,"")</f>
        <v/>
      </c>
      <c r="B139" s="41">
        <f>IF(Local!F139="Low",Local!B139,"")</f>
        <v/>
      </c>
      <c r="C139" s="41">
        <f>IF(Local!F139="Low",Local!C139,"")</f>
        <v/>
      </c>
    </row>
    <row r="140" ht="72" customHeight="1">
      <c r="A140" s="41">
        <f>IF(Local!F140="Low",Local!A140,"")</f>
        <v/>
      </c>
      <c r="B140" s="41">
        <f>IF(Local!F140="Low",Local!B140,"")</f>
        <v/>
      </c>
      <c r="C140" s="41">
        <f>IF(Local!F140="Low",Local!C140,"")</f>
        <v/>
      </c>
    </row>
    <row r="141" hidden="1" ht="72" customHeight="1">
      <c r="A141" s="41">
        <f>IF(Local!F141="Low",Local!A141,"")</f>
        <v/>
      </c>
      <c r="B141" s="41">
        <f>IF(Local!F141="Low",Local!B141,"")</f>
        <v/>
      </c>
      <c r="C141" s="41">
        <f>IF(Local!F141="Low",Local!C141,"")</f>
        <v/>
      </c>
    </row>
    <row r="142" hidden="1" ht="72" customHeight="1">
      <c r="A142" s="41">
        <f>IF(Local!F142="Low",Local!A142,"")</f>
        <v/>
      </c>
      <c r="B142" s="41">
        <f>IF(Local!F142="Low",Local!B142,"")</f>
        <v/>
      </c>
      <c r="C142" s="41">
        <f>IF(Local!F142="Low",Local!C142,"")</f>
        <v/>
      </c>
    </row>
    <row r="143" hidden="1" ht="72" customHeight="1">
      <c r="A143" s="41">
        <f>IF(Local!F143="Low",Local!A143,"")</f>
        <v/>
      </c>
      <c r="B143" s="41">
        <f>IF(Local!F143="Low",Local!B143,"")</f>
        <v/>
      </c>
      <c r="C143" s="41">
        <f>IF(Local!F143="Low",Local!C143,"")</f>
        <v/>
      </c>
    </row>
    <row r="144" hidden="1" ht="72" customHeight="1">
      <c r="A144" s="41">
        <f>IF(Local!F144="Low",Local!A144,"")</f>
        <v/>
      </c>
      <c r="B144" s="41">
        <f>IF(Local!F144="Low",Local!B144,"")</f>
        <v/>
      </c>
      <c r="C144" s="41">
        <f>IF(Local!F144="Low",Local!C144,"")</f>
        <v/>
      </c>
    </row>
    <row r="145" hidden="1" ht="72" customHeight="1">
      <c r="A145" s="41">
        <f>IF(Local!F145="Low",Local!A145,"")</f>
        <v/>
      </c>
      <c r="B145" s="41">
        <f>IF(Local!F145="Low",Local!B145,"")</f>
        <v/>
      </c>
      <c r="C145" s="41">
        <f>IF(Local!F145="Low",Local!C145,"")</f>
        <v/>
      </c>
    </row>
    <row r="146" hidden="1" ht="72" customHeight="1">
      <c r="A146" s="41">
        <f>IF(Local!F146="Low",Local!A146,"")</f>
        <v/>
      </c>
      <c r="B146" s="41">
        <f>IF(Local!F146="Low",Local!B146,"")</f>
        <v/>
      </c>
      <c r="C146" s="41">
        <f>IF(Local!F146="Low",Local!C146,"")</f>
        <v/>
      </c>
    </row>
    <row r="147" hidden="1" ht="72" customHeight="1">
      <c r="A147" s="41">
        <f>IF(Local!F147="Low",Local!A147,"")</f>
        <v/>
      </c>
      <c r="B147" s="41">
        <f>IF(Local!F147="Low",Local!B147,"")</f>
        <v/>
      </c>
      <c r="C147" s="41">
        <f>IF(Local!F147="Low",Local!C147,"")</f>
        <v/>
      </c>
    </row>
    <row r="148" hidden="1" ht="72" customHeight="1">
      <c r="A148" s="41">
        <f>IF(Local!F148="Low",Local!A148,"")</f>
        <v/>
      </c>
      <c r="B148" s="41">
        <f>IF(Local!F148="Low",Local!B148,"")</f>
        <v/>
      </c>
      <c r="C148" s="41">
        <f>IF(Local!F148="Low",Local!C148,"")</f>
        <v/>
      </c>
    </row>
    <row r="149" hidden="1" ht="72" customHeight="1">
      <c r="A149" s="41">
        <f>IF(Local!F149="Low",Local!A149,"")</f>
        <v/>
      </c>
      <c r="B149" s="41">
        <f>IF(Local!F149="Low",Local!B149,"")</f>
        <v/>
      </c>
      <c r="C149" s="41">
        <f>IF(Local!F149="Low",Local!C149,"")</f>
        <v/>
      </c>
    </row>
    <row r="150" hidden="1" ht="72" customHeight="1">
      <c r="A150" s="41">
        <f>IF(Local!F150="Low",Local!A150,"")</f>
        <v/>
      </c>
      <c r="B150" s="41">
        <f>IF(Local!F150="Low",Local!B150,"")</f>
        <v/>
      </c>
      <c r="C150" s="41">
        <f>IF(Local!F150="Low",Local!C150,"")</f>
        <v/>
      </c>
    </row>
    <row r="151" hidden="1" ht="72" customHeight="1">
      <c r="A151" s="41">
        <f>IF(Local!F151="Low",Local!A151,"")</f>
        <v/>
      </c>
      <c r="B151" s="41">
        <f>IF(Local!F151="Low",Local!B151,"")</f>
        <v/>
      </c>
      <c r="C151" s="41">
        <f>IF(Local!F151="Low",Local!C151,"")</f>
        <v/>
      </c>
    </row>
    <row r="152" hidden="1" ht="72" customHeight="1">
      <c r="A152" s="41">
        <f>IF(Local!F152="Low",Local!A152,"")</f>
        <v/>
      </c>
      <c r="B152" s="41">
        <f>IF(Local!F152="Low",Local!B152,"")</f>
        <v/>
      </c>
      <c r="C152" s="41">
        <f>IF(Local!F152="Low",Local!C152,"")</f>
        <v/>
      </c>
    </row>
    <row r="153" hidden="1" ht="72" customHeight="1">
      <c r="A153" s="41">
        <f>IF(Local!F153="Low",Local!A153,"")</f>
        <v/>
      </c>
      <c r="B153" s="41">
        <f>IF(Local!F153="Low",Local!B153,"")</f>
        <v/>
      </c>
      <c r="C153" s="41">
        <f>IF(Local!F153="Low",Local!C153,"")</f>
        <v/>
      </c>
    </row>
    <row r="154" hidden="1" ht="72" customHeight="1">
      <c r="A154" s="41">
        <f>IF(Local!F154="Low",Local!A154,"")</f>
        <v/>
      </c>
      <c r="B154" s="41">
        <f>IF(Local!F154="Low",Local!B154,"")</f>
        <v/>
      </c>
      <c r="C154" s="41">
        <f>IF(Local!F154="Low",Local!C154,"")</f>
        <v/>
      </c>
    </row>
    <row r="155" hidden="1" ht="72" customHeight="1">
      <c r="A155" s="41">
        <f>IF(Local!F155="Low",Local!A155,"")</f>
        <v/>
      </c>
      <c r="B155" s="41">
        <f>IF(Local!F155="Low",Local!B155,"")</f>
        <v/>
      </c>
      <c r="C155" s="41">
        <f>IF(Local!F155="Low",Local!C155,"")</f>
        <v/>
      </c>
    </row>
    <row r="156" ht="72" customHeight="1">
      <c r="A156" s="41">
        <f>IF(Local!F156="Low",Local!A156,"")</f>
        <v/>
      </c>
      <c r="B156" s="41">
        <f>IF(Local!F156="Low",Local!B156,"")</f>
        <v/>
      </c>
      <c r="C156" s="41">
        <f>IF(Local!F156="Low",Local!C156,"")</f>
        <v/>
      </c>
    </row>
    <row r="157" hidden="1" ht="72" customHeight="1">
      <c r="A157" s="41">
        <f>IF(Local!F157="Low",Local!A157,"")</f>
        <v/>
      </c>
      <c r="B157" s="41">
        <f>IF(Local!F157="Low",Local!B157,"")</f>
        <v/>
      </c>
      <c r="C157" s="41">
        <f>IF(Local!F157="Low",Local!C157,"")</f>
        <v/>
      </c>
    </row>
    <row r="158" hidden="1" ht="72" customHeight="1">
      <c r="A158" s="41">
        <f>IF(Local!F158="Low",Local!A158,"")</f>
        <v/>
      </c>
      <c r="B158" s="41">
        <f>IF(Local!F158="Low",Local!B158,"")</f>
        <v/>
      </c>
      <c r="C158" s="41">
        <f>IF(Local!F158="Low",Local!C158,"")</f>
        <v/>
      </c>
    </row>
    <row r="159" hidden="1" ht="72" customHeight="1">
      <c r="A159" s="41">
        <f>IF(Local!F159="Low",Local!A159,"")</f>
        <v/>
      </c>
      <c r="B159" s="41">
        <f>IF(Local!F159="Low",Local!B159,"")</f>
        <v/>
      </c>
      <c r="C159" s="41">
        <f>IF(Local!F159="Low",Local!C159,"")</f>
        <v/>
      </c>
    </row>
    <row r="160" hidden="1" ht="72" customHeight="1">
      <c r="A160" s="41">
        <f>IF(Local!F160="Low",Local!A160,"")</f>
        <v/>
      </c>
      <c r="B160" s="41">
        <f>IF(Local!F160="Low",Local!B160,"")</f>
        <v/>
      </c>
      <c r="C160" s="41">
        <f>IF(Local!F160="Low",Local!C160,"")</f>
        <v/>
      </c>
    </row>
    <row r="161" hidden="1" ht="72" customHeight="1">
      <c r="A161" s="41">
        <f>IF(Local!F161="Low",Local!A161,"")</f>
        <v/>
      </c>
      <c r="B161" s="41">
        <f>IF(Local!F161="Low",Local!B161,"")</f>
        <v/>
      </c>
      <c r="C161" s="41">
        <f>IF(Local!F161="Low",Local!C161,"")</f>
        <v/>
      </c>
    </row>
    <row r="162" hidden="1" ht="72" customHeight="1">
      <c r="A162" s="41">
        <f>IF(Local!F162="Low",Local!A162,"")</f>
        <v/>
      </c>
      <c r="B162" s="41">
        <f>IF(Local!F162="Low",Local!B162,"")</f>
        <v/>
      </c>
      <c r="C162" s="41">
        <f>IF(Local!F162="Low",Local!C162,"")</f>
        <v/>
      </c>
    </row>
    <row r="163" hidden="1" ht="72" customHeight="1">
      <c r="A163" s="41">
        <f>IF(Local!F163="Low",Local!A163,"")</f>
        <v/>
      </c>
      <c r="B163" s="41">
        <f>IF(Local!F163="Low",Local!B163,"")</f>
        <v/>
      </c>
      <c r="C163" s="41">
        <f>IF(Local!F163="Low",Local!C163,"")</f>
        <v/>
      </c>
    </row>
    <row r="164" hidden="1" ht="72" customHeight="1">
      <c r="A164" s="41">
        <f>IF(Local!F164="Low",Local!A164,"")</f>
        <v/>
      </c>
      <c r="B164" s="41">
        <f>IF(Local!F164="Low",Local!B164,"")</f>
        <v/>
      </c>
      <c r="C164" s="41">
        <f>IF(Local!F164="Low",Local!C164,"")</f>
        <v/>
      </c>
    </row>
    <row r="165" ht="72" customHeight="1">
      <c r="A165" s="41">
        <f>IF(Local!F165="Low",Local!A165,"")</f>
        <v/>
      </c>
      <c r="B165" s="41">
        <f>IF(Local!F165="Low",Local!B165,"")</f>
        <v/>
      </c>
      <c r="C165" s="41">
        <f>IF(Local!F165="Low",Local!C165,"")</f>
        <v/>
      </c>
    </row>
    <row r="166" ht="72" customHeight="1">
      <c r="A166" s="41">
        <f>IF(Local!F166="Low",Local!A166,"")</f>
        <v/>
      </c>
      <c r="B166" s="41">
        <f>IF(Local!F166="Low",Local!B166,"")</f>
        <v/>
      </c>
      <c r="C166" s="41">
        <f>IF(Local!F166="Low",Local!C166,"")</f>
        <v/>
      </c>
    </row>
    <row r="167" hidden="1" ht="72" customHeight="1">
      <c r="A167" s="41">
        <f>IF(Local!F167="Low",Local!A167,"")</f>
        <v/>
      </c>
      <c r="B167" s="41">
        <f>IF(Local!F167="Low",Local!B167,"")</f>
        <v/>
      </c>
      <c r="C167" s="41">
        <f>IF(Local!F167="Low",Local!C167,"")</f>
        <v/>
      </c>
    </row>
    <row r="168" hidden="1" ht="72" customHeight="1">
      <c r="A168" s="41">
        <f>IF(Local!F168="Low",Local!A168,"")</f>
        <v/>
      </c>
      <c r="B168" s="41">
        <f>IF(Local!F168="Low",Local!B168,"")</f>
        <v/>
      </c>
      <c r="C168" s="41">
        <f>IF(Local!F168="Low",Local!C168,"")</f>
        <v/>
      </c>
    </row>
    <row r="169" hidden="1" ht="72" customHeight="1">
      <c r="A169" s="41">
        <f>IF(Local!F169="Low",Local!A169,"")</f>
        <v/>
      </c>
      <c r="B169" s="41">
        <f>IF(Local!F169="Low",Local!B169,"")</f>
        <v/>
      </c>
      <c r="C169" s="41">
        <f>IF(Local!F169="Low",Local!C169,"")</f>
        <v/>
      </c>
    </row>
    <row r="170" hidden="1" ht="72" customHeight="1">
      <c r="A170" s="41">
        <f>IF(Local!F170="Low",Local!A170,"")</f>
        <v/>
      </c>
      <c r="B170" s="41">
        <f>IF(Local!F170="Low",Local!B170,"")</f>
        <v/>
      </c>
      <c r="C170" s="41">
        <f>IF(Local!F170="Low",Local!C170,"")</f>
        <v/>
      </c>
    </row>
    <row r="171" hidden="1" ht="72" customHeight="1">
      <c r="A171" s="41">
        <f>IF(Local!F171="Low",Local!A171,"")</f>
        <v/>
      </c>
      <c r="B171" s="41">
        <f>IF(Local!F171="Low",Local!B171,"")</f>
        <v/>
      </c>
      <c r="C171" s="41">
        <f>IF(Local!F171="Low",Local!C171,"")</f>
        <v/>
      </c>
    </row>
    <row r="172" ht="72" customHeight="1">
      <c r="A172" s="41">
        <f>IF(Local!F172="Low",Local!A172,"")</f>
        <v/>
      </c>
      <c r="B172" s="41">
        <f>IF(Local!F172="Low",Local!B172,"")</f>
        <v/>
      </c>
      <c r="C172" s="41">
        <f>IF(Local!F172="Low",Local!C172,"")</f>
        <v/>
      </c>
    </row>
    <row r="173" hidden="1" ht="72" customHeight="1">
      <c r="A173" s="41">
        <f>IF(Local!F173="Low",Local!A173,"")</f>
        <v/>
      </c>
      <c r="B173" s="41">
        <f>IF(Local!F173="Low",Local!B173,"")</f>
        <v/>
      </c>
      <c r="C173" s="41">
        <f>IF(Local!F173="Low",Local!C173,"")</f>
        <v/>
      </c>
    </row>
    <row r="174" hidden="1" ht="72" customHeight="1">
      <c r="A174" s="41">
        <f>IF(Local!F174="Low",Local!A174,"")</f>
        <v/>
      </c>
      <c r="B174" s="41">
        <f>IF(Local!F174="Low",Local!B174,"")</f>
        <v/>
      </c>
      <c r="C174" s="41">
        <f>IF(Local!F174="Low",Local!C174,"")</f>
        <v/>
      </c>
    </row>
    <row r="175" hidden="1" ht="72" customHeight="1">
      <c r="A175" s="41">
        <f>IF(Local!F175="Low",Local!A175,"")</f>
        <v/>
      </c>
      <c r="B175" s="41">
        <f>IF(Local!F175="Low",Local!B175,"")</f>
        <v/>
      </c>
      <c r="C175" s="41">
        <f>IF(Local!F175="Low",Local!C175,"")</f>
        <v/>
      </c>
    </row>
    <row r="176" hidden="1" ht="72" customHeight="1">
      <c r="A176" s="41">
        <f>IF(Local!F176="Low",Local!A176,"")</f>
        <v/>
      </c>
      <c r="B176" s="41">
        <f>IF(Local!F176="Low",Local!B176,"")</f>
        <v/>
      </c>
      <c r="C176" s="41">
        <f>IF(Local!F176="Low",Local!C176,"")</f>
        <v/>
      </c>
    </row>
    <row r="177" ht="72" customHeight="1">
      <c r="A177" s="41">
        <f>IF(Local!F177="Low",Local!A177,"")</f>
        <v/>
      </c>
      <c r="B177" s="41">
        <f>IF(Local!F177="Low",Local!B177,"")</f>
        <v/>
      </c>
      <c r="C177" s="41">
        <f>IF(Local!F177="Low",Local!C177,"")</f>
        <v/>
      </c>
    </row>
    <row r="178" hidden="1" ht="72" customHeight="1">
      <c r="A178" s="41">
        <f>IF(Local!F178="Low",Local!A178,"")</f>
        <v/>
      </c>
      <c r="B178" s="41">
        <f>IF(Local!F178="Low",Local!B178,"")</f>
        <v/>
      </c>
      <c r="C178" s="41">
        <f>IF(Local!F178="Low",Local!C178,"")</f>
        <v/>
      </c>
    </row>
    <row r="179" hidden="1" ht="72" customHeight="1">
      <c r="A179" s="41">
        <f>IF(Local!F179="Low",Local!A179,"")</f>
        <v/>
      </c>
      <c r="B179" s="41">
        <f>IF(Local!F179="Low",Local!B179,"")</f>
        <v/>
      </c>
      <c r="C179" s="41">
        <f>IF(Local!F179="Low",Local!C179,"")</f>
        <v/>
      </c>
    </row>
    <row r="180" hidden="1" ht="72" customHeight="1">
      <c r="A180" s="41">
        <f>IF(Local!F180="Low",Local!A180,"")</f>
        <v/>
      </c>
      <c r="B180" s="41">
        <f>IF(Local!F180="Low",Local!B180,"")</f>
        <v/>
      </c>
      <c r="C180" s="41">
        <f>IF(Local!F180="Low",Local!C180,"")</f>
        <v/>
      </c>
    </row>
    <row r="181" ht="72" customHeight="1">
      <c r="A181" s="41">
        <f>IF(Local!F181="Low",Local!A181,"")</f>
        <v/>
      </c>
      <c r="B181" s="41">
        <f>IF(Local!F181="Low",Local!B181,"")</f>
        <v/>
      </c>
      <c r="C181" s="41">
        <f>IF(Local!F181="Low",Local!C181,"")</f>
        <v/>
      </c>
    </row>
    <row r="182" hidden="1" ht="72" customHeight="1">
      <c r="A182" s="41">
        <f>IF(Local!F182="Low",Local!A182,"")</f>
        <v/>
      </c>
      <c r="B182" s="41">
        <f>IF(Local!F182="Low",Local!B182,"")</f>
        <v/>
      </c>
      <c r="C182" s="41">
        <f>IF(Local!F182="Low",Local!C182,"")</f>
        <v/>
      </c>
    </row>
    <row r="183" hidden="1" ht="72" customHeight="1">
      <c r="A183" s="41">
        <f>IF(Local!F183="Low",Local!A183,"")</f>
        <v/>
      </c>
      <c r="B183" s="41">
        <f>IF(Local!F183="Low",Local!B183,"")</f>
        <v/>
      </c>
      <c r="C183" s="41">
        <f>IF(Local!F183="Low",Local!C183,"")</f>
        <v/>
      </c>
    </row>
    <row r="184" hidden="1" ht="72" customHeight="1">
      <c r="A184" s="41">
        <f>IF(Local!F184="Low",Local!A184,"")</f>
        <v/>
      </c>
      <c r="B184" s="41">
        <f>IF(Local!F184="Low",Local!B184,"")</f>
        <v/>
      </c>
      <c r="C184" s="41">
        <f>IF(Local!F184="Low",Local!C184,"")</f>
        <v/>
      </c>
    </row>
    <row r="185" hidden="1" ht="72" customHeight="1">
      <c r="A185" s="41">
        <f>IF(Local!F185="Low",Local!A185,"")</f>
        <v/>
      </c>
      <c r="B185" s="41">
        <f>IF(Local!F185="Low",Local!B185,"")</f>
        <v/>
      </c>
      <c r="C185" s="41">
        <f>IF(Local!F185="Low",Local!C185,"")</f>
        <v/>
      </c>
    </row>
    <row r="186" hidden="1" ht="72" customHeight="1">
      <c r="A186" s="41">
        <f>IF(Local!F186="Low",Local!A186,"")</f>
        <v/>
      </c>
      <c r="B186" s="41">
        <f>IF(Local!F186="Low",Local!B186,"")</f>
        <v/>
      </c>
      <c r="C186" s="41">
        <f>IF(Local!F186="Low",Local!C186,"")</f>
        <v/>
      </c>
    </row>
    <row r="187" hidden="1" ht="72" customHeight="1">
      <c r="A187" s="41">
        <f>IF(Local!E156="Low",Local!A187,"")</f>
        <v/>
      </c>
      <c r="B187" s="41">
        <f>IF(Local!E156="Low",Local!B187,"")</f>
        <v/>
      </c>
      <c r="C187" s="41">
        <f>IF(Local!E156="Low",Local!C187,"")</f>
        <v/>
      </c>
    </row>
    <row r="188" hidden="1" ht="72" customHeight="1">
      <c r="A188" s="41">
        <f>IF(Local!F188="Low",Local!A188,"")</f>
        <v/>
      </c>
      <c r="B188" s="41">
        <f>IF(Local!F188="Low",Local!B188,"")</f>
        <v/>
      </c>
      <c r="C188" s="41">
        <f>IF(Local!F188="Low",Local!C188,"")</f>
        <v/>
      </c>
    </row>
    <row r="189" ht="72" customHeight="1">
      <c r="A189" s="41">
        <f>IF(Local!F189="Low",Local!A189,"")</f>
        <v/>
      </c>
      <c r="B189" s="41">
        <f>IF(Local!F189="Low",Local!B189,"")</f>
        <v/>
      </c>
      <c r="C189" s="41">
        <f>IF(Local!F189="Low",Local!C189,"")</f>
        <v/>
      </c>
    </row>
    <row r="190" hidden="1" ht="72" customHeight="1">
      <c r="A190" s="41">
        <f>IF(Local!F190="Low",Local!A190,"")</f>
        <v/>
      </c>
      <c r="B190" s="41">
        <f>IF(Local!F190="Low",Local!B190,"")</f>
        <v/>
      </c>
      <c r="C190" s="41">
        <f>IF(Local!F190="Low",Local!C190,"")</f>
        <v/>
      </c>
    </row>
    <row r="191" hidden="1" ht="72" customHeight="1">
      <c r="A191" s="41">
        <f>IF(Local!F191="Low",Local!A191,"")</f>
        <v/>
      </c>
      <c r="B191" s="41">
        <f>IF(Local!F191="Low",Local!B191,"")</f>
        <v/>
      </c>
      <c r="C191" s="41">
        <f>IF(Local!F191="Low",Local!C191,"")</f>
        <v/>
      </c>
    </row>
    <row r="192" hidden="1" ht="72" customHeight="1">
      <c r="A192" s="41">
        <f>IF(Local!F192="Low",Local!A192,"")</f>
        <v/>
      </c>
      <c r="B192" s="41">
        <f>IF(Local!F192="Low",Local!B192,"")</f>
        <v/>
      </c>
      <c r="C192" s="41">
        <f>IF(Local!F192="Low",Local!C192,"")</f>
        <v/>
      </c>
    </row>
    <row r="193" hidden="1" ht="72" customHeight="1">
      <c r="A193" s="41">
        <f>IF(Local!F193="Low",Local!A193,"")</f>
        <v/>
      </c>
      <c r="B193" s="41">
        <f>IF(Local!F193="Low",Local!B193,"")</f>
        <v/>
      </c>
      <c r="C193" s="41">
        <f>IF(Local!F193="Low",Local!C193,"")</f>
        <v/>
      </c>
    </row>
    <row r="194" hidden="1" ht="72" customHeight="1">
      <c r="A194" s="41">
        <f>IF(Local!F194="Low",Local!A194,"")</f>
        <v/>
      </c>
      <c r="B194" s="41">
        <f>IF(Local!F194="Low",Local!B194,"")</f>
        <v/>
      </c>
      <c r="C194" s="41">
        <f>IF(Local!F194="Low",Local!C194,"")</f>
        <v/>
      </c>
    </row>
    <row r="195" ht="72" customHeight="1">
      <c r="A195" s="41">
        <f>IF(Local!F195="Low",Local!A195,"")</f>
        <v/>
      </c>
      <c r="B195" s="41">
        <f>IF(Local!F195="Low",Local!B195,"")</f>
        <v/>
      </c>
      <c r="C195" s="41">
        <f>IF(Local!F195="Low",Local!C195,"")</f>
        <v/>
      </c>
    </row>
    <row r="196" hidden="1" ht="72" customHeight="1">
      <c r="A196" s="41">
        <f>IF(Local!F196="Low",Local!A196,"")</f>
        <v/>
      </c>
      <c r="B196" s="41">
        <f>IF(Local!F196="Low",Local!B196,"")</f>
        <v/>
      </c>
      <c r="C196" s="41">
        <f>IF(Local!F196="Low",Local!C196,"")</f>
        <v/>
      </c>
    </row>
    <row r="197" hidden="1" ht="72" customHeight="1">
      <c r="A197" s="41">
        <f>IF(Local!F197="Low",Local!A197,"")</f>
        <v/>
      </c>
      <c r="B197" s="41">
        <f>IF(Local!F197="Low",Local!B197,"")</f>
        <v/>
      </c>
      <c r="C197" s="41">
        <f>IF(Local!F197="Low",Local!C197,"")</f>
        <v/>
      </c>
    </row>
    <row r="198" hidden="1" ht="72" customHeight="1">
      <c r="A198" s="41">
        <f>IF(Local!F198="Low",Local!A198,"")</f>
        <v/>
      </c>
      <c r="B198" s="41">
        <f>IF(Local!F198="Low",Local!B198,"")</f>
        <v/>
      </c>
      <c r="C198" s="41">
        <f>IF(Local!F198="Low",Local!C198,"")</f>
        <v/>
      </c>
    </row>
    <row r="199" hidden="1" ht="72" customHeight="1">
      <c r="A199" s="41">
        <f>IF(Local!F199="Low",Local!A199,"")</f>
        <v/>
      </c>
      <c r="B199" s="41">
        <f>IF(Local!F199="Low",Local!B199,"")</f>
        <v/>
      </c>
      <c r="C199" s="41">
        <f>IF(Local!F199="Low",Local!C199,"")</f>
        <v/>
      </c>
    </row>
    <row r="200" hidden="1" ht="72" customHeight="1">
      <c r="A200" s="41">
        <f>IF(Local!F200="Low",Local!A200,"")</f>
        <v/>
      </c>
      <c r="B200" s="41">
        <f>IF(Local!F200="Low",Local!B200,"")</f>
        <v/>
      </c>
      <c r="C200" s="41">
        <f>IF(Local!F200="Low",Local!C200,"")</f>
        <v/>
      </c>
    </row>
    <row r="201" hidden="1" ht="72" customHeight="1">
      <c r="A201" s="41">
        <f>IF(Local!F201="Low",Local!A201,"")</f>
        <v/>
      </c>
      <c r="B201" s="41">
        <f>IF(Local!F201="Low",Local!B201,"")</f>
        <v/>
      </c>
      <c r="C201" s="41">
        <f>IF(Local!F201="Low",Local!C201,"")</f>
        <v/>
      </c>
    </row>
    <row r="202" hidden="1" ht="72" customHeight="1">
      <c r="A202" s="41">
        <f>IF(Local!F202="Low",Local!A202,"")</f>
        <v/>
      </c>
      <c r="B202" s="41">
        <f>IF(Local!F202="Low",Local!B202,"")</f>
        <v/>
      </c>
      <c r="C202" s="41">
        <f>IF(Local!F202="Low",Local!C202,"")</f>
        <v/>
      </c>
    </row>
    <row r="203" hidden="1" ht="72" customHeight="1">
      <c r="A203" s="41">
        <f>IF(Local!F203="Low",Local!A203,"")</f>
        <v/>
      </c>
      <c r="B203" s="41">
        <f>IF(Local!F203="Low",Local!B203,"")</f>
        <v/>
      </c>
      <c r="C203" s="41">
        <f>IF(Local!F203="Low",Local!C203,"")</f>
        <v/>
      </c>
    </row>
    <row r="204" hidden="1" ht="72" customHeight="1">
      <c r="A204" s="41">
        <f>IF(Local!F204="Low",Local!A204,"")</f>
        <v/>
      </c>
      <c r="B204" s="41">
        <f>IF(Local!F204="Low",Local!B204,"")</f>
        <v/>
      </c>
      <c r="C204" s="41">
        <f>IF(Local!F204="Low",Local!C204,"")</f>
        <v/>
      </c>
    </row>
    <row r="205" ht="72" customHeight="1">
      <c r="A205" s="41">
        <f>IF(Local!F205="Low",Local!A205,"")</f>
        <v/>
      </c>
      <c r="B205" s="41">
        <f>IF(Local!F205="Low",Local!B205,"")</f>
        <v/>
      </c>
      <c r="C205" s="41">
        <f>IF(Local!F205="Low",Local!C205,"")</f>
        <v/>
      </c>
    </row>
    <row r="206" ht="72" customHeight="1">
      <c r="A206" s="41">
        <f>IF(Local!F206="Low",Local!A206,"")</f>
        <v/>
      </c>
      <c r="B206" s="41">
        <f>IF(Local!F206="Low",Local!B206,"")</f>
        <v/>
      </c>
      <c r="C206" s="41">
        <f>IF(Local!F206="Low",Local!C206,"")</f>
        <v/>
      </c>
    </row>
    <row r="207" ht="72" customHeight="1">
      <c r="A207" s="41">
        <f>IF(Local!F207="Low",Local!A207,"")</f>
        <v/>
      </c>
      <c r="B207" s="41">
        <f>IF(Local!F207="Low",Local!B207,"")</f>
        <v/>
      </c>
      <c r="C207" s="41">
        <f>IF(Local!F207="Low",Local!C207,"")</f>
        <v/>
      </c>
    </row>
    <row r="208" hidden="1" ht="72" customHeight="1">
      <c r="A208" s="41">
        <f>IF(Local!F208="Low",Local!A208,"")</f>
        <v/>
      </c>
      <c r="B208" s="41">
        <f>IF(Local!F208="Low",Local!B208,"")</f>
        <v/>
      </c>
      <c r="C208" s="41">
        <f>IF(Local!F208="Low",Local!C208,"")</f>
        <v/>
      </c>
    </row>
    <row r="209" hidden="1" ht="72" customHeight="1">
      <c r="A209" s="41">
        <f>IF(Local!F209="Low",Local!A209,"")</f>
        <v/>
      </c>
      <c r="B209" s="41">
        <f>IF(Local!F209="Low",Local!B209,"")</f>
        <v/>
      </c>
      <c r="C209" s="41">
        <f>IF(Local!F209="Low",Local!C209,"")</f>
        <v/>
      </c>
    </row>
    <row r="210" hidden="1" ht="72" customHeight="1">
      <c r="A210" s="41">
        <f>IF(Local!F210="Low",Local!A210,"")</f>
        <v/>
      </c>
      <c r="B210" s="41">
        <f>IF(Local!F210="Low",Local!B210,"")</f>
        <v/>
      </c>
      <c r="C210" s="41">
        <f>IF(Local!F210="Low",Local!C210,"")</f>
        <v/>
      </c>
    </row>
    <row r="211" hidden="1" ht="72" customHeight="1">
      <c r="A211" s="41">
        <f>IF(Local!F211="Low",Local!A211,"")</f>
        <v/>
      </c>
      <c r="B211" s="41">
        <f>IF(Local!F211="Low",Local!B211,"")</f>
        <v/>
      </c>
      <c r="C211" s="41">
        <f>IF(Local!F211="Low",Local!C211,"")</f>
        <v/>
      </c>
    </row>
    <row r="212" hidden="1" ht="72" customHeight="1">
      <c r="A212" s="41">
        <f>IF(Local!F212="Low",Local!A212,"")</f>
        <v/>
      </c>
      <c r="B212" s="41">
        <f>IF(Local!F212="Low",Local!B212,"")</f>
        <v/>
      </c>
      <c r="C212" s="41">
        <f>IF(Local!F212="Low",Local!C212,"")</f>
        <v/>
      </c>
    </row>
    <row r="213" hidden="1" ht="72" customHeight="1">
      <c r="A213" s="41">
        <f>IF(Local!F213="Low",Local!A213,"")</f>
        <v/>
      </c>
      <c r="B213" s="41">
        <f>IF(Local!F213="Low",Local!B213,"")</f>
        <v/>
      </c>
      <c r="C213" s="41">
        <f>IF(Local!F213="Low",Local!C213,"")</f>
        <v/>
      </c>
    </row>
    <row r="214" hidden="1" ht="72" customHeight="1">
      <c r="A214" s="41">
        <f>IF(Local!F214="Low",Local!A214,"")</f>
        <v/>
      </c>
      <c r="B214" s="41">
        <f>IF(Local!F214="Low",Local!B214,"")</f>
        <v/>
      </c>
      <c r="C214" s="41">
        <f>IF(Local!F214="Low",Local!C214,"")</f>
        <v/>
      </c>
    </row>
    <row r="215" hidden="1" ht="72" customHeight="1">
      <c r="A215" s="41">
        <f>IF(Local!F215="Low",Local!A215,"")</f>
        <v/>
      </c>
      <c r="B215" s="41">
        <f>IF(Local!F215="Low",Local!B215,"")</f>
        <v/>
      </c>
      <c r="C215" s="41">
        <f>IF(Local!F215="Low",Local!C215,"")</f>
        <v/>
      </c>
    </row>
    <row r="216" hidden="1" ht="72" customHeight="1">
      <c r="A216" s="41">
        <f>IF(Local!F216="Low",Local!A216,"")</f>
        <v/>
      </c>
      <c r="B216" s="41">
        <f>IF(Local!F216="Low",Local!B216,"")</f>
        <v/>
      </c>
      <c r="C216" s="41">
        <f>IF(Local!F216="Low",Local!C216,"")</f>
        <v/>
      </c>
    </row>
    <row r="217" hidden="1" ht="72" customHeight="1">
      <c r="A217" s="41">
        <f>IF(Local!F217="Low",Local!A217,"")</f>
        <v/>
      </c>
      <c r="B217" s="41">
        <f>IF(Local!F217="Low",Local!B217,"")</f>
        <v/>
      </c>
      <c r="C217" s="41">
        <f>IF(Local!F217="Low",Local!C217,"")</f>
        <v/>
      </c>
    </row>
    <row r="218" hidden="1" ht="72" customHeight="1">
      <c r="A218" s="41">
        <f>IF(Local!F218="Low",Local!A218,"")</f>
        <v/>
      </c>
      <c r="B218" s="41">
        <f>IF(Local!F218="Low",Local!B218,"")</f>
        <v/>
      </c>
      <c r="C218" s="41">
        <f>IF(Local!F218="Low",Local!C218,"")</f>
        <v/>
      </c>
    </row>
    <row r="219" hidden="1" ht="72" customHeight="1">
      <c r="A219" s="41">
        <f>IF(Local!F219="Low",Local!A219,"")</f>
        <v/>
      </c>
      <c r="B219" s="41">
        <f>IF(Local!F219="Low",Local!B219,"")</f>
        <v/>
      </c>
      <c r="C219" s="41">
        <f>IF(Local!F219="Low",Local!C219,"")</f>
        <v/>
      </c>
    </row>
    <row r="220" hidden="1" ht="72" customHeight="1">
      <c r="A220" s="41">
        <f>IF(Local!F220="Low",Local!A220,"")</f>
        <v/>
      </c>
      <c r="B220" s="41">
        <f>IF(Local!F220="Low",Local!B220,"")</f>
        <v/>
      </c>
      <c r="C220" s="41">
        <f>IF(Local!F220="Low",Local!C220,"")</f>
        <v/>
      </c>
    </row>
    <row r="221" hidden="1" ht="72" customHeight="1">
      <c r="A221" s="41">
        <f>IF(Local!F221="Low",Local!A221,"")</f>
        <v/>
      </c>
      <c r="B221" s="41">
        <f>IF(Local!F221="Low",Local!B221,"")</f>
        <v/>
      </c>
      <c r="C221" s="41">
        <f>IF(Local!F221="Low",Local!C221,"")</f>
        <v/>
      </c>
    </row>
    <row r="222" ht="72" customHeight="1">
      <c r="A222" s="41">
        <f>IF(Local!F222="Low",Local!A222,"")</f>
        <v/>
      </c>
      <c r="B222" s="41">
        <f>IF(Local!F222="Low",Local!B222,"")</f>
        <v/>
      </c>
      <c r="C222" s="41">
        <f>IF(Local!F222="Low",Local!C222,"")</f>
        <v/>
      </c>
    </row>
    <row r="223" hidden="1" ht="72" customHeight="1">
      <c r="A223" s="41">
        <f>IF(Local!F223="Low",Local!A223,"")</f>
        <v/>
      </c>
      <c r="B223" s="41">
        <f>IF(Local!F223="Low",Local!B223,"")</f>
        <v/>
      </c>
      <c r="C223" s="41">
        <f>IF(Local!F223="Low",Local!C223,"")</f>
        <v/>
      </c>
    </row>
    <row r="224" ht="72" customHeight="1">
      <c r="A224" s="41">
        <f>IF(Local!F224="Low",Local!A224,"")</f>
        <v/>
      </c>
      <c r="B224" s="41">
        <f>IF(Local!F224="Low",Local!B224,"")</f>
        <v/>
      </c>
      <c r="C224" s="41">
        <f>IF(Local!F224="Low",Local!C224,"")</f>
        <v/>
      </c>
    </row>
    <row r="225" hidden="1" ht="72" customHeight="1">
      <c r="A225" s="41">
        <f>IF(Local!F225="Low",Local!A225,"")</f>
        <v/>
      </c>
      <c r="B225" s="41">
        <f>IF(Local!F225="Low",Local!B225,"")</f>
        <v/>
      </c>
      <c r="C225" s="41">
        <f>IF(Local!F225="Low",Local!C225,"")</f>
        <v/>
      </c>
    </row>
    <row r="226" hidden="1" ht="72" customHeight="1">
      <c r="A226" s="41">
        <f>IF(Local!F226="Low",Local!A226,"")</f>
        <v/>
      </c>
      <c r="B226" s="41">
        <f>IF(Local!F226="Low",Local!B226,"")</f>
        <v/>
      </c>
      <c r="C226" s="41">
        <f>IF(Local!F226="Low",Local!C226,"")</f>
        <v/>
      </c>
    </row>
    <row r="227" hidden="1" ht="72" customHeight="1">
      <c r="A227" s="41">
        <f>IF(Local!F227="Low",Local!A227,"")</f>
        <v/>
      </c>
      <c r="B227" s="41">
        <f>IF(Local!F227="Low",Local!B227,"")</f>
        <v/>
      </c>
      <c r="C227" s="41">
        <f>IF(Local!F227="Low",Local!C227,"")</f>
        <v/>
      </c>
    </row>
    <row r="228" ht="72" customHeight="1">
      <c r="A228" s="41">
        <f>IF(Local!F228="Low",Local!A228,"")</f>
        <v/>
      </c>
      <c r="B228" s="41">
        <f>IF(Local!F228="Low",Local!B228,"")</f>
        <v/>
      </c>
      <c r="C228" s="41">
        <f>IF(Local!F228="Low",Local!C228,"")</f>
        <v/>
      </c>
    </row>
    <row r="229" hidden="1" ht="72" customHeight="1">
      <c r="A229" s="41">
        <f>IF(Local!F229="Low",Local!A229,"")</f>
        <v/>
      </c>
      <c r="B229" s="41">
        <f>IF(Local!F229="Low",Local!B229,"")</f>
        <v/>
      </c>
      <c r="C229" s="41">
        <f>IF(Local!F229="Low",Local!C229,"")</f>
        <v/>
      </c>
    </row>
    <row r="230" ht="72" customHeight="1">
      <c r="A230" s="41">
        <f>IF(Local!F230="Low",Local!A230,"")</f>
        <v/>
      </c>
      <c r="B230" s="41">
        <f>IF(Local!F230="Low",Local!B230,"")</f>
        <v/>
      </c>
      <c r="C230" s="41">
        <f>IF(Local!F230="Low",Local!C230,"")</f>
        <v/>
      </c>
    </row>
    <row r="231" hidden="1" ht="72" customHeight="1">
      <c r="A231" s="41">
        <f>IF(Local!F231="Low",Local!A231,"")</f>
        <v/>
      </c>
      <c r="B231" s="41">
        <f>IF(Local!F231="Low",Local!B231,"")</f>
        <v/>
      </c>
      <c r="C231" s="41">
        <f>IF(Local!F231="Low",Local!C231,"")</f>
        <v/>
      </c>
    </row>
    <row r="232" hidden="1" ht="72" customHeight="1">
      <c r="A232" s="41">
        <f>IF(Local!F232="Low",Local!A232,"")</f>
        <v/>
      </c>
      <c r="B232" s="41">
        <f>IF(Local!F232="Low",Local!B232,"")</f>
        <v/>
      </c>
      <c r="C232" s="41">
        <f>IF(Local!F232="Low",Local!C232,"")</f>
        <v/>
      </c>
    </row>
    <row r="233" hidden="1" ht="72" customHeight="1">
      <c r="A233" s="41">
        <f>IF(Local!F233="Low",Local!A233,"")</f>
        <v/>
      </c>
      <c r="B233" s="41">
        <f>IF(Local!F233="Low",Local!B233,"")</f>
        <v/>
      </c>
      <c r="C233" s="41">
        <f>IF(Local!F233="Low",Local!C233,"")</f>
        <v/>
      </c>
    </row>
    <row r="234" ht="72" customHeight="1">
      <c r="A234" s="41">
        <f>IF(Local!F234="Low",Local!A234,"")</f>
        <v/>
      </c>
      <c r="B234" s="41">
        <f>IF(Local!F234="Low",Local!B234,"")</f>
        <v/>
      </c>
      <c r="C234" s="41">
        <f>IF(Local!F234="Low",Local!C234,"")</f>
        <v/>
      </c>
    </row>
    <row r="235" hidden="1" ht="72" customHeight="1">
      <c r="A235" s="41">
        <f>IF(Local!F235="Low",Local!A235,"")</f>
        <v/>
      </c>
      <c r="B235" s="41">
        <f>IF(Local!F235="Low",Local!B235,"")</f>
        <v/>
      </c>
      <c r="C235" s="41">
        <f>IF(Local!F235="Low",Local!C235,"")</f>
        <v/>
      </c>
    </row>
    <row r="236" hidden="1" ht="72" customHeight="1">
      <c r="A236" s="41">
        <f>IF(Local!F236="Low",Local!A236,"")</f>
        <v/>
      </c>
      <c r="B236" s="41">
        <f>IF(Local!F236="Low",Local!B236,"")</f>
        <v/>
      </c>
      <c r="C236" s="41">
        <f>IF(Local!F236="Low",Local!C236,"")</f>
        <v/>
      </c>
    </row>
    <row r="237" hidden="1" ht="72" customHeight="1">
      <c r="A237" s="41">
        <f>IF(Local!F237="Low",Local!A237,"")</f>
        <v/>
      </c>
      <c r="B237" s="41">
        <f>IF(Local!F237="Low",Local!B237,"")</f>
        <v/>
      </c>
      <c r="C237" s="41">
        <f>IF(Local!F237="Low",Local!C237,"")</f>
        <v/>
      </c>
    </row>
    <row r="238" hidden="1" ht="72" customHeight="1">
      <c r="A238" s="41">
        <f>IF(Local!F238="Low",Local!A238,"")</f>
        <v/>
      </c>
      <c r="B238" s="41">
        <f>IF(Local!F238="Low",Local!B238,"")</f>
        <v/>
      </c>
      <c r="C238" s="41">
        <f>IF(Local!F238="Low",Local!C238,"")</f>
        <v/>
      </c>
    </row>
    <row r="239" hidden="1" ht="72" customHeight="1">
      <c r="A239" s="41">
        <f>IF(Local!F239="Low",Local!A239,"")</f>
        <v/>
      </c>
      <c r="B239" s="41">
        <f>IF(Local!F239="Low",Local!B239,"")</f>
        <v/>
      </c>
      <c r="C239" s="41">
        <f>IF(Local!F239="Low",Local!C239,"")</f>
        <v/>
      </c>
    </row>
    <row r="240" hidden="1" ht="72" customHeight="1">
      <c r="A240" s="41">
        <f>IF(Local!F240="Low",Local!A240,"")</f>
        <v/>
      </c>
      <c r="B240" s="41">
        <f>IF(Local!F240="Low",Local!B240,"")</f>
        <v/>
      </c>
      <c r="C240" s="41">
        <f>IF(Local!F240="Low",Local!C240,"")</f>
        <v/>
      </c>
    </row>
    <row r="241" hidden="1" ht="72" customHeight="1">
      <c r="A241" s="41">
        <f>IF(Local!F241="Low",Local!A241,"")</f>
        <v/>
      </c>
      <c r="B241" s="41">
        <f>IF(Local!F241="Low",Local!B241,"")</f>
        <v/>
      </c>
      <c r="C241" s="41">
        <f>IF(Local!F241="Low",Local!C241,"")</f>
        <v/>
      </c>
    </row>
    <row r="242" hidden="1" ht="72" customHeight="1">
      <c r="A242" s="41">
        <f>IF(Local!F242="Low",Local!A242,"")</f>
        <v/>
      </c>
      <c r="B242" s="41">
        <f>IF(Local!F242="Low",Local!B242,"")</f>
        <v/>
      </c>
      <c r="C242" s="41">
        <f>IF(Local!F242="Low",Local!C242,"")</f>
        <v/>
      </c>
    </row>
    <row r="243" hidden="1" ht="72" customHeight="1">
      <c r="A243" s="41">
        <f>IF(Local!F243="Low",Local!A243,"")</f>
        <v/>
      </c>
      <c r="B243" s="41">
        <f>IF(Local!F243="Low",Local!B243,"")</f>
        <v/>
      </c>
      <c r="C243" s="41">
        <f>IF(Local!F243="Low",Local!C243,"")</f>
        <v/>
      </c>
    </row>
    <row r="244" ht="72" customHeight="1">
      <c r="A244" s="41">
        <f>IF(Local!F244="Low",Local!A244,"")</f>
        <v/>
      </c>
      <c r="B244" s="41">
        <f>IF(Local!F244="Low",Local!B244,"")</f>
        <v/>
      </c>
      <c r="C244" s="41">
        <f>IF(Local!F244="Low",Local!C244,"")</f>
        <v/>
      </c>
    </row>
    <row r="245" hidden="1" ht="72" customHeight="1">
      <c r="A245" s="41">
        <f>IF(Local!F245="Low",Local!A245,"")</f>
        <v/>
      </c>
      <c r="B245" s="41">
        <f>IF(Local!F245="Low",Local!B245,"")</f>
        <v/>
      </c>
      <c r="C245" s="41">
        <f>IF(Local!F245="Low",Local!C245,"")</f>
        <v/>
      </c>
    </row>
    <row r="246" hidden="1" ht="72" customHeight="1">
      <c r="A246" s="41">
        <f>IF(Local!F246="Low",Local!A246,"")</f>
        <v/>
      </c>
      <c r="B246" s="41">
        <f>IF(Local!F246="Low",Local!B246,"")</f>
        <v/>
      </c>
      <c r="C246" s="41">
        <f>IF(Local!F246="Low",Local!C246,"")</f>
        <v/>
      </c>
    </row>
    <row r="247" hidden="1" ht="72" customHeight="1">
      <c r="A247" s="41">
        <f>IF(Local!F247="Low",Local!A247,"")</f>
        <v/>
      </c>
      <c r="B247" s="41">
        <f>IF(Local!F247="Low",Local!B247,"")</f>
        <v/>
      </c>
      <c r="C247" s="41">
        <f>IF(Local!F247="Low",Local!C247,"")</f>
        <v/>
      </c>
    </row>
    <row r="248" hidden="1" ht="72" customHeight="1">
      <c r="A248" s="41">
        <f>IF(Local!F248="Low",Local!A248,"")</f>
        <v/>
      </c>
      <c r="B248" s="41">
        <f>IF(Local!F248="Low",Local!B248,"")</f>
        <v/>
      </c>
      <c r="C248" s="41">
        <f>IF(Local!F248="Low",Local!C248,"")</f>
        <v/>
      </c>
    </row>
    <row r="249" hidden="1" ht="72" customHeight="1">
      <c r="A249" s="41">
        <f>IF(Local!F249="Low",Local!A249,"")</f>
        <v/>
      </c>
      <c r="B249" s="41">
        <f>IF(Local!F249="Low",Local!B249,"")</f>
        <v/>
      </c>
      <c r="C249" s="41">
        <f>IF(Local!F249="Low",Local!C249,"")</f>
        <v/>
      </c>
    </row>
    <row r="250" hidden="1" ht="72" customHeight="1">
      <c r="A250" s="41">
        <f>IF(Local!F250="Low",Local!A250,"")</f>
        <v/>
      </c>
      <c r="B250" s="41">
        <f>IF(Local!F250="Low",Local!B250,"")</f>
        <v/>
      </c>
      <c r="C250" s="41">
        <f>IF(Local!F250="Low",Local!C250,"")</f>
        <v/>
      </c>
    </row>
    <row r="251" hidden="1" ht="72" customHeight="1">
      <c r="A251" s="41">
        <f>IF(Local!F251="Low",Local!A251,"")</f>
        <v/>
      </c>
      <c r="B251" s="41">
        <f>IF(Local!F251="Low",Local!B251,"")</f>
        <v/>
      </c>
      <c r="C251" s="41">
        <f>IF(Local!F251="Low",Local!C251,"")</f>
        <v/>
      </c>
    </row>
    <row r="252" hidden="1" ht="72" customHeight="1">
      <c r="A252" s="41">
        <f>IF(Local!F252="Low",Local!A252,"")</f>
        <v/>
      </c>
      <c r="B252" s="41">
        <f>IF(Local!F252="Low",Local!B252,"")</f>
        <v/>
      </c>
      <c r="C252" s="41">
        <f>IF(Local!F252="Low",Local!C252,"")</f>
        <v/>
      </c>
    </row>
    <row r="253" hidden="1" ht="72" customHeight="1">
      <c r="A253" s="41">
        <f>IF(Local!F253="Low",Local!A253,"")</f>
        <v/>
      </c>
      <c r="B253" s="41">
        <f>IF(Local!F253="Low",Local!B253,"")</f>
        <v/>
      </c>
      <c r="C253" s="41">
        <f>IF(Local!F253="Low",Local!C253,"")</f>
        <v/>
      </c>
    </row>
    <row r="254" hidden="1" ht="72" customHeight="1">
      <c r="A254" s="41">
        <f>IF(Local!F254="Low",Local!A254,"")</f>
        <v/>
      </c>
      <c r="B254" s="41">
        <f>IF(Local!F254="Low",Local!B254,"")</f>
        <v/>
      </c>
      <c r="C254" s="41">
        <f>IF(Local!F254="Low",Local!C254,"")</f>
        <v/>
      </c>
    </row>
    <row r="255" hidden="1" ht="72" customHeight="1">
      <c r="A255" s="41">
        <f>IF(Local!F255="Low",Local!A255,"")</f>
        <v/>
      </c>
      <c r="B255" s="41">
        <f>IF(Local!F255="Low",Local!B255,"")</f>
        <v/>
      </c>
      <c r="C255" s="41">
        <f>IF(Local!F255="Low",Local!C255,"")</f>
        <v/>
      </c>
    </row>
    <row r="256" hidden="1" ht="72" customHeight="1">
      <c r="A256" s="41">
        <f>IF(Local!F256="Low",Local!A256,"")</f>
        <v/>
      </c>
      <c r="B256" s="41">
        <f>IF(Local!F256="Low",Local!B256,"")</f>
        <v/>
      </c>
      <c r="C256" s="41">
        <f>IF(Local!F256="Low",Local!C256,"")</f>
        <v/>
      </c>
    </row>
    <row r="257" hidden="1" ht="72" customHeight="1">
      <c r="A257" s="41">
        <f>IF(Local!F257="Low",Local!A257,"")</f>
        <v/>
      </c>
      <c r="B257" s="41">
        <f>IF(Local!F257="Low",Local!B257,"")</f>
        <v/>
      </c>
      <c r="C257" s="41">
        <f>IF(Local!F257="Low",Local!C257,"")</f>
        <v/>
      </c>
    </row>
    <row r="258" hidden="1" ht="72" customHeight="1">
      <c r="A258" s="41">
        <f>IF(Local!F258="Low",Local!A258,"")</f>
        <v/>
      </c>
      <c r="B258" s="41">
        <f>IF(Local!F258="Low",Local!B258,"")</f>
        <v/>
      </c>
      <c r="C258" s="41">
        <f>IF(Local!F258="Low",Local!C258,"")</f>
        <v/>
      </c>
    </row>
    <row r="259" hidden="1" ht="72" customHeight="1">
      <c r="A259" s="41">
        <f>IF(Local!F259="Low",Local!A259,"")</f>
        <v/>
      </c>
      <c r="B259" s="41">
        <f>IF(Local!F259="Low",Local!B259,"")</f>
        <v/>
      </c>
      <c r="C259" s="41">
        <f>IF(Local!F259="Low",Local!C259,"")</f>
        <v/>
      </c>
    </row>
    <row r="260" hidden="1" ht="72" customHeight="1">
      <c r="A260" s="41">
        <f>IF(Local!F260="Low",Local!A260,"")</f>
        <v/>
      </c>
      <c r="B260" s="41">
        <f>IF(Local!F260="Low",Local!B260,"")</f>
        <v/>
      </c>
      <c r="C260" s="41">
        <f>IF(Local!F260="Low",Local!C260,"")</f>
        <v/>
      </c>
    </row>
    <row r="261" hidden="1" ht="72" customHeight="1">
      <c r="A261" s="41">
        <f>IF(Local!F261="Low",Local!A261,"")</f>
        <v/>
      </c>
      <c r="B261" s="41">
        <f>IF(Local!F261="Low",Local!B261,"")</f>
        <v/>
      </c>
      <c r="C261" s="41">
        <f>IF(Local!F261="Low",Local!C261,"")</f>
        <v/>
      </c>
    </row>
    <row r="262" hidden="1" ht="72" customHeight="1">
      <c r="A262" s="41">
        <f>IF(Local!F262="Low",Local!A262,"")</f>
        <v/>
      </c>
      <c r="B262" s="41">
        <f>IF(Local!F262="Low",Local!B262,"")</f>
        <v/>
      </c>
      <c r="C262" s="41">
        <f>IF(Local!F262="Low",Local!C262,"")</f>
        <v/>
      </c>
    </row>
    <row r="263" hidden="1" ht="72" customHeight="1">
      <c r="A263" s="41">
        <f>IF(Local!F263="Low",Local!A263,"")</f>
        <v/>
      </c>
      <c r="B263" s="41">
        <f>IF(Local!F263="Low",Local!B263,"")</f>
        <v/>
      </c>
      <c r="C263" s="41">
        <f>IF(Local!F263="Low",Local!C263,"")</f>
        <v/>
      </c>
    </row>
    <row r="264" hidden="1" ht="72" customHeight="1">
      <c r="A264" s="41">
        <f>IF(Local!F264="Low",Local!A264,"")</f>
        <v/>
      </c>
      <c r="B264" s="41">
        <f>IF(Local!F264="Low",Local!B264,"")</f>
        <v/>
      </c>
      <c r="C264" s="41">
        <f>IF(Local!F264="Low",Local!C264,"")</f>
        <v/>
      </c>
    </row>
    <row r="265" hidden="1" ht="72" customHeight="1">
      <c r="A265" s="41">
        <f>IF(Local!F265="Low",Local!A265,"")</f>
        <v/>
      </c>
      <c r="B265" s="41">
        <f>IF(Local!F265="Low",Local!B265,"")</f>
        <v/>
      </c>
      <c r="C265" s="41">
        <f>IF(Local!F265="Low",Local!C265,"")</f>
        <v/>
      </c>
    </row>
    <row r="266" hidden="1" ht="72" customHeight="1">
      <c r="A266" s="41">
        <f>IF(Local!F266="Low",Local!A266,"")</f>
        <v/>
      </c>
      <c r="B266" s="41">
        <f>IF(Local!F266="Low",Local!B266,"")</f>
        <v/>
      </c>
      <c r="C266" s="41">
        <f>IF(Local!F266="Low",Local!C266,"")</f>
        <v/>
      </c>
    </row>
    <row r="267" hidden="1" ht="72" customHeight="1">
      <c r="A267" s="41">
        <f>IF(Local!F267="Low",Local!A267,"")</f>
        <v/>
      </c>
      <c r="B267" s="41">
        <f>IF(Local!F267="Low",Local!B267,"")</f>
        <v/>
      </c>
      <c r="C267" s="41">
        <f>IF(Local!F267="Low",Local!C267,"")</f>
        <v/>
      </c>
    </row>
    <row r="268" hidden="1" ht="72" customHeight="1">
      <c r="A268" s="41">
        <f>IF(Local!F268="Low",Local!A268,"")</f>
        <v/>
      </c>
      <c r="B268" s="41">
        <f>IF(Local!F268="Low",Local!B268,"")</f>
        <v/>
      </c>
      <c r="C268" s="41">
        <f>IF(Local!F268="Low",Local!C268,"")</f>
        <v/>
      </c>
    </row>
    <row r="269" hidden="1" ht="72" customHeight="1">
      <c r="A269" s="41">
        <f>IF(Local!F269="Low",Local!A269,"")</f>
        <v/>
      </c>
      <c r="B269" s="41">
        <f>IF(Local!F269="Low",Local!B269,"")</f>
        <v/>
      </c>
      <c r="C269" s="41">
        <f>IF(Local!F269="Low",Local!C269,"")</f>
        <v/>
      </c>
    </row>
    <row r="270" hidden="1" ht="72" customHeight="1">
      <c r="A270" s="41">
        <f>IF(Local!F270="Low",Local!A270,"")</f>
        <v/>
      </c>
      <c r="B270" s="41">
        <f>IF(Local!F270="Low",Local!B270,"")</f>
        <v/>
      </c>
      <c r="C270" s="41">
        <f>IF(Local!F270="Low",Local!C270,"")</f>
        <v/>
      </c>
    </row>
    <row r="271" hidden="1" ht="72" customHeight="1">
      <c r="A271" s="41">
        <f>IF(Local!F271="Low",Local!A271,"")</f>
        <v/>
      </c>
      <c r="B271" s="41">
        <f>IF(Local!F271="Low",Local!B271,"")</f>
        <v/>
      </c>
      <c r="C271" s="41">
        <f>IF(Local!F271="Low",Local!C271,"")</f>
        <v/>
      </c>
    </row>
    <row r="272" hidden="1" ht="72" customHeight="1">
      <c r="A272" s="41">
        <f>IF(Local!F272="Low",Local!A272,"")</f>
        <v/>
      </c>
      <c r="B272" s="41">
        <f>IF(Local!F272="Low",Local!B272,"")</f>
        <v/>
      </c>
      <c r="C272" s="41">
        <f>IF(Local!F272="Low",Local!C272,"")</f>
        <v/>
      </c>
    </row>
    <row r="273" ht="72" customHeight="1">
      <c r="A273" s="41">
        <f>IF(Local!F273="Low",Local!A273,"")</f>
        <v/>
      </c>
      <c r="B273" s="41">
        <f>IF(Local!F273="Low",Local!B273,"")</f>
        <v/>
      </c>
      <c r="C273" s="41">
        <f>IF(Local!F273="Low",Local!C273,"")</f>
        <v/>
      </c>
    </row>
    <row r="274" hidden="1" ht="72" customHeight="1">
      <c r="A274" s="41">
        <f>IF(Local!F274="Low",Local!A274,"")</f>
        <v/>
      </c>
      <c r="B274" s="41">
        <f>IF(Local!F274="Low",Local!B274,"")</f>
        <v/>
      </c>
      <c r="C274" s="41">
        <f>IF(Local!F274="Low",Local!C274,"")</f>
        <v/>
      </c>
    </row>
    <row r="275" hidden="1" ht="72" customHeight="1">
      <c r="A275" s="41">
        <f>IF(Local!F275="Low",Local!A275,"")</f>
        <v/>
      </c>
      <c r="B275" s="41">
        <f>IF(Local!F275="Low",Local!B275,"")</f>
        <v/>
      </c>
      <c r="C275" s="41">
        <f>IF(Local!F275="Low",Local!C275,"")</f>
        <v/>
      </c>
    </row>
    <row r="276" hidden="1" ht="72" customHeight="1">
      <c r="A276" s="41">
        <f>IF(Local!F276="Low",Local!A276,"")</f>
        <v/>
      </c>
      <c r="B276" s="41">
        <f>IF(Local!F276="Low",Local!B276,"")</f>
        <v/>
      </c>
      <c r="C276" s="41">
        <f>IF(Local!F276="Low",Local!C276,"")</f>
        <v/>
      </c>
    </row>
    <row r="277" hidden="1" ht="72" customHeight="1">
      <c r="A277" s="41">
        <f>IF(Local!F277="Low",Local!A277,"")</f>
        <v/>
      </c>
      <c r="B277" s="41">
        <f>IF(Local!F277="Low",Local!B277,"")</f>
        <v/>
      </c>
      <c r="C277" s="41">
        <f>IF(Local!F277="Low",Local!C277,"")</f>
        <v/>
      </c>
    </row>
    <row r="278" hidden="1" ht="72" customHeight="1">
      <c r="A278" s="41">
        <f>IF(Local!F278="Low",Local!A278,"")</f>
        <v/>
      </c>
      <c r="B278" s="41">
        <f>IF(Local!F278="Low",Local!B278,"")</f>
        <v/>
      </c>
      <c r="C278" s="41">
        <f>IF(Local!F278="Low",Local!C278,"")</f>
        <v/>
      </c>
    </row>
    <row r="279" hidden="1" ht="72" customHeight="1">
      <c r="A279" s="41">
        <f>IF(Local!F279="Low",Local!A279,"")</f>
        <v/>
      </c>
      <c r="B279" s="41">
        <f>IF(Local!F279="Low",Local!B279,"")</f>
        <v/>
      </c>
      <c r="C279" s="41">
        <f>IF(Local!F279="Low",Local!C279,"")</f>
        <v/>
      </c>
    </row>
    <row r="280" hidden="1" ht="72" customHeight="1">
      <c r="A280" s="41">
        <f>IF(Local!F280="Low",Local!A280,"")</f>
        <v/>
      </c>
      <c r="B280" s="41">
        <f>IF(Local!F280="Low",Local!B280,"")</f>
        <v/>
      </c>
      <c r="C280" s="41">
        <f>IF(Local!F280="Low",Local!C280,"")</f>
        <v/>
      </c>
    </row>
    <row r="281" hidden="1" ht="72" customHeight="1">
      <c r="A281" s="41">
        <f>IF(Local!F281="Low",Local!A281,"")</f>
        <v/>
      </c>
      <c r="B281" s="41">
        <f>IF(Local!F281="Low",Local!B281,"")</f>
        <v/>
      </c>
      <c r="C281" s="41">
        <f>IF(Local!F281="Low",Local!C281,"")</f>
        <v/>
      </c>
    </row>
    <row r="282" hidden="1" ht="72" customHeight="1">
      <c r="A282" s="41">
        <f>IF(Local!F282="Low",Local!A282,"")</f>
        <v/>
      </c>
      <c r="B282" s="41">
        <f>IF(Local!F282="Low",Local!B282,"")</f>
        <v/>
      </c>
      <c r="C282" s="41">
        <f>IF(Local!F282="Low",Local!C282,"")</f>
        <v/>
      </c>
    </row>
    <row r="283" hidden="1" ht="72" customHeight="1">
      <c r="A283" s="41">
        <f>IF(Local!F283="Low",Local!A283,"")</f>
        <v/>
      </c>
      <c r="B283" s="41">
        <f>IF(Local!F283="Low",Local!B283,"")</f>
        <v/>
      </c>
      <c r="C283" s="41">
        <f>IF(Local!F283="Low",Local!C283,"")</f>
        <v/>
      </c>
    </row>
    <row r="284" hidden="1" ht="72" customHeight="1">
      <c r="A284" s="41">
        <f>IF(Local!F284="Low",Local!A284,"")</f>
        <v/>
      </c>
      <c r="B284" s="41">
        <f>IF(Local!F284="Low",Local!B284,"")</f>
        <v/>
      </c>
      <c r="C284" s="41">
        <f>IF(Local!F284="Low",Local!C284,"")</f>
        <v/>
      </c>
    </row>
    <row r="285" hidden="1" ht="72" customHeight="1">
      <c r="A285" s="41">
        <f>IF(Local!F285="Low",Local!A285,"")</f>
        <v/>
      </c>
      <c r="B285" s="41">
        <f>IF(Local!F285="Low",Local!B285,"")</f>
        <v/>
      </c>
      <c r="C285" s="41">
        <f>IF(Local!F285="Low",Local!C285,"")</f>
        <v/>
      </c>
    </row>
    <row r="286" ht="72" customHeight="1">
      <c r="A286" s="41">
        <f>IF(Local!F286="Low",Local!A286,"")</f>
        <v/>
      </c>
      <c r="B286" s="41">
        <f>IF(Local!F286="Low",Local!B286,"")</f>
        <v/>
      </c>
      <c r="C286" s="41">
        <f>IF(Local!F286="Low",Local!C286,"")</f>
        <v/>
      </c>
    </row>
    <row r="287" hidden="1" ht="72" customHeight="1">
      <c r="A287" s="41">
        <f>IF(Local!F287="Low",Local!A287,"")</f>
        <v/>
      </c>
      <c r="B287" s="41">
        <f>IF(Local!F287="Low",Local!B287,"")</f>
        <v/>
      </c>
      <c r="C287" s="41">
        <f>IF(Local!F287="Low",Local!C287,"")</f>
        <v/>
      </c>
    </row>
    <row r="288" ht="72" customHeight="1">
      <c r="A288" s="41">
        <f>IF(Local!F288="Low",Local!A288,"")</f>
        <v/>
      </c>
      <c r="B288" s="41">
        <f>IF(Local!F288="Low",Local!B288,"")</f>
        <v/>
      </c>
      <c r="C288" s="41">
        <f>IF(Local!F288="Low",Local!C288,"")</f>
        <v/>
      </c>
    </row>
    <row r="289" hidden="1" ht="72" customHeight="1">
      <c r="A289" s="41">
        <f>IF(Local!F289="Low",Local!A289,"")</f>
        <v/>
      </c>
      <c r="B289" s="41">
        <f>IF(Local!F289="Low",Local!B289,"")</f>
        <v/>
      </c>
      <c r="C289" s="41">
        <f>IF(Local!F289="Low",Local!C289,"")</f>
        <v/>
      </c>
    </row>
    <row r="290" hidden="1" ht="72" customHeight="1">
      <c r="A290" s="41">
        <f>IF(Local!F290="Low",Local!A290,"")</f>
        <v/>
      </c>
      <c r="B290" s="41">
        <f>IF(Local!F290="Low",Local!B290,"")</f>
        <v/>
      </c>
      <c r="C290" s="41">
        <f>IF(Local!F290="Low",Local!C290,"")</f>
        <v/>
      </c>
    </row>
    <row r="291" hidden="1" ht="72" customHeight="1">
      <c r="A291" s="41">
        <f>IF(Local!F291="Low",Local!A291,"")</f>
        <v/>
      </c>
      <c r="B291" s="41">
        <f>IF(Local!F291="Low",Local!B291,"")</f>
        <v/>
      </c>
      <c r="C291" s="41">
        <f>IF(Local!F291="Low",Local!C291,"")</f>
        <v/>
      </c>
    </row>
    <row r="292" hidden="1" ht="72" customHeight="1">
      <c r="A292" s="41">
        <f>IF(Local!F292="Low",Local!A292,"")</f>
        <v/>
      </c>
      <c r="B292" s="41">
        <f>IF(Local!F292="Low",Local!B292,"")</f>
        <v/>
      </c>
      <c r="C292" s="41">
        <f>IF(Local!F292="Low",Local!C292,"")</f>
        <v/>
      </c>
    </row>
    <row r="293" hidden="1" ht="72" customHeight="1">
      <c r="A293" s="41">
        <f>IF(Local!F293="Low",Local!A293,"")</f>
        <v/>
      </c>
      <c r="B293" s="41">
        <f>IF(Local!F293="Low",Local!B293,"")</f>
        <v/>
      </c>
      <c r="C293" s="41">
        <f>IF(Local!F293="Low",Local!C293,"")</f>
        <v/>
      </c>
    </row>
    <row r="294" hidden="1" ht="72" customHeight="1">
      <c r="A294" s="41">
        <f>IF(Local!F294="Low",Local!A294,"")</f>
        <v/>
      </c>
      <c r="B294" s="41">
        <f>IF(Local!F294="Low",Local!B294,"")</f>
        <v/>
      </c>
      <c r="C294" s="41">
        <f>IF(Local!F294="Low",Local!C294,"")</f>
        <v/>
      </c>
    </row>
    <row r="295" hidden="1" ht="72" customHeight="1">
      <c r="A295" s="41">
        <f>IF(Local!F295="Low",Local!A295,"")</f>
        <v/>
      </c>
      <c r="B295" s="41">
        <f>IF(Local!F295="Low",Local!B295,"")</f>
        <v/>
      </c>
      <c r="C295" s="41">
        <f>IF(Local!F295="Low",Local!C295,"")</f>
        <v/>
      </c>
    </row>
    <row r="296" hidden="1" ht="72" customHeight="1">
      <c r="A296" s="41">
        <f>IF(Local!F296="Low",Local!A296,"")</f>
        <v/>
      </c>
      <c r="B296" s="41">
        <f>IF(Local!F296="Low",Local!B296,"")</f>
        <v/>
      </c>
      <c r="C296" s="41">
        <f>IF(Local!F296="Low",Local!C296,"")</f>
        <v/>
      </c>
    </row>
    <row r="297" hidden="1" ht="72" customHeight="1">
      <c r="A297" s="41">
        <f>IF(Local!F297="Low",Local!A297,"")</f>
        <v/>
      </c>
      <c r="B297" s="41">
        <f>IF(Local!F297="Low",Local!B297,"")</f>
        <v/>
      </c>
      <c r="C297" s="41">
        <f>IF(Local!F297="Low",Local!C297,"")</f>
        <v/>
      </c>
    </row>
    <row r="298" hidden="1" ht="72" customHeight="1">
      <c r="A298" s="41">
        <f>IF(Local!F298="Low",Local!A298,"")</f>
        <v/>
      </c>
      <c r="B298" s="41">
        <f>IF(Local!F298="Low",Local!B298,"")</f>
        <v/>
      </c>
      <c r="C298" s="41">
        <f>IF(Local!F298="Low",Local!C298,"")</f>
        <v/>
      </c>
    </row>
    <row r="299" hidden="1" ht="72" customHeight="1">
      <c r="A299" s="41">
        <f>IF(Local!F299="Low",Local!A299,"")</f>
        <v/>
      </c>
      <c r="B299" s="41">
        <f>IF(Local!F299="Low",Local!B299,"")</f>
        <v/>
      </c>
      <c r="C299" s="41">
        <f>IF(Local!F299="Low",Local!C299,"")</f>
        <v/>
      </c>
    </row>
    <row r="300" hidden="1" ht="72" customHeight="1">
      <c r="A300" s="41">
        <f>IF(Local!F300="Low",Local!A300,"")</f>
        <v/>
      </c>
      <c r="B300" s="41">
        <f>IF(Local!F300="Low",Local!B300,"")</f>
        <v/>
      </c>
      <c r="C300" s="41">
        <f>IF(Local!F300="Low",Local!C300,"")</f>
        <v/>
      </c>
    </row>
    <row r="301" hidden="1" ht="72" customHeight="1">
      <c r="A301" s="41">
        <f>IF(Local!F301="Low",Local!A301,"")</f>
        <v/>
      </c>
      <c r="B301" s="41">
        <f>IF(Local!F301="Low",Local!B301,"")</f>
        <v/>
      </c>
      <c r="C301" s="41">
        <f>IF(Local!F301="Low",Local!C301,"")</f>
        <v/>
      </c>
    </row>
    <row r="302" hidden="1" ht="72" customHeight="1">
      <c r="A302" s="41">
        <f>IF(Local!F302="Low",Local!A302,"")</f>
        <v/>
      </c>
      <c r="B302" s="41">
        <f>IF(Local!F302="Low",Local!B302,"")</f>
        <v/>
      </c>
      <c r="C302" s="41">
        <f>IF(Local!F302="Low",Local!C302,"")</f>
        <v/>
      </c>
    </row>
    <row r="303" hidden="1" ht="72" customHeight="1">
      <c r="A303" s="41">
        <f>IF(Local!F303="Low",Local!A303,"")</f>
        <v/>
      </c>
      <c r="B303" s="41">
        <f>IF(Local!F303="Low",Local!B303,"")</f>
        <v/>
      </c>
      <c r="C303" s="41">
        <f>IF(Local!F303="Low",Local!C303,"")</f>
        <v/>
      </c>
    </row>
    <row r="304" hidden="1" ht="72" customHeight="1">
      <c r="A304" s="41">
        <f>IF(Local!F304="Low",Local!A304,"")</f>
        <v/>
      </c>
      <c r="B304" s="41">
        <f>IF(Local!F304="Low",Local!B304,"")</f>
        <v/>
      </c>
      <c r="C304" s="41">
        <f>IF(Local!F304="Low",Local!C304,"")</f>
        <v/>
      </c>
    </row>
    <row r="305" hidden="1" ht="72" customHeight="1">
      <c r="A305" s="41">
        <f>IF(Local!F305="Low",Local!A305,"")</f>
        <v/>
      </c>
      <c r="B305" s="41">
        <f>IF(Local!F305="Low",Local!B305,"")</f>
        <v/>
      </c>
      <c r="C305" s="41">
        <f>IF(Local!F305="Low",Local!C305,"")</f>
        <v/>
      </c>
    </row>
    <row r="306" hidden="1" ht="72" customHeight="1">
      <c r="A306" s="41">
        <f>IF(Local!F306="Low",Local!A306,"")</f>
        <v/>
      </c>
      <c r="B306" s="41">
        <f>IF(Local!F306="Low",Local!B306,"")</f>
        <v/>
      </c>
      <c r="C306" s="41">
        <f>IF(Local!F306="Low",Local!C306,"")</f>
        <v/>
      </c>
    </row>
    <row r="307" hidden="1" ht="72" customHeight="1">
      <c r="A307" s="41">
        <f>IF(Local!F307="Low",Local!A307,"")</f>
        <v/>
      </c>
      <c r="B307" s="41">
        <f>IF(Local!F307="Low",Local!B307,"")</f>
        <v/>
      </c>
      <c r="C307" s="41">
        <f>IF(Local!F307="Low",Local!C307,"")</f>
        <v/>
      </c>
    </row>
    <row r="308" hidden="1" ht="72" customHeight="1">
      <c r="A308" s="41">
        <f>IF(Local!F308="Low",Local!A308,"")</f>
        <v/>
      </c>
      <c r="B308" s="41">
        <f>IF(Local!F308="Low",Local!B308,"")</f>
        <v/>
      </c>
      <c r="C308" s="41">
        <f>IF(Local!F308="Low",Local!C308,"")</f>
        <v/>
      </c>
    </row>
    <row r="309" hidden="1" ht="72" customHeight="1">
      <c r="A309" s="41">
        <f>IF(Local!F309="Low",Local!A309,"")</f>
        <v/>
      </c>
      <c r="B309" s="41">
        <f>IF(Local!F309="Low",Local!B309,"")</f>
        <v/>
      </c>
      <c r="C309" s="41">
        <f>IF(Local!F309="Low",Local!C309,"")</f>
        <v/>
      </c>
    </row>
    <row r="310" hidden="1" ht="72" customHeight="1">
      <c r="A310" s="41">
        <f>IF(Local!F310="Low",Local!A310,"")</f>
        <v/>
      </c>
      <c r="B310" s="41">
        <f>IF(Local!F310="Low",Local!B310,"")</f>
        <v/>
      </c>
      <c r="C310" s="41">
        <f>IF(Local!F310="Low",Local!C310,"")</f>
        <v/>
      </c>
    </row>
    <row r="311" hidden="1" ht="72" customHeight="1">
      <c r="A311" s="41">
        <f>IF(Local!F311="Low",Local!A311,"")</f>
        <v/>
      </c>
      <c r="B311" s="41">
        <f>IF(Local!F311="Low",Local!B311,"")</f>
        <v/>
      </c>
      <c r="C311" s="41">
        <f>IF(Local!F311="Low",Local!C311,"")</f>
        <v/>
      </c>
    </row>
    <row r="312" hidden="1" ht="72" customHeight="1">
      <c r="A312" s="41">
        <f>IF(Local!F312="Low",Local!A312,"")</f>
        <v/>
      </c>
      <c r="B312" s="41">
        <f>IF(Local!F312="Low",Local!B312,"")</f>
        <v/>
      </c>
      <c r="C312" s="41">
        <f>IF(Local!F312="Low",Local!C312,"")</f>
        <v/>
      </c>
    </row>
    <row r="313" hidden="1" ht="72" customHeight="1">
      <c r="A313" s="41">
        <f>IF(Local!F313="Low",Local!A313,"")</f>
        <v/>
      </c>
      <c r="B313" s="41">
        <f>IF(Local!F313="Low",Local!B313,"")</f>
        <v/>
      </c>
      <c r="C313" s="41">
        <f>IF(Local!F313="Low",Local!C313,"")</f>
        <v/>
      </c>
    </row>
    <row r="314" hidden="1" ht="72" customHeight="1">
      <c r="A314" s="41">
        <f>IF(Local!F314="Low",Local!A314,"")</f>
        <v/>
      </c>
      <c r="B314" s="41">
        <f>IF(Local!F314="Low",Local!B314,"")</f>
        <v/>
      </c>
      <c r="C314" s="41">
        <f>IF(Local!F314="Low",Local!C314,"")</f>
        <v/>
      </c>
    </row>
    <row r="315" hidden="1" ht="72" customHeight="1">
      <c r="A315" s="41">
        <f>IF(Local!F315="Low",Local!A315,"")</f>
        <v/>
      </c>
      <c r="B315" s="41">
        <f>IF(Local!F315="Low",Local!B315,"")</f>
        <v/>
      </c>
      <c r="C315" s="41">
        <f>IF(Local!F315="Low",Local!C315,"")</f>
        <v/>
      </c>
    </row>
    <row r="316" hidden="1" ht="72" customHeight="1">
      <c r="A316" s="41">
        <f>IF(Local!F316="Low",Local!A316,"")</f>
        <v/>
      </c>
      <c r="B316" s="41">
        <f>IF(Local!F316="Low",Local!B316,"")</f>
        <v/>
      </c>
      <c r="C316" s="41">
        <f>IF(Local!F316="Low",Local!C316,"")</f>
        <v/>
      </c>
    </row>
    <row r="317" hidden="1" ht="72" customHeight="1">
      <c r="A317" s="41">
        <f>IF(Local!F317="Low",Local!A317,"")</f>
        <v/>
      </c>
      <c r="B317" s="41">
        <f>IF(Local!F317="Low",Local!B317,"")</f>
        <v/>
      </c>
      <c r="C317" s="41">
        <f>IF(Local!F317="Low",Local!C317,"")</f>
        <v/>
      </c>
    </row>
    <row r="318" hidden="1" ht="72" customHeight="1">
      <c r="A318" s="41">
        <f>IF(Local!F318="Low",Local!A318,"")</f>
        <v/>
      </c>
      <c r="B318" s="41">
        <f>IF(Local!F318="Low",Local!B318,"")</f>
        <v/>
      </c>
      <c r="C318" s="41">
        <f>IF(Local!F318="Low",Local!C318,"")</f>
        <v/>
      </c>
    </row>
    <row r="319" hidden="1" ht="72" customHeight="1">
      <c r="A319" s="41">
        <f>IF(Local!F319="Low",Local!A319,"")</f>
        <v/>
      </c>
      <c r="B319" s="41">
        <f>IF(Local!F319="Low",Local!B319,"")</f>
        <v/>
      </c>
      <c r="C319" s="41">
        <f>IF(Local!F319="Low",Local!C319,"")</f>
        <v/>
      </c>
    </row>
    <row r="320" hidden="1" ht="72" customHeight="1">
      <c r="A320" s="41">
        <f>IF(Local!F320="Low",Local!A320,"")</f>
        <v/>
      </c>
      <c r="B320" s="41">
        <f>IF(Local!F320="Low",Local!B320,"")</f>
        <v/>
      </c>
      <c r="C320" s="41">
        <f>IF(Local!F320="Low",Local!C320,"")</f>
        <v/>
      </c>
    </row>
    <row r="321" hidden="1" ht="72" customHeight="1">
      <c r="A321" s="41">
        <f>IF(Local!F321="Low",Local!A321,"")</f>
        <v/>
      </c>
      <c r="B321" s="41">
        <f>IF(Local!F321="Low",Local!B321,"")</f>
        <v/>
      </c>
      <c r="C321" s="41">
        <f>IF(Local!F321="Low",Local!C321,"")</f>
        <v/>
      </c>
    </row>
    <row r="322" hidden="1" ht="72" customHeight="1">
      <c r="A322" s="41">
        <f>IF(Local!F322="Low",Local!A322,"")</f>
        <v/>
      </c>
      <c r="B322" s="41">
        <f>IF(Local!F322="Low",Local!B322,"")</f>
        <v/>
      </c>
      <c r="C322" s="41">
        <f>IF(Local!F322="Low",Local!C322,"")</f>
        <v/>
      </c>
    </row>
    <row r="323" hidden="1" ht="72" customHeight="1">
      <c r="A323" s="41">
        <f>IF(Local!F323="Low",Local!A323,"")</f>
        <v/>
      </c>
      <c r="B323" s="41">
        <f>IF(Local!F323="Low",Local!B323,"")</f>
        <v/>
      </c>
      <c r="C323" s="41">
        <f>IF(Local!F323="Low",Local!C323,"")</f>
        <v/>
      </c>
    </row>
    <row r="324" hidden="1" ht="72" customHeight="1">
      <c r="A324" s="41">
        <f>IF(Local!F324="Low",Local!A324,"")</f>
        <v/>
      </c>
      <c r="B324" s="41">
        <f>IF(Local!F324="Low",Local!B324,"")</f>
        <v/>
      </c>
      <c r="C324" s="41">
        <f>IF(Local!F324="Low",Local!C324,"")</f>
        <v/>
      </c>
    </row>
    <row r="325" hidden="1" ht="72" customHeight="1">
      <c r="A325" s="41">
        <f>IF(Local!F325="Low",Local!A325,"")</f>
        <v/>
      </c>
      <c r="B325" s="41">
        <f>IF(Local!F325="Low",Local!B325,"")</f>
        <v/>
      </c>
      <c r="C325" s="41">
        <f>IF(Local!F325="Low",Local!C325,"")</f>
        <v/>
      </c>
    </row>
    <row r="326" hidden="1" ht="72" customHeight="1">
      <c r="A326" s="41">
        <f>IF(Local!F326="Low",Local!A326,"")</f>
        <v/>
      </c>
      <c r="B326" s="41">
        <f>IF(Local!F326="Low",Local!B326,"")</f>
        <v/>
      </c>
      <c r="C326" s="41">
        <f>IF(Local!F326="Low",Local!C326,"")</f>
        <v/>
      </c>
    </row>
    <row r="327" hidden="1" ht="72" customHeight="1">
      <c r="A327" s="41">
        <f>IF(Local!F327="Low",Local!A327,"")</f>
        <v/>
      </c>
      <c r="B327" s="41">
        <f>IF(Local!F327="Low",Local!B327,"")</f>
        <v/>
      </c>
      <c r="C327" s="41">
        <f>IF(Local!F327="Low",Local!C327,"")</f>
        <v/>
      </c>
    </row>
    <row r="328" hidden="1" ht="72" customHeight="1">
      <c r="A328" s="41">
        <f>IF(Local!F328="Low",Local!A328,"")</f>
        <v/>
      </c>
      <c r="B328" s="41">
        <f>IF(Local!F328="Low",Local!B328,"")</f>
        <v/>
      </c>
      <c r="C328" s="41">
        <f>IF(Local!F328="Low",Local!C328,"")</f>
        <v/>
      </c>
    </row>
    <row r="329" hidden="1" ht="72" customHeight="1">
      <c r="A329" s="41">
        <f>IF(Local!F329="Low",Local!A329,"")</f>
        <v/>
      </c>
      <c r="B329" s="41">
        <f>IF(Local!F329="Low",Local!B329,"")</f>
        <v/>
      </c>
      <c r="C329" s="41">
        <f>IF(Local!F329="Low",Local!C329,"")</f>
        <v/>
      </c>
    </row>
    <row r="330" hidden="1" ht="72" customHeight="1">
      <c r="A330" s="41">
        <f>IF(Local!F330="Low",Local!A330,"")</f>
        <v/>
      </c>
      <c r="B330" s="41">
        <f>IF(Local!F330="Low",Local!B330,"")</f>
        <v/>
      </c>
      <c r="C330" s="41">
        <f>IF(Local!F330="Low",Local!C330,"")</f>
        <v/>
      </c>
    </row>
    <row r="331" hidden="1" ht="72" customHeight="1">
      <c r="A331" s="41">
        <f>IF(Local!F331="Low",Local!A331,"")</f>
        <v/>
      </c>
      <c r="B331" s="41">
        <f>IF(Local!F331="Low",Local!B331,"")</f>
        <v/>
      </c>
      <c r="C331" s="41">
        <f>IF(Local!F331="Low",Local!C331,"")</f>
        <v/>
      </c>
    </row>
    <row r="332" hidden="1" ht="72" customHeight="1">
      <c r="A332" s="41">
        <f>IF(Local!F332="Low",Local!A332,"")</f>
        <v/>
      </c>
      <c r="B332" s="41">
        <f>IF(Local!F332="Low",Local!B332,"")</f>
        <v/>
      </c>
      <c r="C332" s="41">
        <f>IF(Local!F332="Low",Local!C332,"")</f>
        <v/>
      </c>
    </row>
    <row r="333" hidden="1" ht="72" customHeight="1">
      <c r="A333" s="41">
        <f>IF(Local!F333="Low",Local!A333,"")</f>
        <v/>
      </c>
      <c r="B333" s="41">
        <f>IF(Local!F333="Low",Local!B333,"")</f>
        <v/>
      </c>
      <c r="C333" s="41">
        <f>IF(Local!F333="Low",Local!C333,"")</f>
        <v/>
      </c>
    </row>
    <row r="334" hidden="1" ht="72" customHeight="1">
      <c r="A334" s="41">
        <f>IF(Local!F334="Low",Local!A334,"")</f>
        <v/>
      </c>
      <c r="B334" s="41">
        <f>IF(Local!F334="Low",Local!B334,"")</f>
        <v/>
      </c>
      <c r="C334" s="41">
        <f>IF(Local!F334="Low",Local!C334,"")</f>
        <v/>
      </c>
    </row>
    <row r="335" hidden="1" ht="72" customHeight="1">
      <c r="A335" s="41">
        <f>IF(Local!F335="Low",Local!A335,"")</f>
        <v/>
      </c>
      <c r="B335" s="41">
        <f>IF(Local!F335="Low",Local!B335,"")</f>
        <v/>
      </c>
      <c r="C335" s="41">
        <f>IF(Local!F335="Low",Local!C335,"")</f>
        <v/>
      </c>
    </row>
    <row r="336" hidden="1" ht="72" customHeight="1">
      <c r="A336" s="41">
        <f>IF(Local!F336="Low",Local!A336,"")</f>
        <v/>
      </c>
      <c r="B336" s="41">
        <f>IF(Local!F336="Low",Local!B336,"")</f>
        <v/>
      </c>
      <c r="C336" s="41">
        <f>IF(Local!F336="Low",Local!C336,"")</f>
        <v/>
      </c>
    </row>
    <row r="337" hidden="1" ht="72" customHeight="1">
      <c r="A337" s="41">
        <f>IF(Local!F337="Low",Local!A337,"")</f>
        <v/>
      </c>
      <c r="B337" s="41">
        <f>IF(Local!F337="Low",Local!B337,"")</f>
        <v/>
      </c>
      <c r="C337" s="41">
        <f>IF(Local!F337="Low",Local!C337,"")</f>
        <v/>
      </c>
    </row>
    <row r="338" hidden="1" ht="72" customHeight="1">
      <c r="A338" s="41">
        <f>IF(Local!F338="Low",Local!A338,"")</f>
        <v/>
      </c>
      <c r="B338" s="41">
        <f>IF(Local!F338="Low",Local!B338,"")</f>
        <v/>
      </c>
      <c r="C338" s="41">
        <f>IF(Local!F338="Low",Local!C338,"")</f>
        <v/>
      </c>
    </row>
    <row r="339" hidden="1" ht="72" customHeight="1">
      <c r="A339" s="41">
        <f>IF(Local!F339="Low",Local!A339,"")</f>
        <v/>
      </c>
      <c r="B339" s="41">
        <f>IF(Local!F339="Low",Local!B339,"")</f>
        <v/>
      </c>
      <c r="C339" s="41">
        <f>IF(Local!F339="Low",Local!C339,"")</f>
        <v/>
      </c>
    </row>
    <row r="340" hidden="1" ht="72" customHeight="1">
      <c r="A340" s="41">
        <f>IF(Local!F340="Low",Local!A340,"")</f>
        <v/>
      </c>
      <c r="B340" s="41">
        <f>IF(Local!F340="Low",Local!B340,"")</f>
        <v/>
      </c>
      <c r="C340" s="41">
        <f>IF(Local!F340="Low",Local!C340,"")</f>
        <v/>
      </c>
    </row>
    <row r="341" hidden="1" ht="72" customHeight="1">
      <c r="A341" s="41">
        <f>IF(Local!F341="Low",Local!A341,"")</f>
        <v/>
      </c>
      <c r="B341" s="41">
        <f>IF(Local!F341="Low",Local!B341,"")</f>
        <v/>
      </c>
      <c r="C341" s="41">
        <f>IF(Local!F341="Low",Local!C341,"")</f>
        <v/>
      </c>
    </row>
    <row r="342" hidden="1" ht="72" customHeight="1">
      <c r="A342" s="41">
        <f>IF(Local!F342="Low",Local!A342,"")</f>
        <v/>
      </c>
      <c r="B342" s="41">
        <f>IF(Local!F342="Low",Local!B342,"")</f>
        <v/>
      </c>
      <c r="C342" s="41">
        <f>IF(Local!F342="Low",Local!C342,"")</f>
        <v/>
      </c>
    </row>
    <row r="343" hidden="1" ht="72" customHeight="1">
      <c r="A343" s="41">
        <f>IF(Local!F343="Low",Local!A343,"")</f>
        <v/>
      </c>
      <c r="B343" s="41">
        <f>IF(Local!F343="Low",Local!B343,"")</f>
        <v/>
      </c>
      <c r="C343" s="41">
        <f>IF(Local!F343="Low",Local!C343,"")</f>
        <v/>
      </c>
    </row>
    <row r="344" hidden="1" ht="72" customHeight="1">
      <c r="A344" s="41">
        <f>IF(Local!F344="Low",Local!A344,"")</f>
        <v/>
      </c>
      <c r="B344" s="41">
        <f>IF(Local!F344="Low",Local!B344,"")</f>
        <v/>
      </c>
      <c r="C344" s="41">
        <f>IF(Local!F344="Low",Local!C344,"")</f>
        <v/>
      </c>
    </row>
    <row r="345" hidden="1" ht="72" customHeight="1">
      <c r="A345" s="41">
        <f>IF(Local!F345="Low",Local!A345,"")</f>
        <v/>
      </c>
      <c r="B345" s="41">
        <f>IF(Local!F345="Low",Local!B345,"")</f>
        <v/>
      </c>
      <c r="C345" s="41">
        <f>IF(Local!F345="Low",Local!C345,"")</f>
        <v/>
      </c>
    </row>
    <row r="346" hidden="1" ht="72" customHeight="1">
      <c r="A346" s="41">
        <f>IF(Local!F346="Low",Local!A346,"")</f>
        <v/>
      </c>
      <c r="B346" s="41">
        <f>IF(Local!F346="Low",Local!B346,"")</f>
        <v/>
      </c>
      <c r="C346" s="41">
        <f>IF(Local!F346="Low",Local!C346,"")</f>
        <v/>
      </c>
    </row>
    <row r="347" hidden="1" ht="72" customHeight="1">
      <c r="A347" s="41">
        <f>IF(Local!F347="Low",Local!A347,"")</f>
        <v/>
      </c>
      <c r="B347" s="41">
        <f>IF(Local!F347="Low",Local!B347,"")</f>
        <v/>
      </c>
      <c r="C347" s="41">
        <f>IF(Local!F347="Low",Local!C347,"")</f>
        <v/>
      </c>
    </row>
    <row r="348" hidden="1" ht="72" customHeight="1">
      <c r="A348" s="41">
        <f>IF(Local!F348="Low",Local!A348,"")</f>
        <v/>
      </c>
      <c r="B348" s="41">
        <f>IF(Local!F348="Low",Local!B348,"")</f>
        <v/>
      </c>
      <c r="C348" s="41">
        <f>IF(Local!F348="Low",Local!C348,"")</f>
        <v/>
      </c>
    </row>
    <row r="349" hidden="1" ht="72" customHeight="1">
      <c r="A349" s="41">
        <f>IF(Local!F349="Low",Local!A349,"")</f>
        <v/>
      </c>
      <c r="B349" s="41">
        <f>IF(Local!F349="Low",Local!B349,"")</f>
        <v/>
      </c>
      <c r="C349" s="41">
        <f>IF(Local!F349="Low",Local!C349,"")</f>
        <v/>
      </c>
    </row>
    <row r="350" hidden="1" ht="72" customHeight="1">
      <c r="A350" s="41">
        <f>IF(Local!F350="Low",Local!A350,"")</f>
        <v/>
      </c>
      <c r="B350" s="41">
        <f>IF(Local!F350="Low",Local!B350,"")</f>
        <v/>
      </c>
      <c r="C350" s="41">
        <f>IF(Local!F350="Low",Local!C350,"")</f>
        <v/>
      </c>
    </row>
    <row r="351" hidden="1" ht="72" customHeight="1">
      <c r="A351" s="41">
        <f>IF(Local!F351="Low",Local!A351,"")</f>
        <v/>
      </c>
      <c r="B351" s="41">
        <f>IF(Local!F351="Low",Local!B351,"")</f>
        <v/>
      </c>
      <c r="C351" s="41">
        <f>IF(Local!F351="Low",Local!C351,"")</f>
        <v/>
      </c>
    </row>
    <row r="352" hidden="1" ht="72" customHeight="1">
      <c r="A352" s="41">
        <f>IF(Local!F352="Low",Local!A352,"")</f>
        <v/>
      </c>
      <c r="B352" s="41">
        <f>IF(Local!F352="Low",Local!B352,"")</f>
        <v/>
      </c>
      <c r="C352" s="41">
        <f>IF(Local!F352="Low",Local!C352,"")</f>
        <v/>
      </c>
    </row>
    <row r="353" hidden="1" ht="72" customHeight="1">
      <c r="A353" s="41">
        <f>IF(Local!F353="Low",Local!A353,"")</f>
        <v/>
      </c>
      <c r="B353" s="41">
        <f>IF(Local!F353="Low",Local!B353,"")</f>
        <v/>
      </c>
      <c r="C353" s="41">
        <f>IF(Local!F353="Low",Local!C353,"")</f>
        <v/>
      </c>
    </row>
    <row r="354" hidden="1" ht="72" customHeight="1">
      <c r="A354" s="41">
        <f>IF(Local!F354="Low",Local!A354,"")</f>
        <v/>
      </c>
      <c r="B354" s="41">
        <f>IF(Local!F354="Low",Local!B354,"")</f>
        <v/>
      </c>
      <c r="C354" s="41">
        <f>IF(Local!F354="Low",Local!C354,"")</f>
        <v/>
      </c>
    </row>
    <row r="355" hidden="1" ht="72" customHeight="1">
      <c r="A355" s="41">
        <f>IF(Local!F355="Low",Local!A355,"")</f>
        <v/>
      </c>
      <c r="B355" s="41">
        <f>IF(Local!F355="Low",Local!B355,"")</f>
        <v/>
      </c>
      <c r="C355" s="41">
        <f>IF(Local!F355="Low",Local!C355,"")</f>
        <v/>
      </c>
    </row>
    <row r="356" hidden="1" ht="72" customHeight="1">
      <c r="A356" s="41">
        <f>IF(Local!F356="Low",Local!A356,"")</f>
        <v/>
      </c>
      <c r="B356" s="41">
        <f>IF(Local!F356="Low",Local!B356,"")</f>
        <v/>
      </c>
      <c r="C356" s="41">
        <f>IF(Local!F356="Low",Local!C356,"")</f>
        <v/>
      </c>
    </row>
    <row r="357" hidden="1" ht="72" customHeight="1">
      <c r="A357" s="41">
        <f>IF(Local!F357="Low",Local!A357,"")</f>
        <v/>
      </c>
      <c r="B357" s="41">
        <f>IF(Local!F357="Low",Local!B357,"")</f>
        <v/>
      </c>
      <c r="C357" s="41">
        <f>IF(Local!F357="Low",Local!C357,"")</f>
        <v/>
      </c>
    </row>
    <row r="358" hidden="1" ht="72" customHeight="1">
      <c r="A358" s="41">
        <f>IF(Local!F358="Low",Local!A358,"")</f>
        <v/>
      </c>
      <c r="B358" s="41">
        <f>IF(Local!F358="Low",Local!B358,"")</f>
        <v/>
      </c>
      <c r="C358" s="41">
        <f>IF(Local!F358="Low",Local!C358,"")</f>
        <v/>
      </c>
    </row>
    <row r="359" hidden="1" ht="72" customHeight="1">
      <c r="A359" s="41">
        <f>IF(Local!F359="Low",Local!A359,"")</f>
        <v/>
      </c>
      <c r="B359" s="41">
        <f>IF(Local!F359="Low",Local!B359,"")</f>
        <v/>
      </c>
      <c r="C359" s="41">
        <f>IF(Local!F359="Low",Local!C359,"")</f>
        <v/>
      </c>
    </row>
    <row r="360" hidden="1" ht="72" customHeight="1">
      <c r="A360" s="41">
        <f>IF(Local!F360="Low",Local!A360,"")</f>
        <v/>
      </c>
      <c r="B360" s="41">
        <f>IF(Local!F360="Low",Local!B360,"")</f>
        <v/>
      </c>
      <c r="C360" s="41">
        <f>IF(Local!F360="Low",Local!C360,"")</f>
        <v/>
      </c>
    </row>
    <row r="361" hidden="1" ht="72" customHeight="1">
      <c r="A361" s="41">
        <f>IF(Local!F361="Low",Local!A361,"")</f>
        <v/>
      </c>
      <c r="B361" s="41">
        <f>IF(Local!F361="Low",Local!B361,"")</f>
        <v/>
      </c>
      <c r="C361" s="41">
        <f>IF(Local!F361="Low",Local!C361,"")</f>
        <v/>
      </c>
    </row>
    <row r="362" hidden="1" ht="72" customHeight="1">
      <c r="A362" s="41">
        <f>IF(Local!F362="Low",Local!A362,"")</f>
        <v/>
      </c>
      <c r="B362" s="41">
        <f>IF(Local!F362="Low",Local!B362,"")</f>
        <v/>
      </c>
      <c r="C362" s="41">
        <f>IF(Local!F362="Low",Local!C362,"")</f>
        <v/>
      </c>
    </row>
    <row r="363" hidden="1" ht="72" customHeight="1">
      <c r="A363" s="41">
        <f>IF(Local!F363="Low",Local!A363,"")</f>
        <v/>
      </c>
      <c r="B363" s="41">
        <f>IF(Local!F363="Low",Local!B363,"")</f>
        <v/>
      </c>
      <c r="C363" s="41">
        <f>IF(Local!F363="Low",Local!C363,"")</f>
        <v/>
      </c>
    </row>
    <row r="364" hidden="1" ht="72" customHeight="1">
      <c r="A364" s="41">
        <f>IF(Local!F364="Low",Local!A364,"")</f>
        <v/>
      </c>
      <c r="B364" s="41">
        <f>IF(Local!F364="Low",Local!B364,"")</f>
        <v/>
      </c>
      <c r="C364" s="41">
        <f>IF(Local!F364="Low",Local!C364,"")</f>
        <v/>
      </c>
    </row>
    <row r="365" hidden="1" ht="72" customHeight="1">
      <c r="A365" s="41">
        <f>IF(Local!F365="Low",Local!A365,"")</f>
        <v/>
      </c>
      <c r="B365" s="41">
        <f>IF(Local!F365="Low",Local!B365,"")</f>
        <v/>
      </c>
      <c r="C365" s="41">
        <f>IF(Local!F365="Low",Local!C365,"")</f>
        <v/>
      </c>
    </row>
    <row r="366" hidden="1" ht="72" customHeight="1">
      <c r="A366" s="41">
        <f>IF(Local!F366="Low",Local!A366,"")</f>
        <v/>
      </c>
      <c r="B366" s="41">
        <f>IF(Local!F366="Low",Local!B366,"")</f>
        <v/>
      </c>
      <c r="C366" s="41">
        <f>IF(Local!F366="Low",Local!C366,"")</f>
        <v/>
      </c>
    </row>
    <row r="367" hidden="1" ht="72" customHeight="1">
      <c r="A367" s="41">
        <f>IF(Local!F367="Low",Local!A367,"")</f>
        <v/>
      </c>
      <c r="B367" s="41">
        <f>IF(Local!F367="Low",Local!B367,"")</f>
        <v/>
      </c>
      <c r="C367" s="41">
        <f>IF(Local!F367="Low",Local!C367,"")</f>
        <v/>
      </c>
    </row>
    <row r="368" hidden="1" ht="72" customHeight="1">
      <c r="A368" s="41">
        <f>IF(Local!F368="Low",Local!A368,"")</f>
        <v/>
      </c>
      <c r="B368" s="41">
        <f>IF(Local!F368="Low",Local!B368,"")</f>
        <v/>
      </c>
      <c r="C368" s="41">
        <f>IF(Local!F368="Low",Local!C368,"")</f>
        <v/>
      </c>
    </row>
    <row r="369" hidden="1" ht="72" customHeight="1">
      <c r="A369" s="41">
        <f>IF(Local!F369="Low",Local!A369,"")</f>
        <v/>
      </c>
      <c r="B369" s="41">
        <f>IF(Local!F369="Low",Local!B369,"")</f>
        <v/>
      </c>
      <c r="C369" s="41">
        <f>IF(Local!F369="Low",Local!C369,"")</f>
        <v/>
      </c>
    </row>
    <row r="370" hidden="1" ht="72" customHeight="1">
      <c r="A370" s="41">
        <f>IF(Local!F370="Low",Local!A370,"")</f>
        <v/>
      </c>
      <c r="B370" s="41">
        <f>IF(Local!F370="Low",Local!B370,"")</f>
        <v/>
      </c>
      <c r="C370" s="41">
        <f>IF(Local!F370="Low",Local!C370,"")</f>
        <v/>
      </c>
    </row>
    <row r="371" hidden="1" ht="72" customHeight="1">
      <c r="A371" s="41">
        <f>IF(Local!F371="Low",Local!A371,"")</f>
        <v/>
      </c>
      <c r="B371" s="41">
        <f>IF(Local!F371="Low",Local!B371,"")</f>
        <v/>
      </c>
      <c r="C371" s="41">
        <f>IF(Local!F371="Low",Local!C371,"")</f>
        <v/>
      </c>
    </row>
    <row r="372" hidden="1" ht="72" customHeight="1">
      <c r="A372" s="41">
        <f>IF(Local!F372="Low",Local!A372,"")</f>
        <v/>
      </c>
      <c r="B372" s="41">
        <f>IF(Local!F372="Low",Local!B372,"")</f>
        <v/>
      </c>
      <c r="C372" s="41">
        <f>IF(Local!F372="Low",Local!C372,"")</f>
        <v/>
      </c>
    </row>
    <row r="373" hidden="1" ht="72" customHeight="1">
      <c r="A373" s="41">
        <f>IF(Local!F373="Low",Local!A373,"")</f>
        <v/>
      </c>
      <c r="B373" s="41">
        <f>IF(Local!F373="Low",Local!B373,"")</f>
        <v/>
      </c>
      <c r="C373" s="41">
        <f>IF(Local!F373="Low",Local!C373,"")</f>
        <v/>
      </c>
    </row>
    <row r="374" hidden="1" ht="72" customHeight="1">
      <c r="A374" s="41">
        <f>IF(Local!F374="Low",Local!A374,"")</f>
        <v/>
      </c>
      <c r="B374" s="41">
        <f>IF(Local!F374="Low",Local!B374,"")</f>
        <v/>
      </c>
      <c r="C374" s="41">
        <f>IF(Local!F374="Low",Local!C374,"")</f>
        <v/>
      </c>
    </row>
    <row r="375" hidden="1" ht="72" customHeight="1">
      <c r="A375" s="41">
        <f>IF(Local!F375="Low",Local!A375,"")</f>
        <v/>
      </c>
      <c r="B375" s="41">
        <f>IF(Local!F375="Low",Local!B375,"")</f>
        <v/>
      </c>
      <c r="C375" s="41">
        <f>IF(Local!F375="Low",Local!C375,"")</f>
        <v/>
      </c>
    </row>
    <row r="376" hidden="1" ht="72" customHeight="1"/>
    <row r="377" hidden="1" ht="72" customHeight="1"/>
    <row r="378" hidden="1" ht="72" customHeight="1"/>
    <row r="379" hidden="1" ht="72" customHeight="1"/>
    <row r="380" hidden="1" ht="72" customHeight="1"/>
    <row r="381" hidden="1" ht="72" customHeight="1"/>
    <row r="382" hidden="1" ht="72" customHeight="1"/>
    <row r="383" hidden="1" ht="72" customHeight="1"/>
    <row r="384" hidden="1" ht="72" customHeight="1"/>
    <row r="385" hidden="1" ht="72" customHeight="1"/>
    <row r="386" hidden="1" ht="72" customHeight="1"/>
    <row r="387" hidden="1" ht="72" customHeight="1"/>
    <row r="388" hidden="1" ht="72" customHeight="1"/>
    <row r="389" hidden="1" ht="72" customHeight="1"/>
    <row r="390" hidden="1" ht="72" customHeight="1"/>
    <row r="391" hidden="1" ht="72" customHeight="1"/>
    <row r="392" hidden="1" ht="72" customHeight="1"/>
    <row r="393" hidden="1" ht="72" customHeight="1"/>
    <row r="394" hidden="1" ht="72" customHeight="1"/>
    <row r="395" hidden="1" ht="72" customHeight="1"/>
    <row r="396" hidden="1" ht="72" customHeight="1"/>
    <row r="397" hidden="1" ht="72" customHeight="1"/>
    <row r="398" hidden="1" ht="72" customHeight="1"/>
    <row r="399" hidden="1" ht="72" customHeight="1"/>
    <row r="400" hidden="1" ht="72" customHeight="1"/>
    <row r="401" hidden="1" ht="72" customHeight="1"/>
    <row r="402" hidden="1" ht="72" customHeight="1"/>
    <row r="403" hidden="1" ht="72" customHeight="1"/>
    <row r="404" hidden="1" ht="72" customHeight="1"/>
    <row r="405" hidden="1" ht="72" customHeight="1"/>
    <row r="406" hidden="1" ht="72" customHeight="1"/>
    <row r="407" hidden="1" ht="72" customHeight="1"/>
    <row r="408" hidden="1" ht="72" customHeight="1"/>
    <row r="409" hidden="1" ht="72" customHeight="1"/>
    <row r="410" hidden="1" ht="72" customHeight="1"/>
    <row r="411" hidden="1" ht="72" customHeight="1"/>
    <row r="412" hidden="1" ht="72" customHeight="1"/>
    <row r="413" hidden="1" ht="72" customHeight="1"/>
    <row r="414" hidden="1" ht="72" customHeight="1"/>
    <row r="415" hidden="1" ht="72" customHeight="1"/>
    <row r="416" hidden="1" ht="72" customHeight="1"/>
    <row r="417" hidden="1" ht="72" customHeight="1"/>
    <row r="418" hidden="1" ht="72" customHeight="1"/>
    <row r="419" hidden="1" ht="72" customHeight="1"/>
    <row r="420" hidden="1" ht="72" customHeight="1"/>
    <row r="421" hidden="1" ht="72" customHeight="1"/>
    <row r="422" hidden="1" ht="72" customHeight="1"/>
    <row r="423" hidden="1" ht="72" customHeight="1"/>
    <row r="424" hidden="1" ht="72" customHeight="1"/>
    <row r="425" hidden="1" ht="72" customHeight="1"/>
    <row r="426" hidden="1" ht="72" customHeight="1"/>
    <row r="427" hidden="1" ht="72" customHeight="1"/>
    <row r="428" hidden="1" ht="72" customHeight="1"/>
    <row r="429" hidden="1" ht="72" customHeight="1"/>
    <row r="430" hidden="1" ht="72" customHeight="1"/>
    <row r="431" hidden="1" ht="72" customHeight="1"/>
    <row r="432" hidden="1" ht="72" customHeight="1"/>
    <row r="433" hidden="1" ht="72" customHeight="1"/>
    <row r="434" hidden="1" ht="72" customHeight="1"/>
    <row r="435" hidden="1" ht="72" customHeight="1"/>
    <row r="436" hidden="1" ht="72" customHeight="1"/>
    <row r="437" hidden="1" ht="72" customHeight="1"/>
    <row r="438" hidden="1" ht="72" customHeight="1"/>
    <row r="439" hidden="1" ht="72" customHeight="1"/>
    <row r="440" hidden="1" ht="72" customHeight="1"/>
    <row r="441" hidden="1" ht="72" customHeight="1"/>
    <row r="442" hidden="1" ht="72" customHeight="1"/>
    <row r="443" hidden="1" ht="72" customHeight="1"/>
    <row r="444" hidden="1" ht="72" customHeight="1"/>
    <row r="445" hidden="1" ht="72" customHeight="1"/>
    <row r="446" hidden="1" ht="72" customHeight="1"/>
    <row r="447" hidden="1" ht="72" customHeight="1"/>
    <row r="448" hidden="1" ht="72" customHeight="1"/>
    <row r="449" hidden="1" ht="72" customHeight="1"/>
    <row r="450" hidden="1" ht="72" customHeight="1"/>
    <row r="451" hidden="1" ht="72" customHeight="1"/>
    <row r="452" hidden="1" ht="72" customHeight="1"/>
    <row r="453" hidden="1" ht="72" customHeight="1"/>
    <row r="454" hidden="1" ht="72" customHeight="1"/>
    <row r="455" hidden="1" ht="72" customHeight="1"/>
    <row r="456" hidden="1" ht="72" customHeight="1"/>
    <row r="457" hidden="1" ht="72" customHeight="1"/>
    <row r="458" hidden="1" ht="72" customHeight="1"/>
    <row r="459" hidden="1" ht="72" customHeight="1"/>
    <row r="460" hidden="1" ht="72" customHeight="1"/>
    <row r="461" hidden="1" ht="72" customHeight="1"/>
    <row r="462" hidden="1" ht="72" customHeight="1"/>
    <row r="463" hidden="1" ht="72" customHeight="1"/>
    <row r="464" hidden="1" ht="72" customHeight="1"/>
    <row r="465" hidden="1" ht="72" customHeight="1"/>
    <row r="466" hidden="1" ht="72" customHeight="1"/>
    <row r="467" hidden="1" ht="72" customHeight="1"/>
    <row r="468" hidden="1" ht="72" customHeight="1"/>
    <row r="469" hidden="1" ht="72" customHeight="1"/>
    <row r="470" hidden="1" ht="72" customHeight="1"/>
    <row r="471" hidden="1" ht="72" customHeight="1"/>
    <row r="472" hidden="1" ht="72" customHeight="1"/>
    <row r="473" hidden="1" ht="72" customHeight="1"/>
    <row r="474" hidden="1" ht="72" customHeight="1"/>
    <row r="475" hidden="1" ht="72" customHeight="1"/>
    <row r="476" hidden="1" ht="72" customHeight="1"/>
    <row r="477" hidden="1" ht="72" customHeight="1"/>
    <row r="478" hidden="1" ht="72" customHeight="1"/>
    <row r="479" hidden="1" ht="72" customHeight="1"/>
    <row r="480" hidden="1" ht="72" customHeight="1"/>
    <row r="481" hidden="1" ht="72" customHeight="1"/>
    <row r="482" hidden="1" ht="72" customHeight="1"/>
    <row r="483" hidden="1" ht="72" customHeight="1"/>
    <row r="484" hidden="1" ht="72" customHeight="1"/>
    <row r="485" hidden="1" ht="72" customHeight="1"/>
    <row r="486" hidden="1" ht="72" customHeight="1"/>
    <row r="487" hidden="1" ht="72" customHeight="1"/>
    <row r="488" hidden="1" ht="72" customHeight="1"/>
    <row r="489" hidden="1" ht="72" customHeight="1"/>
    <row r="490" hidden="1" ht="72" customHeight="1"/>
    <row r="491" hidden="1" ht="72" customHeight="1"/>
    <row r="492" hidden="1" ht="72" customHeight="1"/>
    <row r="493" hidden="1" ht="72" customHeight="1"/>
    <row r="494" hidden="1" ht="72" customHeight="1"/>
    <row r="495" hidden="1" ht="72" customHeight="1"/>
    <row r="496" hidden="1" ht="72" customHeight="1"/>
    <row r="497" hidden="1" ht="72" customHeight="1"/>
    <row r="498" hidden="1" ht="72" customHeight="1"/>
    <row r="499" hidden="1" ht="72" customHeight="1"/>
    <row r="500" hidden="1" ht="72" customHeight="1"/>
    <row r="501" hidden="1" ht="72" customHeight="1"/>
    <row r="502" hidden="1" ht="72" customHeight="1"/>
    <row r="503" hidden="1" ht="72" customHeight="1"/>
    <row r="504" hidden="1" ht="72" customHeight="1"/>
    <row r="505" hidden="1" ht="72" customHeight="1"/>
    <row r="506" hidden="1" ht="72" customHeight="1"/>
    <row r="507" hidden="1" ht="72" customHeight="1"/>
    <row r="508" hidden="1" ht="72" customHeight="1"/>
    <row r="509" hidden="1" ht="72" customHeight="1"/>
    <row r="510" hidden="1" ht="72" customHeight="1"/>
    <row r="511" hidden="1" ht="72" customHeight="1"/>
    <row r="512" hidden="1" ht="72" customHeight="1"/>
    <row r="513" hidden="1" ht="72" customHeight="1"/>
    <row r="514" hidden="1" ht="72" customHeight="1"/>
    <row r="515" hidden="1" ht="72" customHeight="1"/>
    <row r="516" hidden="1" ht="72" customHeight="1"/>
    <row r="517" hidden="1" ht="72" customHeight="1"/>
    <row r="518" hidden="1" ht="72" customHeight="1"/>
    <row r="519" hidden="1" ht="72" customHeight="1"/>
    <row r="520" hidden="1" ht="72" customHeight="1"/>
    <row r="521" hidden="1" ht="72" customHeight="1"/>
    <row r="522" hidden="1" ht="72" customHeight="1"/>
    <row r="523" hidden="1" ht="72" customHeight="1"/>
    <row r="524" hidden="1" ht="72" customHeight="1"/>
    <row r="525" hidden="1" ht="72" customHeight="1"/>
    <row r="526" hidden="1" ht="72" customHeight="1"/>
    <row r="527" hidden="1" ht="72" customHeight="1"/>
    <row r="528" hidden="1" ht="72" customHeight="1"/>
    <row r="529" hidden="1" ht="72" customHeight="1"/>
    <row r="530" hidden="1" ht="72" customHeight="1"/>
    <row r="531" hidden="1" ht="72" customHeight="1"/>
    <row r="532" hidden="1" ht="72" customHeight="1"/>
    <row r="533" hidden="1" ht="72" customHeight="1"/>
    <row r="534" hidden="1" ht="72" customHeight="1"/>
    <row r="535" hidden="1" ht="72" customHeight="1"/>
    <row r="536" hidden="1" ht="72" customHeight="1"/>
    <row r="537" hidden="1" ht="72" customHeight="1"/>
    <row r="538" hidden="1" ht="72" customHeight="1"/>
    <row r="539" hidden="1" ht="72" customHeight="1"/>
    <row r="540" hidden="1" ht="72" customHeight="1"/>
    <row r="541" hidden="1" ht="72" customHeight="1"/>
    <row r="542" hidden="1" ht="72" customHeight="1"/>
    <row r="543" hidden="1" ht="72" customHeight="1"/>
    <row r="544" hidden="1" ht="72" customHeight="1"/>
    <row r="545" hidden="1" ht="72" customHeight="1"/>
    <row r="546" hidden="1" ht="72" customHeight="1"/>
    <row r="547" hidden="1" ht="72" customHeight="1"/>
    <row r="548" hidden="1" ht="72" customHeight="1"/>
    <row r="549" hidden="1" ht="72" customHeight="1"/>
    <row r="550" hidden="1" ht="72" customHeight="1"/>
    <row r="551" hidden="1" ht="72" customHeight="1"/>
    <row r="552" hidden="1" ht="72" customHeight="1"/>
    <row r="553" hidden="1" ht="72" customHeight="1"/>
    <row r="554" hidden="1" ht="72" customHeight="1"/>
    <row r="555" hidden="1" ht="72" customHeight="1"/>
    <row r="556" hidden="1" ht="72" customHeight="1"/>
    <row r="557" hidden="1" ht="72" customHeight="1"/>
    <row r="558" hidden="1" ht="72" customHeight="1"/>
    <row r="559" hidden="1" ht="72" customHeight="1"/>
    <row r="560" hidden="1" ht="72" customHeight="1"/>
    <row r="561" hidden="1" ht="72" customHeight="1"/>
    <row r="562" hidden="1" ht="72" customHeight="1"/>
    <row r="563" hidden="1" ht="72" customHeight="1"/>
    <row r="564" hidden="1" ht="72" customHeight="1"/>
    <row r="565" hidden="1" ht="72" customHeight="1"/>
    <row r="566" hidden="1" ht="72" customHeight="1"/>
    <row r="567" hidden="1" ht="72" customHeight="1"/>
    <row r="568" hidden="1" ht="72" customHeight="1"/>
    <row r="569" hidden="1" ht="72" customHeight="1"/>
    <row r="570" hidden="1" ht="72" customHeight="1"/>
    <row r="571" hidden="1" ht="72" customHeight="1"/>
    <row r="572" hidden="1" ht="72" customHeight="1"/>
    <row r="573" hidden="1" ht="72" customHeight="1"/>
    <row r="574" hidden="1" ht="72" customHeight="1"/>
    <row r="575" hidden="1" ht="72" customHeight="1"/>
    <row r="576" hidden="1" ht="72" customHeight="1"/>
    <row r="577" hidden="1" ht="72" customHeight="1"/>
    <row r="578" hidden="1" ht="72" customHeight="1"/>
    <row r="579" hidden="1" ht="72" customHeight="1"/>
    <row r="580" hidden="1" ht="72" customHeight="1"/>
    <row r="581" hidden="1" ht="72" customHeight="1"/>
    <row r="582" hidden="1" ht="72" customHeight="1"/>
    <row r="583" hidden="1" ht="72" customHeight="1"/>
    <row r="584" hidden="1" ht="72" customHeight="1"/>
    <row r="585" hidden="1" ht="72" customHeight="1"/>
    <row r="586" hidden="1" ht="72" customHeight="1"/>
    <row r="587" hidden="1" ht="72" customHeight="1"/>
    <row r="588" hidden="1" ht="72" customHeight="1"/>
    <row r="589" hidden="1" ht="72" customHeight="1"/>
    <row r="590" hidden="1" ht="72" customHeight="1"/>
    <row r="591" hidden="1" ht="72" customHeight="1"/>
    <row r="592" hidden="1" ht="72" customHeight="1"/>
    <row r="593" hidden="1" ht="72" customHeight="1"/>
    <row r="594" hidden="1" ht="72" customHeight="1"/>
    <row r="595" hidden="1" ht="72" customHeight="1"/>
    <row r="596" hidden="1" ht="72" customHeight="1"/>
    <row r="597" hidden="1" ht="72" customHeight="1"/>
    <row r="598" hidden="1" ht="72" customHeight="1"/>
    <row r="599" hidden="1" ht="72" customHeight="1"/>
    <row r="600" hidden="1" ht="72" customHeight="1"/>
    <row r="601" hidden="1" ht="72" customHeight="1"/>
    <row r="602" hidden="1" ht="72" customHeight="1"/>
    <row r="603" hidden="1" ht="72" customHeight="1"/>
    <row r="604" hidden="1" ht="72" customHeight="1"/>
    <row r="605" hidden="1" ht="72" customHeight="1"/>
    <row r="606" hidden="1" ht="72" customHeight="1"/>
    <row r="607" hidden="1" ht="72" customHeight="1"/>
    <row r="608" hidden="1" ht="72" customHeight="1"/>
    <row r="609" hidden="1" ht="72" customHeight="1"/>
    <row r="610" hidden="1" ht="72" customHeight="1"/>
    <row r="611" hidden="1" ht="72" customHeight="1"/>
    <row r="612" hidden="1" ht="72" customHeight="1"/>
    <row r="613" hidden="1" ht="72" customHeight="1"/>
    <row r="614" hidden="1" ht="72" customHeight="1"/>
    <row r="615" hidden="1" ht="72" customHeight="1"/>
    <row r="616" hidden="1" ht="72" customHeight="1"/>
    <row r="617" hidden="1" ht="72" customHeight="1"/>
    <row r="618" hidden="1" ht="72" customHeight="1"/>
    <row r="619" hidden="1" ht="72" customHeight="1"/>
    <row r="620" hidden="1" ht="72" customHeight="1"/>
    <row r="621" hidden="1" ht="72" customHeight="1"/>
    <row r="622" hidden="1" ht="72" customHeight="1"/>
    <row r="623" hidden="1" ht="72" customHeight="1"/>
    <row r="624" hidden="1" ht="72" customHeight="1"/>
    <row r="625" hidden="1" ht="72" customHeight="1"/>
    <row r="626" hidden="1" ht="72" customHeight="1"/>
    <row r="627" hidden="1" ht="72" customHeight="1"/>
    <row r="628" hidden="1" ht="72" customHeight="1"/>
    <row r="629" hidden="1" ht="72" customHeight="1"/>
    <row r="630" hidden="1" ht="72" customHeight="1"/>
    <row r="631" hidden="1" ht="72" customHeight="1"/>
    <row r="632" hidden="1" ht="72" customHeight="1"/>
    <row r="633" hidden="1" ht="72" customHeight="1"/>
    <row r="634" hidden="1" ht="72" customHeight="1"/>
    <row r="635" hidden="1" ht="72" customHeight="1"/>
    <row r="636" hidden="1" ht="72" customHeight="1"/>
    <row r="637" hidden="1" ht="72" customHeight="1"/>
    <row r="638" hidden="1" ht="72" customHeight="1"/>
    <row r="639" hidden="1" ht="72" customHeight="1"/>
    <row r="640" hidden="1" ht="72" customHeight="1"/>
    <row r="641" hidden="1" ht="72" customHeight="1"/>
    <row r="642" hidden="1" ht="72" customHeight="1"/>
    <row r="643" hidden="1" ht="72" customHeight="1"/>
    <row r="644" hidden="1" ht="72" customHeight="1"/>
    <row r="645" hidden="1" ht="72" customHeight="1"/>
    <row r="646" hidden="1" ht="72" customHeight="1"/>
    <row r="647" hidden="1" ht="72" customHeight="1"/>
    <row r="648" hidden="1" ht="72" customHeight="1"/>
    <row r="649" hidden="1" ht="72" customHeight="1"/>
    <row r="650" hidden="1" ht="72" customHeight="1"/>
    <row r="651" hidden="1" ht="72" customHeight="1"/>
    <row r="652" hidden="1" ht="72" customHeight="1"/>
    <row r="653" hidden="1" ht="72" customHeight="1"/>
    <row r="654" hidden="1" ht="72" customHeight="1"/>
    <row r="655" hidden="1" ht="72" customHeight="1"/>
    <row r="656" hidden="1" ht="72" customHeight="1"/>
    <row r="657" hidden="1" ht="72" customHeight="1"/>
    <row r="658" hidden="1" ht="72" customHeight="1"/>
    <row r="659" hidden="1" ht="72" customHeight="1"/>
    <row r="660" hidden="1" ht="72" customHeight="1"/>
    <row r="661" hidden="1" ht="72" customHeight="1"/>
    <row r="662" hidden="1" ht="72" customHeight="1"/>
    <row r="663" hidden="1" ht="72" customHeight="1"/>
    <row r="664" hidden="1" ht="72" customHeight="1"/>
    <row r="665" hidden="1" ht="72" customHeight="1"/>
    <row r="666" hidden="1" ht="72" customHeight="1"/>
    <row r="667" hidden="1" ht="72" customHeight="1"/>
    <row r="668" hidden="1" ht="72" customHeight="1"/>
    <row r="669" hidden="1" ht="72" customHeight="1"/>
    <row r="670" hidden="1" ht="72" customHeight="1"/>
    <row r="671" hidden="1" ht="72" customHeight="1"/>
    <row r="672" hidden="1" ht="72" customHeight="1"/>
    <row r="673" hidden="1" ht="72" customHeight="1"/>
    <row r="674" hidden="1" ht="72" customHeight="1"/>
    <row r="675" hidden="1" ht="72" customHeight="1"/>
    <row r="676" hidden="1" ht="72" customHeight="1"/>
    <row r="677" hidden="1" ht="72" customHeight="1"/>
    <row r="678" hidden="1" ht="72" customHeight="1"/>
    <row r="679" hidden="1" ht="72" customHeight="1"/>
    <row r="680" hidden="1" ht="72" customHeight="1"/>
    <row r="681" hidden="1" ht="72" customHeight="1"/>
    <row r="682" hidden="1" ht="72" customHeight="1"/>
    <row r="683" hidden="1" ht="72" customHeight="1"/>
    <row r="684" hidden="1" ht="72" customHeight="1"/>
    <row r="685" hidden="1" ht="72" customHeight="1"/>
    <row r="686" hidden="1" ht="72" customHeight="1"/>
    <row r="687" hidden="1" ht="72" customHeight="1"/>
    <row r="688" hidden="1" ht="72" customHeight="1"/>
    <row r="689" hidden="1" ht="72" customHeight="1"/>
    <row r="690" hidden="1" ht="72" customHeight="1"/>
    <row r="691" hidden="1" ht="72" customHeight="1"/>
    <row r="692" hidden="1" ht="72" customHeight="1"/>
    <row r="693" hidden="1" ht="72" customHeight="1"/>
    <row r="694" hidden="1" ht="72" customHeight="1"/>
    <row r="695" hidden="1" ht="72" customHeight="1"/>
    <row r="696" hidden="1" ht="72" customHeight="1"/>
    <row r="697" hidden="1" ht="72" customHeight="1"/>
    <row r="698" hidden="1" ht="72" customHeight="1"/>
    <row r="699" hidden="1" ht="72" customHeight="1"/>
    <row r="700" hidden="1" ht="72" customHeight="1"/>
    <row r="701" hidden="1" ht="72" customHeight="1"/>
    <row r="702" hidden="1" ht="72" customHeight="1"/>
    <row r="703" hidden="1" ht="72" customHeight="1"/>
    <row r="704" hidden="1" ht="72" customHeight="1"/>
    <row r="705" hidden="1" ht="72" customHeight="1"/>
    <row r="706" hidden="1" ht="72" customHeight="1"/>
    <row r="707" hidden="1" ht="72" customHeight="1"/>
    <row r="708" hidden="1" ht="72" customHeight="1"/>
    <row r="709" hidden="1" ht="72" customHeight="1"/>
    <row r="710" hidden="1" ht="72" customHeight="1"/>
    <row r="711" hidden="1" ht="72" customHeight="1"/>
    <row r="712" hidden="1" ht="72" customHeight="1"/>
    <row r="713" hidden="1" ht="72" customHeight="1"/>
    <row r="714" hidden="1" ht="72" customHeight="1"/>
    <row r="715" hidden="1" ht="72" customHeight="1"/>
    <row r="716" hidden="1" ht="72" customHeight="1"/>
    <row r="717" hidden="1" ht="72" customHeight="1"/>
    <row r="718" hidden="1" ht="72" customHeight="1"/>
    <row r="719" hidden="1" ht="72" customHeight="1"/>
    <row r="720" hidden="1" ht="72" customHeight="1"/>
    <row r="721" hidden="1" ht="72" customHeight="1"/>
    <row r="722" hidden="1" ht="72" customHeight="1"/>
    <row r="723" hidden="1" ht="72" customHeight="1"/>
    <row r="724" hidden="1" ht="72" customHeight="1"/>
    <row r="725" hidden="1" ht="72" customHeight="1"/>
    <row r="726" hidden="1" ht="72" customHeight="1"/>
    <row r="727" hidden="1" ht="72" customHeight="1"/>
    <row r="728" hidden="1" ht="72" customHeight="1"/>
    <row r="729" hidden="1" ht="72" customHeight="1"/>
    <row r="730" hidden="1" ht="72" customHeight="1"/>
    <row r="731" hidden="1" ht="72" customHeight="1"/>
    <row r="732" hidden="1" ht="72" customHeight="1"/>
    <row r="733" hidden="1" ht="72" customHeight="1"/>
    <row r="734" hidden="1" ht="72" customHeight="1"/>
    <row r="735" hidden="1" ht="72" customHeight="1"/>
    <row r="736" hidden="1" ht="72" customHeight="1"/>
    <row r="737" hidden="1" ht="72" customHeight="1"/>
    <row r="738" hidden="1" ht="72" customHeight="1"/>
    <row r="739" hidden="1" ht="72" customHeight="1"/>
    <row r="740" hidden="1" ht="72" customHeight="1"/>
    <row r="741" hidden="1" ht="72" customHeight="1"/>
    <row r="742" hidden="1" ht="72" customHeight="1"/>
    <row r="743" hidden="1" ht="72" customHeight="1"/>
    <row r="744" hidden="1" ht="72" customHeight="1"/>
    <row r="745" hidden="1" ht="72" customHeight="1"/>
    <row r="746" hidden="1" ht="72" customHeight="1"/>
    <row r="747" hidden="1" ht="72" customHeight="1"/>
    <row r="748" hidden="1" ht="72" customHeight="1"/>
    <row r="749" hidden="1" ht="72" customHeight="1"/>
    <row r="750" hidden="1" ht="72" customHeight="1"/>
    <row r="751" hidden="1" ht="72" customHeight="1"/>
    <row r="752" hidden="1" ht="72" customHeight="1"/>
    <row r="753" hidden="1" ht="72" customHeight="1"/>
    <row r="754" hidden="1" ht="72" customHeight="1"/>
    <row r="755" hidden="1" ht="72" customHeight="1"/>
    <row r="756" hidden="1" ht="72" customHeight="1"/>
    <row r="757" hidden="1" ht="72" customHeight="1"/>
    <row r="758" hidden="1" ht="72" customHeight="1"/>
    <row r="759" hidden="1" ht="72" customHeight="1"/>
    <row r="760" hidden="1" ht="72" customHeight="1"/>
    <row r="761" hidden="1" ht="72" customHeight="1"/>
    <row r="762" hidden="1" ht="72" customHeight="1"/>
    <row r="763" hidden="1" ht="72" customHeight="1"/>
    <row r="764" hidden="1" ht="72" customHeight="1"/>
    <row r="765" hidden="1" ht="72" customHeight="1"/>
    <row r="766" hidden="1" ht="72" customHeight="1"/>
    <row r="767" hidden="1" ht="72" customHeight="1"/>
    <row r="768" hidden="1" ht="72" customHeight="1"/>
    <row r="769" hidden="1" ht="72" customHeight="1"/>
    <row r="770" hidden="1" ht="72" customHeight="1"/>
    <row r="771" hidden="1" ht="72" customHeight="1"/>
    <row r="772" hidden="1" ht="72" customHeight="1"/>
    <row r="773" hidden="1" ht="72" customHeight="1"/>
    <row r="774" hidden="1" ht="72" customHeight="1"/>
    <row r="775" hidden="1" ht="72" customHeight="1"/>
    <row r="776" hidden="1" ht="72" customHeight="1"/>
    <row r="777" hidden="1" ht="72" customHeight="1"/>
    <row r="778" hidden="1" ht="72" customHeight="1"/>
    <row r="779" hidden="1" ht="72" customHeight="1"/>
    <row r="780" hidden="1" ht="72" customHeight="1"/>
    <row r="781" hidden="1" ht="72" customHeight="1"/>
    <row r="782" hidden="1" ht="72" customHeight="1"/>
    <row r="783" hidden="1" ht="72" customHeight="1"/>
    <row r="784" hidden="1" ht="72" customHeight="1"/>
    <row r="785" hidden="1" ht="72" customHeight="1"/>
    <row r="786" hidden="1" ht="72" customHeight="1"/>
    <row r="787" hidden="1" ht="72" customHeight="1"/>
    <row r="788" hidden="1" ht="72" customHeight="1"/>
    <row r="789" hidden="1" ht="72" customHeight="1"/>
    <row r="790" hidden="1" ht="72" customHeight="1"/>
    <row r="791" hidden="1" ht="72" customHeight="1"/>
    <row r="792" hidden="1" ht="72" customHeight="1"/>
    <row r="793" hidden="1" ht="72" customHeight="1"/>
    <row r="794" hidden="1" ht="72" customHeight="1"/>
    <row r="795" hidden="1" ht="72" customHeight="1"/>
    <row r="796" hidden="1" ht="72" customHeight="1"/>
    <row r="797" hidden="1" ht="72" customHeight="1"/>
    <row r="798" hidden="1" ht="72" customHeight="1"/>
    <row r="799" hidden="1" ht="72" customHeight="1"/>
    <row r="800" hidden="1" ht="72" customHeight="1"/>
    <row r="801" hidden="1" ht="72" customHeight="1"/>
    <row r="802" hidden="1" ht="72" customHeight="1"/>
    <row r="803" hidden="1" ht="72" customHeight="1"/>
    <row r="804" hidden="1" ht="72" customHeight="1"/>
    <row r="805" hidden="1" ht="72" customHeight="1"/>
    <row r="806" hidden="1" ht="72" customHeight="1"/>
    <row r="807" hidden="1" ht="72" customHeight="1"/>
    <row r="808" hidden="1" ht="72" customHeight="1"/>
    <row r="809" hidden="1" ht="72" customHeight="1"/>
    <row r="810" hidden="1" ht="72" customHeight="1"/>
    <row r="811" hidden="1" ht="72" customHeight="1"/>
    <row r="812" hidden="1" ht="72" customHeight="1"/>
    <row r="813" hidden="1" ht="72" customHeight="1"/>
    <row r="814" hidden="1" ht="72" customHeight="1"/>
    <row r="815" hidden="1" ht="72" customHeight="1"/>
    <row r="816" hidden="1" ht="72" customHeight="1"/>
    <row r="817" hidden="1" ht="72" customHeight="1"/>
    <row r="818" hidden="1" ht="72" customHeight="1"/>
    <row r="819" hidden="1" ht="72" customHeight="1"/>
    <row r="820" hidden="1" ht="72" customHeight="1"/>
    <row r="821" hidden="1" ht="72" customHeight="1"/>
    <row r="822" hidden="1" ht="72" customHeight="1"/>
    <row r="823" hidden="1" ht="72" customHeight="1"/>
    <row r="824" hidden="1" ht="72" customHeight="1"/>
    <row r="825" hidden="1" ht="72" customHeight="1"/>
    <row r="826" hidden="1" ht="72" customHeight="1"/>
    <row r="827" hidden="1" ht="72" customHeight="1"/>
    <row r="828" hidden="1" ht="72" customHeight="1"/>
    <row r="829" hidden="1" ht="72" customHeight="1"/>
    <row r="830" hidden="1" ht="72" customHeight="1"/>
    <row r="831" hidden="1" ht="72" customHeight="1"/>
    <row r="832" hidden="1" ht="72" customHeight="1"/>
    <row r="833" hidden="1" ht="72" customHeight="1"/>
    <row r="834" hidden="1" ht="72" customHeight="1"/>
    <row r="835" hidden="1" ht="72" customHeight="1"/>
    <row r="836" hidden="1" ht="72" customHeight="1"/>
    <row r="837" hidden="1" ht="72" customHeight="1"/>
    <row r="838" hidden="1" ht="72" customHeight="1"/>
    <row r="839" hidden="1" ht="72" customHeight="1"/>
    <row r="840" hidden="1" ht="72" customHeight="1"/>
    <row r="841" hidden="1" ht="72" customHeight="1"/>
    <row r="842" hidden="1" ht="72" customHeight="1"/>
    <row r="843" hidden="1" ht="72" customHeight="1"/>
    <row r="844" hidden="1" ht="72" customHeight="1"/>
    <row r="845" hidden="1" ht="72" customHeight="1"/>
    <row r="846" hidden="1" ht="72" customHeight="1"/>
    <row r="847" hidden="1" ht="72" customHeight="1"/>
    <row r="848" hidden="1" ht="72" customHeight="1"/>
    <row r="849" hidden="1" ht="72" customHeight="1"/>
    <row r="850" hidden="1" ht="72" customHeight="1"/>
    <row r="851" hidden="1" ht="72" customHeight="1"/>
    <row r="852" hidden="1" ht="72" customHeight="1"/>
    <row r="853" hidden="1" ht="72" customHeight="1"/>
    <row r="854" hidden="1" ht="72" customHeight="1"/>
    <row r="855" hidden="1" ht="72" customHeight="1"/>
    <row r="856" hidden="1" ht="72" customHeight="1"/>
    <row r="857" hidden="1" ht="72" customHeight="1"/>
    <row r="858" hidden="1" ht="72" customHeight="1"/>
    <row r="859" hidden="1" ht="72" customHeight="1"/>
    <row r="860" hidden="1" ht="72" customHeight="1"/>
    <row r="861" hidden="1" ht="72" customHeight="1"/>
    <row r="862" hidden="1" ht="72" customHeight="1"/>
    <row r="863" hidden="1" ht="72" customHeight="1"/>
    <row r="864" hidden="1" ht="72" customHeight="1"/>
    <row r="865" hidden="1" ht="72" customHeight="1"/>
    <row r="866" hidden="1" ht="72" customHeight="1"/>
    <row r="867" hidden="1" ht="72" customHeight="1"/>
    <row r="868" hidden="1" ht="72" customHeight="1"/>
    <row r="869" hidden="1" ht="72" customHeight="1"/>
    <row r="870" hidden="1" ht="72" customHeight="1"/>
    <row r="871" hidden="1" ht="72" customHeight="1"/>
    <row r="872" hidden="1" ht="72" customHeight="1"/>
    <row r="873" hidden="1" ht="72" customHeight="1"/>
    <row r="874" hidden="1" ht="72" customHeight="1"/>
    <row r="875" hidden="1" ht="72" customHeight="1"/>
    <row r="876" hidden="1" ht="72" customHeight="1"/>
    <row r="877" hidden="1" ht="72" customHeight="1"/>
    <row r="878" hidden="1" ht="72" customHeight="1"/>
    <row r="879" hidden="1" ht="72" customHeight="1"/>
    <row r="880" hidden="1" ht="72" customHeight="1"/>
    <row r="881" hidden="1" ht="72" customHeight="1"/>
    <row r="882" hidden="1" ht="72" customHeight="1"/>
    <row r="883" hidden="1" ht="72" customHeight="1"/>
    <row r="884" hidden="1" ht="72" customHeight="1"/>
    <row r="885" hidden="1" ht="72" customHeight="1"/>
    <row r="886" hidden="1" ht="72" customHeight="1"/>
    <row r="887" hidden="1" ht="72" customHeight="1"/>
    <row r="888" hidden="1" ht="72" customHeight="1"/>
    <row r="889" hidden="1" ht="72" customHeight="1"/>
    <row r="890" hidden="1" ht="72" customHeight="1"/>
    <row r="891" hidden="1" ht="72" customHeight="1"/>
    <row r="892" hidden="1" ht="72" customHeight="1"/>
    <row r="893" hidden="1" ht="72" customHeight="1"/>
    <row r="894" hidden="1" ht="72" customHeight="1"/>
    <row r="895" hidden="1" ht="72" customHeight="1"/>
    <row r="896" hidden="1" ht="72" customHeight="1"/>
    <row r="897" hidden="1" ht="72" customHeight="1"/>
    <row r="898" hidden="1" ht="72" customHeight="1"/>
    <row r="899" hidden="1" ht="72" customHeight="1"/>
    <row r="900" hidden="1" ht="72" customHeight="1"/>
    <row r="901" hidden="1" ht="72" customHeight="1"/>
    <row r="902" hidden="1" ht="72" customHeight="1"/>
    <row r="903" hidden="1" ht="72" customHeight="1"/>
    <row r="904" hidden="1" ht="72" customHeight="1"/>
    <row r="905" hidden="1" ht="72" customHeight="1"/>
    <row r="906" hidden="1" ht="72" customHeight="1"/>
    <row r="907" hidden="1" ht="72" customHeight="1"/>
    <row r="908" hidden="1" ht="72" customHeight="1"/>
    <row r="909" hidden="1" ht="72" customHeight="1"/>
    <row r="910" hidden="1" ht="72" customHeight="1"/>
    <row r="911" hidden="1" ht="72" customHeight="1"/>
    <row r="912" hidden="1" ht="72" customHeight="1"/>
    <row r="913" hidden="1" ht="72" customHeight="1"/>
    <row r="914" hidden="1" ht="72" customHeight="1"/>
    <row r="915" hidden="1" ht="72" customHeight="1"/>
    <row r="916" hidden="1" ht="72" customHeight="1"/>
    <row r="917" hidden="1" ht="72" customHeight="1"/>
    <row r="918" hidden="1" ht="72" customHeight="1"/>
    <row r="919" hidden="1" ht="72" customHeight="1"/>
    <row r="920" hidden="1" ht="72" customHeight="1"/>
    <row r="921" hidden="1" ht="72" customHeight="1"/>
    <row r="922" hidden="1" ht="72" customHeight="1"/>
    <row r="923" hidden="1" ht="72" customHeight="1"/>
    <row r="924" hidden="1" ht="72" customHeight="1"/>
    <row r="925" hidden="1" ht="72" customHeight="1"/>
    <row r="926" hidden="1" ht="72" customHeight="1"/>
    <row r="927" hidden="1" ht="72" customHeight="1"/>
    <row r="928" hidden="1" ht="72" customHeight="1"/>
    <row r="929" hidden="1" ht="72" customHeight="1"/>
    <row r="930" hidden="1" ht="72" customHeight="1"/>
    <row r="931" hidden="1" ht="72" customHeight="1"/>
    <row r="932" hidden="1" ht="72" customHeight="1"/>
    <row r="933" hidden="1" ht="72" customHeight="1"/>
    <row r="934" hidden="1" ht="72" customHeight="1"/>
    <row r="935" hidden="1" ht="72" customHeight="1"/>
    <row r="936" hidden="1" ht="72" customHeight="1"/>
    <row r="937" hidden="1" ht="72" customHeight="1"/>
    <row r="938" hidden="1" ht="72" customHeight="1"/>
    <row r="939" hidden="1" ht="72" customHeight="1"/>
    <row r="940" hidden="1" ht="72" customHeight="1"/>
    <row r="941" hidden="1" ht="72" customHeight="1"/>
    <row r="942" hidden="1" ht="72" customHeight="1"/>
    <row r="943" hidden="1" ht="72" customHeight="1"/>
    <row r="944" hidden="1" ht="72" customHeight="1"/>
    <row r="945" hidden="1" ht="72" customHeight="1"/>
    <row r="946" hidden="1" ht="72" customHeight="1"/>
    <row r="947" hidden="1" ht="72" customHeight="1"/>
    <row r="948" hidden="1" ht="72" customHeight="1"/>
    <row r="949" hidden="1" ht="72" customHeight="1"/>
    <row r="950" hidden="1" ht="72" customHeight="1"/>
    <row r="951" hidden="1" ht="72" customHeight="1"/>
    <row r="952" hidden="1" ht="72" customHeight="1"/>
    <row r="953" hidden="1" ht="72" customHeight="1"/>
    <row r="954" hidden="1" ht="72" customHeight="1"/>
    <row r="955" hidden="1" ht="72" customHeight="1"/>
    <row r="956" hidden="1" ht="72" customHeight="1"/>
    <row r="957" hidden="1" ht="72" customHeight="1"/>
    <row r="958" hidden="1" ht="72" customHeight="1"/>
    <row r="959" hidden="1" ht="72" customHeight="1"/>
    <row r="960" hidden="1" ht="72" customHeight="1"/>
    <row r="961" hidden="1" ht="72" customHeight="1"/>
    <row r="962" hidden="1" ht="72" customHeight="1"/>
    <row r="963" hidden="1" ht="72" customHeight="1"/>
    <row r="964" hidden="1" ht="72" customHeight="1"/>
    <row r="965" hidden="1" ht="72" customHeight="1"/>
    <row r="966" hidden="1" ht="72" customHeight="1"/>
    <row r="967" hidden="1" ht="72" customHeight="1"/>
    <row r="968" hidden="1" ht="72" customHeight="1"/>
    <row r="969" hidden="1" ht="72" customHeight="1"/>
    <row r="970" hidden="1" ht="72" customHeight="1"/>
    <row r="971" hidden="1" ht="72" customHeight="1"/>
    <row r="972" hidden="1" ht="72" customHeight="1"/>
    <row r="973" hidden="1" ht="72" customHeight="1"/>
    <row r="974" hidden="1" ht="72" customHeight="1"/>
    <row r="975" hidden="1" ht="72" customHeight="1"/>
    <row r="976" hidden="1" ht="72" customHeight="1"/>
    <row r="977" hidden="1" ht="72" customHeight="1"/>
    <row r="978" hidden="1" ht="72" customHeight="1"/>
    <row r="979" hidden="1" ht="72" customHeight="1"/>
    <row r="980" hidden="1" ht="72" customHeight="1"/>
    <row r="981" hidden="1" ht="72" customHeight="1"/>
    <row r="982" hidden="1" ht="72" customHeight="1"/>
    <row r="983" hidden="1" ht="72" customHeight="1"/>
    <row r="984" hidden="1" ht="72" customHeight="1"/>
    <row r="985" hidden="1" ht="72" customHeight="1"/>
    <row r="986" hidden="1" ht="72" customHeight="1"/>
    <row r="987" hidden="1" ht="72" customHeight="1"/>
    <row r="988" hidden="1" ht="72" customHeight="1"/>
    <row r="989" hidden="1" ht="72" customHeight="1"/>
    <row r="990" hidden="1" ht="72" customHeight="1"/>
    <row r="991" hidden="1" ht="72" customHeight="1"/>
    <row r="992" hidden="1" ht="72" customHeight="1"/>
    <row r="993" hidden="1" ht="72" customHeight="1"/>
    <row r="994" hidden="1" ht="72" customHeight="1"/>
    <row r="995" hidden="1" ht="72" customHeight="1"/>
    <row r="996" hidden="1" ht="72" customHeight="1"/>
    <row r="997" hidden="1" ht="72" customHeight="1"/>
    <row r="998" hidden="1" ht="72" customHeight="1"/>
    <row r="999" hidden="1" ht="72" customHeight="1"/>
    <row r="1000" hidden="1" ht="72" customHeight="1"/>
    <row r="1001" hidden="1" ht="72" customHeight="1"/>
  </sheetData>
  <autoFilter ref="A1:A1001">
    <filterColumn colId="0" hiddenButton="0" showButton="1">
      <filters>
        <filter val="10"/>
        <filter val="100"/>
        <filter val="102"/>
        <filter val="104"/>
        <filter val="107"/>
        <filter val="11"/>
        <filter val="110"/>
        <filter val="111"/>
        <filter val="113"/>
        <filter val="114"/>
        <filter val="115"/>
        <filter val="116"/>
        <filter val="119"/>
        <filter val="123"/>
        <filter val="124"/>
        <filter val="126"/>
        <filter val="132"/>
        <filter val="137"/>
        <filter val="138"/>
        <filter val="139"/>
        <filter val="140"/>
        <filter val="148"/>
        <filter val="149"/>
        <filter val="15"/>
        <filter val="151"/>
        <filter val="153"/>
        <filter val="155"/>
        <filter val="16"/>
        <filter val="163"/>
        <filter val="164"/>
        <filter val="165"/>
        <filter val="174"/>
        <filter val="183"/>
        <filter val="189"/>
        <filter val="194"/>
        <filter val="195"/>
        <filter val="197"/>
        <filter val="209"/>
        <filter val="210"/>
        <filter val="211"/>
        <filter val="212"/>
        <filter val="217"/>
        <filter val="219"/>
        <filter val="225"/>
        <filter val="226"/>
        <filter val="228"/>
        <filter val="229"/>
        <filter val="23"/>
        <filter val="231"/>
        <filter val="232"/>
        <filter val="235"/>
        <filter val="242"/>
        <filter val="243"/>
        <filter val="244"/>
        <filter val="246"/>
        <filter val="248"/>
        <filter val="249"/>
        <filter val="250"/>
        <filter val="251"/>
        <filter val="254"/>
        <filter val="258"/>
        <filter val="259"/>
        <filter val="260"/>
        <filter val="261"/>
        <filter val="263"/>
        <filter val="264"/>
        <filter val="265"/>
        <filter val="277"/>
        <filter val="280"/>
        <filter val="281"/>
        <filter val="284"/>
        <filter val="285"/>
        <filter val="287"/>
        <filter val="288"/>
        <filter val="290"/>
        <filter val="291"/>
        <filter val="292"/>
        <filter val="294"/>
        <filter val="295"/>
        <filter val="296"/>
        <filter val="297"/>
        <filter val="298"/>
        <filter val="299"/>
        <filter val="3"/>
        <filter val="300"/>
        <filter val="301"/>
        <filter val="302"/>
        <filter val="303"/>
        <filter val="304"/>
        <filter val="305"/>
        <filter val="306"/>
        <filter val="310"/>
        <filter val="38"/>
        <filter val="45"/>
        <filter val="5"/>
        <filter val="54"/>
        <filter val="57"/>
        <filter val="58"/>
        <filter val="59"/>
        <filter val="6"/>
        <filter val="61"/>
        <filter val="63"/>
        <filter val="65"/>
        <filter val="67"/>
        <filter val="7"/>
        <filter val="72"/>
        <filter val="73"/>
        <filter val="77"/>
        <filter val="78"/>
        <filter val="79"/>
        <filter val="84"/>
        <filter val="85"/>
        <filter val="90"/>
        <filter val="91"/>
        <filter val="92"/>
        <filter val="96"/>
      </filters>
    </filterColumn>
  </autoFilter>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W1002"/>
  <sheetViews>
    <sheetView workbookViewId="0">
      <pane ySplit="1" topLeftCell="A2" activePane="bottomLeft" state="frozen"/>
      <selection pane="bottomLeft" activeCell="B3" sqref="B3"/>
    </sheetView>
  </sheetViews>
  <sheetFormatPr baseColWidth="8" defaultColWidth="12.6328125" defaultRowHeight="15.75" customHeight="1"/>
  <cols>
    <col width="5.453125" customWidth="1" min="1" max="1"/>
    <col width="10.36328125" customWidth="1" min="2" max="2"/>
    <col width="17.08984375" customWidth="1" min="3" max="3"/>
    <col width="10.453125" customWidth="1" min="4" max="4"/>
    <col width="8.90625" customWidth="1" min="5" max="5"/>
    <col width="10.453125" customWidth="1" min="6" max="12"/>
    <col width="8.08984375" customWidth="1" min="13" max="13"/>
    <col width="10.453125" customWidth="1" min="14" max="23"/>
  </cols>
  <sheetData>
    <row r="1" ht="20.25" customHeight="1">
      <c r="A1" s="1" t="inlineStr">
        <is>
          <t>Id</t>
        </is>
      </c>
      <c r="B1" s="2" t="inlineStr">
        <is>
          <t>Photo</t>
        </is>
      </c>
      <c r="C1" s="1" t="inlineStr">
        <is>
          <t>Com Name</t>
        </is>
      </c>
      <c r="D1" s="3" t="inlineStr">
        <is>
          <t>Place Ava</t>
        </is>
      </c>
      <c r="E1" s="4" t="inlineStr">
        <is>
          <t>Normal Price (S)</t>
        </is>
      </c>
      <c r="F1" s="4" t="inlineStr">
        <is>
          <t>Qty Ava</t>
        </is>
      </c>
      <c r="G1" s="1" t="inlineStr">
        <is>
          <t>Demand</t>
        </is>
      </c>
      <c r="H1" s="1" t="inlineStr">
        <is>
          <t>Available</t>
        </is>
      </c>
      <c r="I1" s="1" t="inlineStr">
        <is>
          <t>Restocked</t>
        </is>
      </c>
      <c r="J1" s="5" t="n"/>
      <c r="K1" s="6" t="inlineStr">
        <is>
          <t>Normal Price (S)</t>
        </is>
      </c>
      <c r="L1" s="6" t="inlineStr">
        <is>
          <t>Offer Price (S)</t>
        </is>
      </c>
      <c r="M1" s="7" t="inlineStr">
        <is>
          <t>Orginal Price</t>
        </is>
      </c>
      <c r="N1" s="3" t="inlineStr">
        <is>
          <t>Available</t>
        </is>
      </c>
      <c r="O1" s="8" t="n"/>
      <c r="P1" s="8" t="n"/>
      <c r="Q1" s="8" t="n"/>
      <c r="R1" s="8" t="n"/>
      <c r="S1" s="8" t="n"/>
      <c r="T1" s="8" t="n"/>
      <c r="U1" s="8" t="n"/>
      <c r="V1" s="8" t="n"/>
      <c r="W1" s="8" t="n"/>
    </row>
    <row r="2" ht="61.5" customHeight="1">
      <c r="A2" s="9" t="n">
        <v>1</v>
      </c>
      <c r="B2" s="10">
        <f>_xludf.IMAGE("https://raw.githubusercontent.com/sshibinthomass/Rosary-Plant-House/master/assets/img/salePlants/"&amp;A2&amp;".jpg")</f>
        <v/>
      </c>
      <c r="C2" s="9">
        <f>Products!B2</f>
        <v/>
      </c>
      <c r="D2" s="9" t="inlineStr">
        <is>
          <t>Top</t>
        </is>
      </c>
      <c r="E2" s="11" t="n">
        <v>69</v>
      </c>
      <c r="F2" s="11" t="inlineStr">
        <is>
          <t>Available</t>
        </is>
      </c>
      <c r="G2" s="11" t="inlineStr">
        <is>
          <t>VeryHigh</t>
        </is>
      </c>
      <c r="H2" s="9">
        <f>IF(OR(Local!F2="NA",ISBLANK(Local!F2)),FALSE,TRUE)</f>
        <v/>
      </c>
      <c r="I2" s="9" t="b">
        <v>0</v>
      </c>
      <c r="J2" s="9" t="n"/>
      <c r="K2" s="5" t="n">
        <v>89</v>
      </c>
      <c r="L2" s="5" t="n">
        <v>49</v>
      </c>
      <c r="M2" s="12" t="n">
        <v>99</v>
      </c>
      <c r="N2" s="9" t="b">
        <v>1</v>
      </c>
    </row>
    <row r="3" ht="61.5" customHeight="1">
      <c r="A3" s="9" t="n">
        <v>2</v>
      </c>
      <c r="B3" s="10">
        <f>_xludf.IMAGE("https://raw.githubusercontent.com/sshibinthomass/Rosary-Plant-House/master/assets/img/salePlants/"&amp;A3&amp;".jpg")</f>
        <v/>
      </c>
      <c r="C3" s="9">
        <f>Products!B3</f>
        <v/>
      </c>
      <c r="D3" s="9" t="inlineStr">
        <is>
          <t>Both</t>
        </is>
      </c>
      <c r="E3" s="11" t="n">
        <v>49</v>
      </c>
      <c r="F3" s="11" t="inlineStr">
        <is>
          <t>Available</t>
        </is>
      </c>
      <c r="G3" s="11" t="inlineStr">
        <is>
          <t>High</t>
        </is>
      </c>
      <c r="H3" s="9">
        <f>IF(OR(Local!F3="NA",ISBLANK(Local!F3)),FALSE,TRUE)</f>
        <v/>
      </c>
      <c r="I3" s="9" t="b">
        <v>0</v>
      </c>
      <c r="J3" s="9" t="n"/>
      <c r="K3" s="5" t="n">
        <v>59</v>
      </c>
      <c r="L3" s="5" t="n">
        <v>59</v>
      </c>
      <c r="M3" s="12" t="n">
        <v>59</v>
      </c>
      <c r="N3" s="9" t="b">
        <v>1</v>
      </c>
    </row>
    <row r="4" ht="61.5" customHeight="1">
      <c r="A4" s="9" t="n">
        <v>3</v>
      </c>
      <c r="B4" s="10">
        <f>_xludf.IMAGE("https://raw.githubusercontent.com/sshibinthomass/Rosary-Plant-House/master/assets/img/salePlants/"&amp;A4&amp;".jpg")</f>
        <v/>
      </c>
      <c r="C4" s="9">
        <f>Products!B4</f>
        <v/>
      </c>
      <c r="D4" s="9" t="inlineStr">
        <is>
          <t>Both</t>
        </is>
      </c>
      <c r="E4" s="11" t="n">
        <v>59</v>
      </c>
      <c r="F4" s="11" t="inlineStr">
        <is>
          <t>Low</t>
        </is>
      </c>
      <c r="G4" s="11" t="inlineStr">
        <is>
          <t>High</t>
        </is>
      </c>
      <c r="H4" s="9">
        <f>IF(OR(Local!F4="NA",ISBLANK(Local!F4)),FALSE,TRUE)</f>
        <v/>
      </c>
      <c r="I4" s="9" t="b">
        <v>0</v>
      </c>
      <c r="J4" s="9" t="n"/>
      <c r="K4" s="5" t="n">
        <v>79</v>
      </c>
      <c r="L4" s="5" t="n">
        <v>69</v>
      </c>
      <c r="M4" s="12" t="n">
        <v>79</v>
      </c>
      <c r="N4" s="9" t="b">
        <v>0</v>
      </c>
    </row>
    <row r="5" ht="61.5" customHeight="1">
      <c r="A5" s="9" t="n">
        <v>4</v>
      </c>
      <c r="B5" s="10">
        <f>_xludf.IMAGE("https://raw.githubusercontent.com/sshibinthomass/Rosary-Plant-House/master/assets/img/salePlants/"&amp;A5&amp;".jpg")</f>
        <v/>
      </c>
      <c r="C5" s="9">
        <f>Products!B5</f>
        <v/>
      </c>
      <c r="D5" s="9" t="inlineStr">
        <is>
          <t>Top</t>
        </is>
      </c>
      <c r="E5" s="11" t="n">
        <v>49</v>
      </c>
      <c r="F5" s="11" t="inlineStr">
        <is>
          <t>Available</t>
        </is>
      </c>
      <c r="G5" s="11" t="inlineStr">
        <is>
          <t>Medium</t>
        </is>
      </c>
      <c r="H5" s="9">
        <f>IF(OR(Local!F5="NA",ISBLANK(Local!F5)),FALSE,TRUE)</f>
        <v/>
      </c>
      <c r="I5" s="9" t="b">
        <v>0</v>
      </c>
      <c r="J5" s="9" t="n"/>
      <c r="K5" s="5" t="n">
        <v>59</v>
      </c>
      <c r="L5" s="5" t="n">
        <v>39</v>
      </c>
      <c r="M5" s="12" t="n">
        <v>59</v>
      </c>
      <c r="N5" s="9" t="b">
        <v>1</v>
      </c>
    </row>
    <row r="6" ht="61.5" customHeight="1">
      <c r="A6" s="9" t="n">
        <v>5</v>
      </c>
      <c r="B6" s="10">
        <f>_xludf.IMAGE("https://raw.githubusercontent.com/sshibinthomass/Rosary-Plant-House/master/assets/img/salePlants/"&amp;A6&amp;".jpg")</f>
        <v/>
      </c>
      <c r="C6" s="9">
        <f>Products!B6</f>
        <v/>
      </c>
      <c r="D6" s="9" t="inlineStr">
        <is>
          <t>Top</t>
        </is>
      </c>
      <c r="E6" s="11" t="n">
        <v>79</v>
      </c>
      <c r="F6" s="11" t="inlineStr">
        <is>
          <t>Low</t>
        </is>
      </c>
      <c r="G6" s="11" t="inlineStr">
        <is>
          <t>High</t>
        </is>
      </c>
      <c r="H6" s="9">
        <f>IF(OR(Local!F6="NA",ISBLANK(Local!F6)),FALSE,TRUE)</f>
        <v/>
      </c>
      <c r="I6" s="9" t="b">
        <v>0</v>
      </c>
      <c r="J6" s="9" t="n"/>
      <c r="K6" s="5" t="n">
        <v>59</v>
      </c>
      <c r="L6" s="5" t="n">
        <v>49</v>
      </c>
      <c r="M6" s="12" t="n">
        <v>69</v>
      </c>
      <c r="N6" s="9" t="b">
        <v>1</v>
      </c>
    </row>
    <row r="7" ht="61.5" customHeight="1">
      <c r="A7" s="9" t="n">
        <v>6</v>
      </c>
      <c r="B7" s="10">
        <f>_xludf.IMAGE("https://raw.githubusercontent.com/sshibinthomass/Rosary-Plant-House/master/assets/img/salePlants/"&amp;A7&amp;".jpg")</f>
        <v/>
      </c>
      <c r="C7" s="9">
        <f>Products!B7</f>
        <v/>
      </c>
      <c r="D7" s="9" t="inlineStr">
        <is>
          <t>Top</t>
        </is>
      </c>
      <c r="E7" s="11" t="n">
        <v>79</v>
      </c>
      <c r="F7" s="11" t="inlineStr">
        <is>
          <t>Low</t>
        </is>
      </c>
      <c r="G7" s="11" t="inlineStr">
        <is>
          <t>High</t>
        </is>
      </c>
      <c r="H7" s="9">
        <f>IF(OR(Local!F7="NA",ISBLANK(Local!F7)),FALSE,TRUE)</f>
        <v/>
      </c>
      <c r="I7" s="9" t="b">
        <v>1</v>
      </c>
      <c r="J7" s="9" t="n"/>
      <c r="K7" s="5" t="n">
        <v>79</v>
      </c>
      <c r="L7" s="5" t="n">
        <v>79</v>
      </c>
      <c r="M7" s="12" t="n">
        <v>79</v>
      </c>
      <c r="N7" s="9" t="b">
        <v>1</v>
      </c>
    </row>
    <row r="8" ht="61.5" customHeight="1">
      <c r="A8" s="9" t="n">
        <v>7</v>
      </c>
      <c r="B8" s="10">
        <f>_xludf.IMAGE("https://raw.githubusercontent.com/sshibinthomass/Rosary-Plant-House/master/assets/img/salePlants/"&amp;A8&amp;".jpg")</f>
        <v/>
      </c>
      <c r="C8" s="9">
        <f>Products!B8</f>
        <v/>
      </c>
      <c r="D8" s="9" t="inlineStr">
        <is>
          <t>Top</t>
        </is>
      </c>
      <c r="E8" s="11" t="n">
        <v>89</v>
      </c>
      <c r="F8" s="11" t="inlineStr">
        <is>
          <t>Low</t>
        </is>
      </c>
      <c r="G8" s="11" t="inlineStr">
        <is>
          <t>High</t>
        </is>
      </c>
      <c r="H8" s="9">
        <f>IF(OR(Local!F8="NA",ISBLANK(Local!F8)),FALSE,TRUE)</f>
        <v/>
      </c>
      <c r="I8" s="9" t="b">
        <v>1</v>
      </c>
      <c r="J8" s="9" t="n"/>
      <c r="K8" s="5" t="n">
        <v>99</v>
      </c>
      <c r="L8" s="5" t="n">
        <v>69</v>
      </c>
      <c r="M8" s="12" t="n">
        <v>99</v>
      </c>
      <c r="N8" s="9" t="b">
        <v>1</v>
      </c>
    </row>
    <row r="9" ht="61.5" customHeight="1">
      <c r="A9" s="9" t="n">
        <v>8</v>
      </c>
      <c r="B9" s="10">
        <f>_xludf.IMAGE("https://raw.githubusercontent.com/sshibinthomass/Rosary-Plant-House/master/assets/img/salePlants/"&amp;A9&amp;".jpg")</f>
        <v/>
      </c>
      <c r="C9" s="9">
        <f>Products!B9</f>
        <v/>
      </c>
      <c r="D9" s="9" t="inlineStr">
        <is>
          <t>Top</t>
        </is>
      </c>
      <c r="E9" s="11" t="n">
        <v>59</v>
      </c>
      <c r="F9" s="11" t="inlineStr">
        <is>
          <t>Available</t>
        </is>
      </c>
      <c r="G9" s="11" t="inlineStr">
        <is>
          <t>Medium</t>
        </is>
      </c>
      <c r="H9" s="9">
        <f>IF(OR(Local!F9="NA",ISBLANK(Local!F9)),FALSE,TRUE)</f>
        <v/>
      </c>
      <c r="I9" s="9" t="b">
        <v>1</v>
      </c>
      <c r="J9" s="9" t="n"/>
      <c r="K9" s="5" t="n">
        <v>59</v>
      </c>
      <c r="L9" s="5" t="n">
        <v>35</v>
      </c>
      <c r="M9" s="12" t="n">
        <v>59</v>
      </c>
      <c r="N9" s="9" t="b">
        <v>1</v>
      </c>
    </row>
    <row r="10" ht="61.5" customHeight="1">
      <c r="A10" s="9" t="n">
        <v>9</v>
      </c>
      <c r="B10" s="10">
        <f>_xludf.IMAGE("https://raw.githubusercontent.com/sshibinthomass/Rosary-Plant-House/master/assets/img/salePlants/"&amp;A10&amp;".jpg")</f>
        <v/>
      </c>
      <c r="C10" s="9">
        <f>Products!B10</f>
        <v/>
      </c>
      <c r="D10" s="9" t="inlineStr">
        <is>
          <t>Both</t>
        </is>
      </c>
      <c r="E10" s="11" t="n">
        <v>59</v>
      </c>
      <c r="F10" s="11" t="inlineStr">
        <is>
          <t>NA</t>
        </is>
      </c>
      <c r="G10" s="11" t="inlineStr">
        <is>
          <t>High</t>
        </is>
      </c>
      <c r="H10" s="9">
        <f>IF(OR(Local!F10="NA",ISBLANK(Local!F10)),FALSE,TRUE)</f>
        <v/>
      </c>
      <c r="I10" s="9" t="b">
        <v>0</v>
      </c>
      <c r="J10" s="9" t="n"/>
      <c r="K10" s="5" t="n">
        <v>59</v>
      </c>
      <c r="L10" s="5" t="n">
        <v>59</v>
      </c>
      <c r="M10" s="12" t="n">
        <v>69</v>
      </c>
      <c r="N10" s="9" t="b">
        <v>0</v>
      </c>
    </row>
    <row r="11" ht="61.5" customHeight="1">
      <c r="A11" s="9" t="n">
        <v>10</v>
      </c>
      <c r="B11" s="10">
        <f>_xludf.IMAGE("https://raw.githubusercontent.com/sshibinthomass/Rosary-Plant-House/master/assets/img/salePlants/"&amp;A11&amp;".jpg")</f>
        <v/>
      </c>
      <c r="C11" s="9">
        <f>Products!B11</f>
        <v/>
      </c>
      <c r="D11" s="9" t="inlineStr">
        <is>
          <t>Top</t>
        </is>
      </c>
      <c r="E11" s="11" t="n">
        <v>79</v>
      </c>
      <c r="F11" s="11" t="inlineStr">
        <is>
          <t>Low</t>
        </is>
      </c>
      <c r="G11" s="11" t="inlineStr">
        <is>
          <t>Medium</t>
        </is>
      </c>
      <c r="H11" s="9">
        <f>IF(OR(Local!F11="NA",ISBLANK(Local!F11)),FALSE,TRUE)</f>
        <v/>
      </c>
      <c r="I11" s="9" t="b">
        <v>0</v>
      </c>
      <c r="J11" s="9" t="n"/>
      <c r="K11" s="5" t="n">
        <v>99</v>
      </c>
      <c r="L11" s="5" t="n">
        <v>99</v>
      </c>
      <c r="M11" s="12" t="n">
        <v>99</v>
      </c>
      <c r="N11" s="9" t="b">
        <v>1</v>
      </c>
    </row>
    <row r="12" ht="61.5" customHeight="1">
      <c r="A12" s="9" t="n">
        <v>11</v>
      </c>
      <c r="B12" s="10">
        <f>_xludf.IMAGE("https://raw.githubusercontent.com/sshibinthomass/Rosary-Plant-House/master/assets/img/salePlants/"&amp;A12&amp;".jpg")</f>
        <v/>
      </c>
      <c r="C12" s="9">
        <f>Products!B12</f>
        <v/>
      </c>
      <c r="D12" s="9" t="inlineStr">
        <is>
          <t>Top</t>
        </is>
      </c>
      <c r="E12" s="11" t="n">
        <v>70</v>
      </c>
      <c r="F12" s="11" t="inlineStr">
        <is>
          <t>Low</t>
        </is>
      </c>
      <c r="G12" s="11" t="inlineStr">
        <is>
          <t>Medium</t>
        </is>
      </c>
      <c r="H12" s="9">
        <f>IF(OR(Local!F12="NA",ISBLANK(Local!F12)),FALSE,TRUE)</f>
        <v/>
      </c>
      <c r="I12" s="9" t="b">
        <v>0</v>
      </c>
      <c r="J12" s="9" t="n"/>
      <c r="K12" s="5" t="n">
        <v>99</v>
      </c>
      <c r="L12" s="5" t="n">
        <v>99</v>
      </c>
      <c r="M12" s="12" t="n">
        <v>99</v>
      </c>
      <c r="N12" s="9" t="b">
        <v>1</v>
      </c>
    </row>
    <row r="13" ht="61.5" customHeight="1">
      <c r="A13" s="9" t="n">
        <v>12</v>
      </c>
      <c r="B13" s="10">
        <f>_xludf.IMAGE("https://raw.githubusercontent.com/sshibinthomass/Rosary-Plant-House/master/assets/img/salePlants/"&amp;A13&amp;".jpg")</f>
        <v/>
      </c>
      <c r="C13" s="9">
        <f>Products!B13</f>
        <v/>
      </c>
      <c r="D13" s="9" t="inlineStr">
        <is>
          <t>Down</t>
        </is>
      </c>
      <c r="E13" s="11" t="n">
        <v>49</v>
      </c>
      <c r="F13" s="11" t="inlineStr">
        <is>
          <t>Available</t>
        </is>
      </c>
      <c r="G13" s="11" t="inlineStr">
        <is>
          <t>VeryHigh</t>
        </is>
      </c>
      <c r="H13" s="9">
        <f>IF(OR(Local!F13="NA",ISBLANK(Local!F13)),FALSE,TRUE)</f>
        <v/>
      </c>
      <c r="I13" s="9" t="b">
        <v>1</v>
      </c>
      <c r="J13" s="9" t="n"/>
      <c r="K13" s="5" t="n">
        <v>89</v>
      </c>
      <c r="L13" s="5" t="n">
        <v>59</v>
      </c>
      <c r="M13" s="12" t="n">
        <v>89</v>
      </c>
      <c r="N13" s="9" t="b">
        <v>0</v>
      </c>
    </row>
    <row r="14" ht="61.5" customHeight="1">
      <c r="A14" s="9" t="n">
        <v>13</v>
      </c>
      <c r="B14" s="10">
        <f>_xludf.IMAGE("https://raw.githubusercontent.com/sshibinthomass/Rosary-Plant-House/master/assets/img/salePlants/"&amp;A14&amp;".jpg")</f>
        <v/>
      </c>
      <c r="C14" s="9">
        <f>Products!B14</f>
        <v/>
      </c>
      <c r="D14" s="9" t="inlineStr">
        <is>
          <t>Top</t>
        </is>
      </c>
      <c r="E14" s="11" t="n">
        <v>79</v>
      </c>
      <c r="F14" s="11" t="inlineStr">
        <is>
          <t>Available</t>
        </is>
      </c>
      <c r="G14" s="11" t="inlineStr">
        <is>
          <t>High</t>
        </is>
      </c>
      <c r="H14" s="9">
        <f>IF(OR(Local!F14="NA",ISBLANK(Local!F14)),FALSE,TRUE)</f>
        <v/>
      </c>
      <c r="I14" s="9" t="b">
        <v>0</v>
      </c>
      <c r="J14" s="9" t="n"/>
      <c r="K14" s="5" t="n">
        <v>59</v>
      </c>
      <c r="L14" s="5" t="n">
        <v>39</v>
      </c>
      <c r="M14" s="12" t="n">
        <v>59</v>
      </c>
      <c r="N14" s="9" t="b">
        <v>1</v>
      </c>
    </row>
    <row r="15" ht="61.5" customHeight="1">
      <c r="A15" s="9" t="n">
        <v>14</v>
      </c>
      <c r="B15" s="10">
        <f>_xludf.IMAGE("https://raw.githubusercontent.com/sshibinthomass/Rosary-Plant-House/master/assets/img/salePlants/"&amp;A15&amp;".jpg")</f>
        <v/>
      </c>
      <c r="C15" s="9">
        <f>Products!B15</f>
        <v/>
      </c>
      <c r="D15" s="9" t="inlineStr">
        <is>
          <t>Top</t>
        </is>
      </c>
      <c r="E15" s="11" t="n">
        <v>120</v>
      </c>
      <c r="F15" s="11" t="inlineStr">
        <is>
          <t>NA</t>
        </is>
      </c>
      <c r="G15" s="11" t="inlineStr">
        <is>
          <t>Medium</t>
        </is>
      </c>
      <c r="H15" s="9">
        <f>IF(OR(Local!F15="NA",ISBLANK(Local!F15)),FALSE,TRUE)</f>
        <v/>
      </c>
      <c r="I15" s="9" t="b">
        <v>1</v>
      </c>
      <c r="J15" s="9" t="n"/>
      <c r="K15" s="5" t="n">
        <v>69</v>
      </c>
      <c r="L15" s="5" t="n">
        <v>49</v>
      </c>
      <c r="M15" s="12" t="n">
        <v>69</v>
      </c>
      <c r="N15" s="9" t="b">
        <v>0</v>
      </c>
    </row>
    <row r="16" ht="61.5" customHeight="1">
      <c r="A16" s="9" t="n">
        <v>15</v>
      </c>
      <c r="B16" s="10">
        <f>_xludf.IMAGE("https://raw.githubusercontent.com/sshibinthomass/Rosary-Plant-House/master/assets/img/salePlants/"&amp;A16&amp;".jpg")</f>
        <v/>
      </c>
      <c r="C16" s="9">
        <f>Products!B16</f>
        <v/>
      </c>
      <c r="D16" s="9" t="inlineStr">
        <is>
          <t>Top</t>
        </is>
      </c>
      <c r="E16" s="11" t="n">
        <v>79</v>
      </c>
      <c r="F16" s="11" t="inlineStr">
        <is>
          <t>Low</t>
        </is>
      </c>
      <c r="G16" s="11" t="inlineStr">
        <is>
          <t>VeryHigh</t>
        </is>
      </c>
      <c r="H16" s="9">
        <f>IF(OR(Local!F16="NA",ISBLANK(Local!F16)),FALSE,TRUE)</f>
        <v/>
      </c>
      <c r="I16" s="9" t="b">
        <v>0</v>
      </c>
      <c r="J16" s="9" t="n"/>
      <c r="K16" s="5" t="n">
        <v>79</v>
      </c>
      <c r="L16" s="5" t="n">
        <v>79</v>
      </c>
      <c r="M16" s="12" t="n">
        <v>79</v>
      </c>
      <c r="N16" s="9" t="b">
        <v>0</v>
      </c>
    </row>
    <row r="17" ht="61.5" customHeight="1">
      <c r="A17" s="9" t="n">
        <v>16</v>
      </c>
      <c r="B17" s="10">
        <f>_xludf.IMAGE("https://raw.githubusercontent.com/sshibinthomass/Rosary-Plant-House/master/assets/img/salePlants/"&amp;A17&amp;".jpg")</f>
        <v/>
      </c>
      <c r="C17" s="9">
        <f>Products!B17</f>
        <v/>
      </c>
      <c r="D17" s="9" t="inlineStr">
        <is>
          <t>Both</t>
        </is>
      </c>
      <c r="E17" s="11" t="n">
        <v>79</v>
      </c>
      <c r="F17" s="11" t="inlineStr">
        <is>
          <t>Low</t>
        </is>
      </c>
      <c r="G17" s="11" t="inlineStr">
        <is>
          <t>High</t>
        </is>
      </c>
      <c r="H17" s="9">
        <f>IF(OR(Local!F17="NA",ISBLANK(Local!F17)),FALSE,TRUE)</f>
        <v/>
      </c>
      <c r="I17" s="9" t="b">
        <v>0</v>
      </c>
      <c r="J17" s="9" t="n"/>
      <c r="K17" s="5" t="n">
        <v>69</v>
      </c>
      <c r="L17" s="5" t="n">
        <v>59</v>
      </c>
      <c r="M17" s="12" t="n">
        <v>69</v>
      </c>
      <c r="N17" s="9" t="b">
        <v>0</v>
      </c>
    </row>
    <row r="18" ht="61.5" customHeight="1">
      <c r="A18" s="9" t="n">
        <v>17</v>
      </c>
      <c r="B18" s="10">
        <f>_xludf.IMAGE("https://raw.githubusercontent.com/sshibinthomass/Rosary-Plant-House/master/assets/img/salePlants/"&amp;A18&amp;".jpg")</f>
        <v/>
      </c>
      <c r="C18" s="9">
        <f>Products!B18</f>
        <v/>
      </c>
      <c r="D18" s="9" t="inlineStr">
        <is>
          <t>Top</t>
        </is>
      </c>
      <c r="E18" s="11" t="n">
        <v>59</v>
      </c>
      <c r="F18" s="11" t="inlineStr">
        <is>
          <t>Available</t>
        </is>
      </c>
      <c r="G18" s="11" t="inlineStr">
        <is>
          <t>VeryHigh</t>
        </is>
      </c>
      <c r="H18" s="9">
        <f>IF(OR(Local!F18="NA",ISBLANK(Local!F18)),FALSE,TRUE)</f>
        <v/>
      </c>
      <c r="I18" s="9" t="b">
        <v>0</v>
      </c>
      <c r="J18" s="9" t="n"/>
      <c r="K18" s="5" t="n">
        <v>99</v>
      </c>
      <c r="L18" s="5" t="n">
        <v>49</v>
      </c>
      <c r="M18" s="12" t="n">
        <v>120</v>
      </c>
      <c r="N18" s="9" t="b">
        <v>1</v>
      </c>
    </row>
    <row r="19" ht="61.5" customHeight="1">
      <c r="A19" s="9" t="n">
        <v>18</v>
      </c>
      <c r="B19" s="10">
        <f>_xludf.IMAGE("https://raw.githubusercontent.com/sshibinthomass/Rosary-Plant-House/master/assets/img/salePlants/"&amp;A19&amp;".jpg")</f>
        <v/>
      </c>
      <c r="C19" s="9">
        <f>Products!B19</f>
        <v/>
      </c>
      <c r="D19" s="9" t="inlineStr">
        <is>
          <t>Top</t>
        </is>
      </c>
      <c r="E19" s="11" t="n">
        <v>69</v>
      </c>
      <c r="F19" s="11" t="inlineStr">
        <is>
          <t>Available</t>
        </is>
      </c>
      <c r="G19" s="11" t="inlineStr">
        <is>
          <t>Medium</t>
        </is>
      </c>
      <c r="H19" s="9">
        <f>IF(OR(Local!F19="NA",ISBLANK(Local!F19)),FALSE,TRUE)</f>
        <v/>
      </c>
      <c r="I19" s="9" t="b">
        <v>0</v>
      </c>
      <c r="J19" s="9" t="n"/>
      <c r="K19" s="5" t="n">
        <v>89</v>
      </c>
      <c r="L19" s="5" t="n">
        <v>89</v>
      </c>
      <c r="M19" s="12" t="n">
        <v>89</v>
      </c>
      <c r="N19" s="9" t="b">
        <v>1</v>
      </c>
    </row>
    <row r="20" ht="61.5" customHeight="1">
      <c r="A20" s="9" t="n">
        <v>19</v>
      </c>
      <c r="B20" s="10">
        <f>_xludf.IMAGE("https://raw.githubusercontent.com/sshibinthomass/Rosary-Plant-House/master/assets/img/salePlants/"&amp;19&amp;".jpg")</f>
        <v/>
      </c>
      <c r="C20" s="9">
        <f>Products!B20</f>
        <v/>
      </c>
      <c r="D20" s="9" t="inlineStr">
        <is>
          <t>Top</t>
        </is>
      </c>
      <c r="E20" s="11" t="n">
        <v>69</v>
      </c>
      <c r="F20" s="11" t="inlineStr">
        <is>
          <t>Available</t>
        </is>
      </c>
      <c r="G20" s="11" t="inlineStr">
        <is>
          <t>High</t>
        </is>
      </c>
      <c r="H20" s="9">
        <f>IF(OR(Local!F20="NA",ISBLANK(Local!F20)),FALSE,TRUE)</f>
        <v/>
      </c>
      <c r="I20" s="9" t="b">
        <v>1</v>
      </c>
      <c r="J20" s="9" t="n"/>
      <c r="K20" s="5" t="n">
        <v>89</v>
      </c>
      <c r="L20" s="5" t="n">
        <v>89</v>
      </c>
      <c r="M20" s="12" t="n">
        <v>99</v>
      </c>
      <c r="N20" s="9" t="b">
        <v>1</v>
      </c>
    </row>
    <row r="21" ht="61.5" customHeight="1">
      <c r="A21" s="9" t="n">
        <v>20</v>
      </c>
      <c r="B21" s="10">
        <f>_xludf.IMAGE("https://raw.githubusercontent.com/sshibinthomass/Rosary-Plant-House/master/assets/img/salePlants/"&amp;A21&amp;".jpg")</f>
        <v/>
      </c>
      <c r="C21" s="9">
        <f>Products!B21</f>
        <v/>
      </c>
      <c r="D21" s="9" t="inlineStr">
        <is>
          <t>Top</t>
        </is>
      </c>
      <c r="E21" s="11" t="n">
        <v>49</v>
      </c>
      <c r="F21" s="11" t="inlineStr">
        <is>
          <t>Available</t>
        </is>
      </c>
      <c r="G21" s="11" t="inlineStr">
        <is>
          <t>Medium</t>
        </is>
      </c>
      <c r="H21" s="9">
        <f>IF(OR(Local!F21="NA",ISBLANK(Local!F21)),FALSE,TRUE)</f>
        <v/>
      </c>
      <c r="I21" s="9" t="b">
        <v>0</v>
      </c>
      <c r="J21" s="9" t="n"/>
      <c r="K21" s="5" t="n">
        <v>49</v>
      </c>
      <c r="L21" s="5" t="n">
        <v>39</v>
      </c>
      <c r="M21" s="12" t="n">
        <v>69</v>
      </c>
      <c r="N21" s="9" t="b">
        <v>1</v>
      </c>
    </row>
    <row r="22" ht="61.5" customHeight="1">
      <c r="A22" s="9" t="n">
        <v>21</v>
      </c>
      <c r="B22" s="10">
        <f>_xludf.IMAGE("https://raw.githubusercontent.com/sshibinthomass/Rosary-Plant-House/master/assets/img/salePlants/"&amp;A22&amp;".jpg")</f>
        <v/>
      </c>
      <c r="C22" s="9">
        <f>Products!B22</f>
        <v/>
      </c>
      <c r="D22" s="9" t="inlineStr">
        <is>
          <t>Top</t>
        </is>
      </c>
      <c r="E22" s="11" t="n">
        <v>49</v>
      </c>
      <c r="F22" s="11" t="inlineStr">
        <is>
          <t>Available</t>
        </is>
      </c>
      <c r="G22" s="11" t="inlineStr">
        <is>
          <t>Medium</t>
        </is>
      </c>
      <c r="H22" s="9">
        <f>IF(OR(Local!F22="NA",ISBLANK(Local!F22)),FALSE,TRUE)</f>
        <v/>
      </c>
      <c r="I22" s="9" t="b">
        <v>0</v>
      </c>
      <c r="J22" s="9" t="n"/>
      <c r="K22" s="5" t="n">
        <v>49</v>
      </c>
      <c r="L22" s="5" t="n">
        <v>39</v>
      </c>
      <c r="M22" s="12" t="n">
        <v>69</v>
      </c>
      <c r="N22" s="9" t="b">
        <v>1</v>
      </c>
    </row>
    <row r="23" ht="61.5" customHeight="1">
      <c r="A23" s="9" t="n">
        <v>22</v>
      </c>
      <c r="B23" s="10">
        <f>_xludf.IMAGE("https://raw.githubusercontent.com/sshibinthomass/Rosary-Plant-House/master/assets/img/salePlants/"&amp;A23&amp;".jpg")</f>
        <v/>
      </c>
      <c r="C23" s="9">
        <f>Products!B23</f>
        <v/>
      </c>
      <c r="D23" s="9" t="inlineStr">
        <is>
          <t>Top</t>
        </is>
      </c>
      <c r="E23" s="11" t="n">
        <v>79</v>
      </c>
      <c r="F23" s="11" t="inlineStr">
        <is>
          <t>Available</t>
        </is>
      </c>
      <c r="G23" s="11" t="inlineStr">
        <is>
          <t>High</t>
        </is>
      </c>
      <c r="H23" s="9">
        <f>IF(OR(Local!F23="NA",ISBLANK(Local!F23)),FALSE,TRUE)</f>
        <v/>
      </c>
      <c r="I23" s="9" t="b">
        <v>0</v>
      </c>
      <c r="J23" s="9" t="n"/>
      <c r="K23" s="5" t="n">
        <v>89</v>
      </c>
      <c r="L23" s="5" t="n">
        <v>89</v>
      </c>
      <c r="M23" s="12" t="n">
        <v>99</v>
      </c>
      <c r="N23" s="9" t="b">
        <v>1</v>
      </c>
    </row>
    <row r="24" ht="61.5" customHeight="1">
      <c r="A24" s="9" t="n">
        <v>23</v>
      </c>
      <c r="B24" s="10">
        <f>_xludf.IMAGE("https://raw.githubusercontent.com/sshibinthomass/Rosary-Plant-House/master/assets/img/salePlants/"&amp;A24&amp;".jpg")</f>
        <v/>
      </c>
      <c r="C24" s="9">
        <f>Products!B24</f>
        <v/>
      </c>
      <c r="D24" s="9" t="inlineStr">
        <is>
          <t>Top</t>
        </is>
      </c>
      <c r="E24" s="11" t="n">
        <v>99</v>
      </c>
      <c r="F24" s="11" t="inlineStr">
        <is>
          <t>Low</t>
        </is>
      </c>
      <c r="G24" s="11" t="inlineStr">
        <is>
          <t>Low</t>
        </is>
      </c>
      <c r="H24" s="9">
        <f>IF(OR(Local!F24="NA",ISBLANK(Local!F24)),FALSE,TRUE)</f>
        <v/>
      </c>
      <c r="I24" s="9" t="b">
        <v>0</v>
      </c>
      <c r="J24" s="9" t="n"/>
      <c r="K24" s="5" t="n">
        <v>69</v>
      </c>
      <c r="L24" s="5" t="n">
        <v>69</v>
      </c>
      <c r="M24" s="12" t="n">
        <v>69</v>
      </c>
      <c r="N24" s="9" t="b">
        <v>0</v>
      </c>
    </row>
    <row r="25" ht="61.5" customHeight="1">
      <c r="A25" s="9" t="n">
        <v>24</v>
      </c>
      <c r="B25" s="10">
        <f>_xludf.IMAGE("https://raw.githubusercontent.com/sshibinthomass/Rosary-Plant-House/master/assets/img/salePlants/"&amp;A25&amp;".jpg")</f>
        <v/>
      </c>
      <c r="C25" s="9">
        <f>Products!B25</f>
        <v/>
      </c>
      <c r="D25" s="9" t="inlineStr">
        <is>
          <t>Top</t>
        </is>
      </c>
      <c r="E25" s="11" t="n">
        <v>49</v>
      </c>
      <c r="F25" s="11" t="inlineStr">
        <is>
          <t>Available</t>
        </is>
      </c>
      <c r="G25" s="11" t="inlineStr">
        <is>
          <t>Low</t>
        </is>
      </c>
      <c r="H25" s="9">
        <f>IF(OR(Local!F25="NA",ISBLANK(Local!F25)),FALSE,TRUE)</f>
        <v/>
      </c>
      <c r="I25" s="9" t="b">
        <v>0</v>
      </c>
      <c r="J25" s="9" t="n"/>
      <c r="K25" s="5" t="n">
        <v>49</v>
      </c>
      <c r="L25" s="5" t="n">
        <v>39</v>
      </c>
      <c r="M25" s="12" t="n">
        <v>59</v>
      </c>
      <c r="N25" s="9" t="b">
        <v>0</v>
      </c>
    </row>
    <row r="26" ht="61.5" customHeight="1">
      <c r="A26" s="9" t="n">
        <v>25</v>
      </c>
      <c r="B26" s="10">
        <f>_xludf.IMAGE("https://raw.githubusercontent.com/sshibinthomass/Rosary-Plant-House/master/assets/img/salePlants/"&amp;A26&amp;".jpg")</f>
        <v/>
      </c>
      <c r="C26" s="9">
        <f>Products!B26</f>
        <v/>
      </c>
      <c r="D26" s="9" t="inlineStr">
        <is>
          <t>Top</t>
        </is>
      </c>
      <c r="E26" s="11" t="n">
        <v>49</v>
      </c>
      <c r="F26" s="11" t="inlineStr">
        <is>
          <t>Available</t>
        </is>
      </c>
      <c r="G26" s="11" t="inlineStr">
        <is>
          <t>Low</t>
        </is>
      </c>
      <c r="H26" s="9">
        <f>IF(OR(Local!F26="NA",ISBLANK(Local!F26)),FALSE,TRUE)</f>
        <v/>
      </c>
      <c r="I26" s="9" t="b">
        <v>0</v>
      </c>
      <c r="J26" s="9" t="n"/>
      <c r="K26" s="5" t="n">
        <v>49</v>
      </c>
      <c r="L26" s="5" t="n">
        <v>39</v>
      </c>
      <c r="M26" s="12" t="n">
        <v>69</v>
      </c>
      <c r="N26" s="9" t="b">
        <v>1</v>
      </c>
    </row>
    <row r="27" ht="61.5" customHeight="1">
      <c r="A27" s="9" t="n">
        <v>26</v>
      </c>
      <c r="B27" s="10">
        <f>_xludf.IMAGE("https://raw.githubusercontent.com/sshibinthomass/Rosary-Plant-House/master/assets/img/salePlants/"&amp;A27&amp;".jpg")</f>
        <v/>
      </c>
      <c r="C27" s="9">
        <f>Products!B27</f>
        <v/>
      </c>
      <c r="D27" s="9" t="inlineStr">
        <is>
          <t>Top</t>
        </is>
      </c>
      <c r="E27" s="11" t="n">
        <v>120</v>
      </c>
      <c r="F27" s="11" t="inlineStr">
        <is>
          <t>NA</t>
        </is>
      </c>
      <c r="G27" s="11" t="inlineStr">
        <is>
          <t>VeryHigh</t>
        </is>
      </c>
      <c r="H27" s="9">
        <f>IF(OR(Local!F27="NA",ISBLANK(Local!F27)),FALSE,TRUE)</f>
        <v/>
      </c>
      <c r="I27" s="9" t="b">
        <v>0</v>
      </c>
      <c r="J27" s="9" t="n"/>
      <c r="K27" s="5" t="n">
        <v>79</v>
      </c>
      <c r="L27" s="5" t="n">
        <v>79</v>
      </c>
      <c r="M27" s="12" t="n">
        <v>89</v>
      </c>
      <c r="N27" s="9" t="b">
        <v>0</v>
      </c>
    </row>
    <row r="28" ht="61.5" customHeight="1">
      <c r="A28" s="9" t="n">
        <v>27</v>
      </c>
      <c r="B28" s="10">
        <f>_xludf.IMAGE("https://raw.githubusercontent.com/sshibinthomass/Rosary-Plant-House/master/assets/img/salePlants/"&amp;A28&amp;".jpg")</f>
        <v/>
      </c>
      <c r="C28" s="9">
        <f>Products!B28</f>
        <v/>
      </c>
      <c r="D28" s="9" t="inlineStr">
        <is>
          <t>Top</t>
        </is>
      </c>
      <c r="E28" s="11" t="n">
        <v>59</v>
      </c>
      <c r="F28" s="11" t="inlineStr">
        <is>
          <t>Available</t>
        </is>
      </c>
      <c r="G28" s="11" t="inlineStr">
        <is>
          <t>High</t>
        </is>
      </c>
      <c r="H28" s="9">
        <f>IF(OR(Local!F28="NA",ISBLANK(Local!F28)),FALSE,TRUE)</f>
        <v/>
      </c>
      <c r="I28" s="9" t="b">
        <v>0</v>
      </c>
      <c r="J28" s="9" t="n"/>
      <c r="K28" s="5" t="n">
        <v>59</v>
      </c>
      <c r="L28" s="5" t="n">
        <v>39</v>
      </c>
      <c r="M28" s="12" t="n">
        <v>79</v>
      </c>
      <c r="N28" s="9" t="b">
        <v>1</v>
      </c>
    </row>
    <row r="29" ht="61.5" customHeight="1">
      <c r="A29" s="9" t="n">
        <v>28</v>
      </c>
      <c r="B29" s="10">
        <f>_xludf.IMAGE("https://raw.githubusercontent.com/sshibinthomass/Rosary-Plant-House/master/assets/img/salePlants/"&amp;A29&amp;".jpg")</f>
        <v/>
      </c>
      <c r="C29" s="9">
        <f>Products!B29</f>
        <v/>
      </c>
      <c r="D29" s="9" t="inlineStr">
        <is>
          <t>Top</t>
        </is>
      </c>
      <c r="E29" s="11" t="n">
        <v>69</v>
      </c>
      <c r="F29" s="11" t="inlineStr">
        <is>
          <t>Available</t>
        </is>
      </c>
      <c r="G29" s="11" t="inlineStr">
        <is>
          <t>High</t>
        </is>
      </c>
      <c r="H29" s="9">
        <f>IF(OR(Local!F29="NA",ISBLANK(Local!F29)),FALSE,TRUE)</f>
        <v/>
      </c>
      <c r="I29" s="9" t="b">
        <v>0</v>
      </c>
      <c r="J29" s="9" t="n"/>
      <c r="K29" s="5" t="n">
        <v>89</v>
      </c>
      <c r="L29" s="5" t="n">
        <v>89</v>
      </c>
      <c r="M29" s="12" t="n">
        <v>89</v>
      </c>
      <c r="N29" s="9" t="b">
        <v>0</v>
      </c>
    </row>
    <row r="30" ht="61.5" customHeight="1">
      <c r="A30" s="9" t="n">
        <v>29</v>
      </c>
      <c r="B30" s="10">
        <f>_xludf.IMAGE("https://raw.githubusercontent.com/sshibinthomass/Rosary-Plant-House/master/assets/img/salePlants/"&amp;A30&amp;".jpg")</f>
        <v/>
      </c>
      <c r="C30" s="9">
        <f>Products!B30</f>
        <v/>
      </c>
      <c r="D30" s="9" t="inlineStr">
        <is>
          <t>Top</t>
        </is>
      </c>
      <c r="E30" s="11" t="n">
        <v>59</v>
      </c>
      <c r="F30" s="11" t="inlineStr">
        <is>
          <t>Available</t>
        </is>
      </c>
      <c r="G30" s="11" t="inlineStr">
        <is>
          <t>Medium</t>
        </is>
      </c>
      <c r="H30" s="9">
        <f>IF(OR(Local!F30="NA",ISBLANK(Local!F30)),FALSE,TRUE)</f>
        <v/>
      </c>
      <c r="I30" s="9" t="b">
        <v>0</v>
      </c>
      <c r="J30" s="9" t="n"/>
      <c r="K30" s="5" t="n">
        <v>49</v>
      </c>
      <c r="L30" s="5" t="n">
        <v>39</v>
      </c>
      <c r="M30" s="12" t="n">
        <v>59</v>
      </c>
      <c r="N30" s="9" t="b">
        <v>1</v>
      </c>
    </row>
    <row r="31" ht="61.5" customHeight="1">
      <c r="A31" s="9" t="n">
        <v>30</v>
      </c>
      <c r="B31" s="10">
        <f>_xludf.IMAGE("https://raw.githubusercontent.com/sshibinthomass/Rosary-Plant-House/master/assets/img/salePlants/"&amp;A31&amp;".jpg")</f>
        <v/>
      </c>
      <c r="C31" s="9">
        <f>Products!B31</f>
        <v/>
      </c>
      <c r="D31" s="9" t="inlineStr">
        <is>
          <t>Top</t>
        </is>
      </c>
      <c r="E31" s="11" t="n">
        <v>59</v>
      </c>
      <c r="F31" s="11" t="inlineStr">
        <is>
          <t>Available</t>
        </is>
      </c>
      <c r="G31" s="11" t="inlineStr">
        <is>
          <t>VeryLow</t>
        </is>
      </c>
      <c r="H31" s="9">
        <f>IF(OR(Local!F31="NA",ISBLANK(Local!F31)),FALSE,TRUE)</f>
        <v/>
      </c>
      <c r="I31" s="9" t="b">
        <v>0</v>
      </c>
      <c r="J31" s="9" t="n"/>
      <c r="K31" s="5" t="n">
        <v>69</v>
      </c>
      <c r="L31" s="5" t="n">
        <v>69</v>
      </c>
      <c r="M31" s="12" t="n">
        <v>69</v>
      </c>
      <c r="N31" s="9" t="b">
        <v>0</v>
      </c>
    </row>
    <row r="32" ht="61.5" customHeight="1">
      <c r="A32" s="9" t="n">
        <v>31</v>
      </c>
      <c r="B32" s="10">
        <f>_xludf.IMAGE("https://raw.githubusercontent.com/sshibinthomass/Rosary-Plant-House/master/assets/img/salePlants/"&amp;A32&amp;".jpg")</f>
        <v/>
      </c>
      <c r="C32" s="9">
        <f>Products!B32</f>
        <v/>
      </c>
      <c r="D32" s="9" t="inlineStr">
        <is>
          <t>Top</t>
        </is>
      </c>
      <c r="E32" s="11" t="n">
        <v>49</v>
      </c>
      <c r="F32" s="11" t="inlineStr">
        <is>
          <t>Available</t>
        </is>
      </c>
      <c r="G32" s="11" t="inlineStr">
        <is>
          <t>VeryLow</t>
        </is>
      </c>
      <c r="H32" s="9">
        <f>IF(OR(Local!F32="NA",ISBLANK(Local!F32)),FALSE,TRUE)</f>
        <v/>
      </c>
      <c r="I32" s="9" t="b">
        <v>1</v>
      </c>
      <c r="J32" s="9" t="n"/>
      <c r="K32" s="5" t="n">
        <v>69</v>
      </c>
      <c r="L32" s="5" t="n">
        <v>59</v>
      </c>
      <c r="M32" s="12" t="n">
        <v>89</v>
      </c>
      <c r="N32" s="9" t="b">
        <v>1</v>
      </c>
    </row>
    <row r="33" ht="61.5" customHeight="1">
      <c r="A33" s="9" t="n">
        <v>32</v>
      </c>
      <c r="B33" s="10">
        <f>_xludf.IMAGE("https://raw.githubusercontent.com/sshibinthomass/Rosary-Plant-House/master/assets/img/salePlants/"&amp;A33&amp;".jpg")</f>
        <v/>
      </c>
      <c r="C33" s="9">
        <f>Products!B33</f>
        <v/>
      </c>
      <c r="D33" s="9" t="inlineStr">
        <is>
          <t>Top</t>
        </is>
      </c>
      <c r="E33" s="11" t="n">
        <v>59</v>
      </c>
      <c r="F33" s="11" t="inlineStr">
        <is>
          <t>Available</t>
        </is>
      </c>
      <c r="G33" s="11" t="inlineStr">
        <is>
          <t>Low</t>
        </is>
      </c>
      <c r="H33" s="9">
        <f>IF(OR(Local!F33="NA",ISBLANK(Local!F33)),FALSE,TRUE)</f>
        <v/>
      </c>
      <c r="I33" s="9" t="b">
        <v>1</v>
      </c>
      <c r="J33" s="9" t="n"/>
      <c r="K33" s="5" t="n">
        <v>59</v>
      </c>
      <c r="L33" s="5" t="n">
        <v>49</v>
      </c>
      <c r="M33" s="12" t="n">
        <v>69</v>
      </c>
      <c r="N33" s="9" t="b">
        <v>1</v>
      </c>
    </row>
    <row r="34" ht="61.5" customHeight="1">
      <c r="A34" s="9" t="n">
        <v>33</v>
      </c>
      <c r="B34" s="10">
        <f>_xludf.IMAGE("https://raw.githubusercontent.com/sshibinthomass/Rosary-Plant-House/master/assets/img/salePlants/"&amp;A34&amp;".jpg")</f>
        <v/>
      </c>
      <c r="C34" s="9">
        <f>Products!B34</f>
        <v/>
      </c>
      <c r="D34" s="9" t="inlineStr">
        <is>
          <t>Top</t>
        </is>
      </c>
      <c r="E34" s="11" t="n">
        <v>69</v>
      </c>
      <c r="F34" s="11" t="inlineStr">
        <is>
          <t>Available</t>
        </is>
      </c>
      <c r="G34" s="11" t="inlineStr">
        <is>
          <t>Medium</t>
        </is>
      </c>
      <c r="H34" s="9">
        <f>IF(OR(Local!F34="NA",ISBLANK(Local!F34)),FALSE,TRUE)</f>
        <v/>
      </c>
      <c r="I34" s="9" t="b">
        <v>0</v>
      </c>
      <c r="J34" s="9" t="n"/>
      <c r="K34" s="5" t="n">
        <v>69</v>
      </c>
      <c r="L34" s="5" t="n">
        <v>49</v>
      </c>
      <c r="M34" s="12" t="n">
        <v>79</v>
      </c>
      <c r="N34" s="9" t="b">
        <v>1</v>
      </c>
    </row>
    <row r="35" ht="61.5" customHeight="1">
      <c r="A35" s="9" t="n">
        <v>34</v>
      </c>
      <c r="B35" s="10">
        <f>_xludf.IMAGE("https://raw.githubusercontent.com/sshibinthomass/Rosary-Plant-House/master/assets/img/salePlants/"&amp;A35&amp;".jpg")</f>
        <v/>
      </c>
      <c r="C35" s="9">
        <f>Products!B35</f>
        <v/>
      </c>
      <c r="D35" s="9" t="inlineStr">
        <is>
          <t>Top</t>
        </is>
      </c>
      <c r="E35" s="11" t="n">
        <v>79</v>
      </c>
      <c r="F35" s="11" t="inlineStr">
        <is>
          <t>Available</t>
        </is>
      </c>
      <c r="G35" s="11" t="inlineStr">
        <is>
          <t>Medium</t>
        </is>
      </c>
      <c r="H35" s="9">
        <f>IF(OR(Local!F35="NA",ISBLANK(Local!F35)),FALSE,TRUE)</f>
        <v/>
      </c>
      <c r="I35" s="9" t="b">
        <v>0</v>
      </c>
      <c r="J35" s="9" t="n"/>
      <c r="K35" s="5" t="n">
        <v>79</v>
      </c>
      <c r="L35" s="5" t="n">
        <v>79</v>
      </c>
      <c r="M35" s="12" t="n">
        <v>79</v>
      </c>
      <c r="N35" s="9" t="b">
        <v>1</v>
      </c>
    </row>
    <row r="36" ht="61.5" customHeight="1">
      <c r="A36" s="9" t="n">
        <v>35</v>
      </c>
      <c r="B36" s="10">
        <f>_xludf.IMAGE("https://raw.githubusercontent.com/sshibinthomass/Rosary-Plant-House/master/assets/img/salePlants/"&amp;A36&amp;".jpg")</f>
        <v/>
      </c>
      <c r="C36" s="9">
        <f>Products!B36</f>
        <v/>
      </c>
      <c r="D36" s="9" t="inlineStr">
        <is>
          <t>Top</t>
        </is>
      </c>
      <c r="E36" s="11" t="n">
        <v>49</v>
      </c>
      <c r="F36" s="11" t="inlineStr">
        <is>
          <t>Available</t>
        </is>
      </c>
      <c r="G36" s="11" t="inlineStr">
        <is>
          <t>Medium</t>
        </is>
      </c>
      <c r="H36" s="9">
        <f>IF(OR(Local!F36="NA",ISBLANK(Local!F36)),FALSE,TRUE)</f>
        <v/>
      </c>
      <c r="I36" s="9" t="b">
        <v>0</v>
      </c>
      <c r="J36" s="9" t="n"/>
      <c r="K36" s="5" t="n">
        <v>79</v>
      </c>
      <c r="L36" s="5" t="n">
        <v>49</v>
      </c>
      <c r="M36" s="12" t="n">
        <v>120</v>
      </c>
      <c r="N36" s="9" t="b">
        <v>1</v>
      </c>
    </row>
    <row r="37" ht="61.5" customHeight="1">
      <c r="A37" s="9" t="n">
        <v>36</v>
      </c>
      <c r="B37" s="10">
        <f>_xludf.IMAGE("https://raw.githubusercontent.com/sshibinthomass/Rosary-Plant-House/master/assets/img/salePlants/"&amp;A37&amp;".jpg")</f>
        <v/>
      </c>
      <c r="C37" s="9">
        <f>Products!B37</f>
        <v/>
      </c>
      <c r="D37" s="9" t="inlineStr">
        <is>
          <t>Top</t>
        </is>
      </c>
      <c r="E37" s="11" t="n">
        <v>69</v>
      </c>
      <c r="F37" s="11" t="inlineStr">
        <is>
          <t>NA</t>
        </is>
      </c>
      <c r="G37" s="11" t="inlineStr">
        <is>
          <t>High</t>
        </is>
      </c>
      <c r="H37" s="9">
        <f>IF(OR(Local!F37="NA",ISBLANK(Local!F37)),FALSE,TRUE)</f>
        <v/>
      </c>
      <c r="I37" s="9" t="b">
        <v>0</v>
      </c>
      <c r="J37" s="9" t="n"/>
      <c r="K37" s="5" t="n">
        <v>89</v>
      </c>
      <c r="L37" s="5" t="n">
        <v>89</v>
      </c>
      <c r="M37" s="12" t="n">
        <v>89</v>
      </c>
      <c r="N37" s="9" t="b">
        <v>0</v>
      </c>
    </row>
    <row r="38" ht="61.5" customHeight="1">
      <c r="A38" s="9" t="n">
        <v>37</v>
      </c>
      <c r="B38" s="10">
        <f>_xludf.IMAGE("https://raw.githubusercontent.com/sshibinthomass/Rosary-Plant-House/master/assets/img/salePlants/"&amp;A38&amp;".jpg")</f>
        <v/>
      </c>
      <c r="C38" s="9">
        <f>Products!B38</f>
        <v/>
      </c>
      <c r="D38" s="9" t="inlineStr">
        <is>
          <t>Top</t>
        </is>
      </c>
      <c r="E38" s="11" t="n">
        <v>69</v>
      </c>
      <c r="F38" s="11" t="inlineStr">
        <is>
          <t>NA</t>
        </is>
      </c>
      <c r="G38" s="11" t="inlineStr">
        <is>
          <t>Medium</t>
        </is>
      </c>
      <c r="H38" s="9">
        <f>IF(OR(Local!F38="NA",ISBLANK(Local!F38)),FALSE,TRUE)</f>
        <v/>
      </c>
      <c r="I38" s="9" t="b">
        <v>0</v>
      </c>
      <c r="J38" s="9" t="n"/>
      <c r="K38" s="5" t="n">
        <v>59</v>
      </c>
      <c r="L38" s="5" t="n">
        <v>49</v>
      </c>
      <c r="M38" s="12" t="n">
        <v>59</v>
      </c>
      <c r="N38" s="9" t="b">
        <v>0</v>
      </c>
    </row>
    <row r="39" ht="61.5" customHeight="1">
      <c r="A39" s="9" t="n">
        <v>38</v>
      </c>
      <c r="B39" s="10">
        <f>_xludf.IMAGE("https://raw.githubusercontent.com/sshibinthomass/Rosary-Plant-House/master/assets/img/salePlants/"&amp;A39&amp;".jpg")</f>
        <v/>
      </c>
      <c r="C39" s="9">
        <f>Products!B39</f>
        <v/>
      </c>
      <c r="D39" s="9" t="inlineStr">
        <is>
          <t>Both</t>
        </is>
      </c>
      <c r="E39" s="11" t="n">
        <v>59</v>
      </c>
      <c r="F39" s="11" t="inlineStr">
        <is>
          <t>Low</t>
        </is>
      </c>
      <c r="G39" s="11" t="inlineStr">
        <is>
          <t>Medium</t>
        </is>
      </c>
      <c r="H39" s="9">
        <f>IF(OR(Local!F39="NA",ISBLANK(Local!F39)),FALSE,TRUE)</f>
        <v/>
      </c>
      <c r="I39" s="9" t="b">
        <v>0</v>
      </c>
      <c r="J39" s="9" t="n"/>
      <c r="K39" s="5" t="n">
        <v>59</v>
      </c>
      <c r="L39" s="5" t="n">
        <v>49</v>
      </c>
      <c r="M39" s="12" t="n">
        <v>59</v>
      </c>
      <c r="N39" s="9" t="b">
        <v>0</v>
      </c>
    </row>
    <row r="40" ht="61.5" customHeight="1">
      <c r="A40" s="9" t="n">
        <v>39</v>
      </c>
      <c r="B40" s="10">
        <f>_xludf.IMAGE("https://raw.githubusercontent.com/sshibinthomass/Rosary-Plant-House/master/assets/img/salePlants/"&amp;A40&amp;".jpg")</f>
        <v/>
      </c>
      <c r="C40" s="9">
        <f>Products!B40</f>
        <v/>
      </c>
      <c r="D40" s="9" t="inlineStr">
        <is>
          <t>Top</t>
        </is>
      </c>
      <c r="E40" s="11" t="n">
        <v>59</v>
      </c>
      <c r="F40" s="11" t="inlineStr">
        <is>
          <t>Available</t>
        </is>
      </c>
      <c r="G40" s="11" t="inlineStr">
        <is>
          <t>Medium</t>
        </is>
      </c>
      <c r="H40" s="9">
        <f>IF(OR(Local!F40="NA",ISBLANK(Local!F40)),FALSE,TRUE)</f>
        <v/>
      </c>
      <c r="I40" s="9" t="b">
        <v>0</v>
      </c>
      <c r="J40" s="9" t="n"/>
      <c r="K40" s="5" t="n">
        <v>59</v>
      </c>
      <c r="L40" s="5" t="n">
        <v>59</v>
      </c>
      <c r="M40" s="12" t="n">
        <v>59</v>
      </c>
      <c r="N40" s="9" t="b">
        <v>0</v>
      </c>
    </row>
    <row r="41" ht="61.5" customHeight="1">
      <c r="A41" s="9" t="n">
        <v>40</v>
      </c>
      <c r="B41" s="10">
        <f>_xludf.IMAGE("https://raw.githubusercontent.com/sshibinthomass/Rosary-Plant-House/master/assets/img/salePlants/"&amp;A41&amp;".jpg")</f>
        <v/>
      </c>
      <c r="C41" s="9">
        <f>Products!B41</f>
        <v/>
      </c>
      <c r="D41" s="9" t="inlineStr">
        <is>
          <t>Top</t>
        </is>
      </c>
      <c r="E41" s="11" t="n">
        <v>69</v>
      </c>
      <c r="F41" s="11" t="inlineStr">
        <is>
          <t>NA</t>
        </is>
      </c>
      <c r="G41" s="11" t="inlineStr">
        <is>
          <t>Medium</t>
        </is>
      </c>
      <c r="H41" s="9">
        <f>IF(OR(Local!F41="NA",ISBLANK(Local!F41)),FALSE,TRUE)</f>
        <v/>
      </c>
      <c r="I41" s="9" t="b">
        <v>0</v>
      </c>
      <c r="J41" s="9" t="n"/>
      <c r="K41" s="5" t="n">
        <v>59</v>
      </c>
      <c r="L41" s="5" t="n">
        <v>59</v>
      </c>
      <c r="M41" s="12" t="n">
        <v>59</v>
      </c>
      <c r="N41" s="9" t="b">
        <v>0</v>
      </c>
    </row>
    <row r="42" ht="61.5" customHeight="1">
      <c r="A42" s="9" t="n">
        <v>41</v>
      </c>
      <c r="B42" s="10">
        <f>_xludf.IMAGE("https://raw.githubusercontent.com/sshibinthomass/Rosary-Plant-House/master/assets/img/salePlants/"&amp;A42&amp;".jpg")</f>
        <v/>
      </c>
      <c r="C42" s="9">
        <f>Products!B42</f>
        <v/>
      </c>
      <c r="D42" s="9" t="inlineStr">
        <is>
          <t>Top</t>
        </is>
      </c>
      <c r="E42" s="5" t="n">
        <v>69</v>
      </c>
      <c r="F42" s="11" t="inlineStr">
        <is>
          <t>NA</t>
        </is>
      </c>
      <c r="G42" s="11" t="inlineStr">
        <is>
          <t>Medium</t>
        </is>
      </c>
      <c r="H42" s="9">
        <f>IF(OR(Local!F42="NA",ISBLANK(Local!F42)),FALSE,TRUE)</f>
        <v/>
      </c>
      <c r="I42" s="9" t="b">
        <v>0</v>
      </c>
      <c r="J42" s="9" t="n"/>
      <c r="K42" s="5" t="n">
        <v>59</v>
      </c>
      <c r="L42" s="5" t="n">
        <v>59</v>
      </c>
      <c r="M42" s="12" t="n">
        <v>59</v>
      </c>
      <c r="N42" s="9" t="b">
        <v>0</v>
      </c>
    </row>
    <row r="43" ht="61.5" customHeight="1">
      <c r="A43" s="9" t="n">
        <v>42</v>
      </c>
      <c r="B43" s="10">
        <f>_xludf.IMAGE("https://raw.githubusercontent.com/sshibinthomass/Rosary-Plant-House/master/assets/img/salePlants/"&amp;A43&amp;".jpg")</f>
        <v/>
      </c>
      <c r="C43" s="9">
        <f>Products!B43</f>
        <v/>
      </c>
      <c r="D43" s="9" t="inlineStr">
        <is>
          <t>Top</t>
        </is>
      </c>
      <c r="E43" s="5" t="n">
        <v>69</v>
      </c>
      <c r="F43" s="11" t="inlineStr">
        <is>
          <t>NA</t>
        </is>
      </c>
      <c r="G43" s="11" t="inlineStr">
        <is>
          <t>Medium</t>
        </is>
      </c>
      <c r="H43" s="9">
        <f>IF(OR(Local!F43="NA",ISBLANK(Local!F43)),FALSE,TRUE)</f>
        <v/>
      </c>
      <c r="I43" s="9" t="b">
        <v>0</v>
      </c>
      <c r="J43" s="9" t="n"/>
      <c r="K43" s="5" t="n">
        <v>69</v>
      </c>
      <c r="L43" s="5" t="n">
        <v>69</v>
      </c>
      <c r="M43" s="12" t="n">
        <v>69</v>
      </c>
      <c r="N43" s="9" t="b">
        <v>0</v>
      </c>
    </row>
    <row r="44" ht="61.5" customHeight="1">
      <c r="A44" s="9" t="n">
        <v>43</v>
      </c>
      <c r="B44" s="10">
        <f>_xludf.IMAGE("https://raw.githubusercontent.com/sshibinthomass/Rosary-Plant-House/master/assets/img/salePlants/"&amp;A44&amp;".jpg")</f>
        <v/>
      </c>
      <c r="C44" s="9">
        <f>Products!B44</f>
        <v/>
      </c>
      <c r="D44" s="9" t="inlineStr">
        <is>
          <t>Down</t>
        </is>
      </c>
      <c r="E44" s="5" t="n">
        <v>69</v>
      </c>
      <c r="F44" s="11" t="inlineStr">
        <is>
          <t>NA</t>
        </is>
      </c>
      <c r="G44" s="11" t="inlineStr">
        <is>
          <t>Medium</t>
        </is>
      </c>
      <c r="H44" s="9">
        <f>IF(OR(Local!F44="NA",ISBLANK(Local!F44)),FALSE,TRUE)</f>
        <v/>
      </c>
      <c r="I44" s="9" t="b">
        <v>0</v>
      </c>
      <c r="J44" s="9" t="n"/>
      <c r="K44" s="5" t="n">
        <v>59</v>
      </c>
      <c r="L44" s="5" t="n">
        <v>59</v>
      </c>
      <c r="M44" s="12" t="n">
        <v>59</v>
      </c>
      <c r="N44" s="9" t="b">
        <v>0</v>
      </c>
    </row>
    <row r="45" ht="61.5" customHeight="1">
      <c r="A45" s="9" t="n">
        <v>44</v>
      </c>
      <c r="B45" s="10">
        <f>_xludf.IMAGE("https://raw.githubusercontent.com/sshibinthomass/Rosary-Plant-House/master/assets/img/salePlants/"&amp;A45&amp;".jpg")</f>
        <v/>
      </c>
      <c r="C45" s="9">
        <f>Products!B45</f>
        <v/>
      </c>
      <c r="D45" s="9" t="inlineStr">
        <is>
          <t>Top</t>
        </is>
      </c>
      <c r="E45" s="11" t="n">
        <v>59</v>
      </c>
      <c r="F45" s="11" t="inlineStr">
        <is>
          <t>Available</t>
        </is>
      </c>
      <c r="G45" s="11" t="inlineStr">
        <is>
          <t>High</t>
        </is>
      </c>
      <c r="H45" s="9">
        <f>IF(OR(Local!F45="NA",ISBLANK(Local!F45)),FALSE,TRUE)</f>
        <v/>
      </c>
      <c r="I45" s="9" t="b">
        <v>0</v>
      </c>
      <c r="J45" s="9" t="n"/>
      <c r="K45" s="5" t="n">
        <v>69</v>
      </c>
      <c r="L45" s="5" t="n">
        <v>49</v>
      </c>
      <c r="M45" s="12" t="n">
        <v>69</v>
      </c>
      <c r="N45" s="9" t="b">
        <v>1</v>
      </c>
    </row>
    <row r="46" ht="61.5" customHeight="1">
      <c r="A46" s="9" t="n">
        <v>45</v>
      </c>
      <c r="B46" s="10">
        <f>_xludf.IMAGE("https://raw.githubusercontent.com/sshibinthomass/Rosary-Plant-House/master/assets/img/salePlants/"&amp;A46&amp;".jpg")</f>
        <v/>
      </c>
      <c r="C46" s="9">
        <f>Products!B46</f>
        <v/>
      </c>
      <c r="D46" s="9" t="inlineStr">
        <is>
          <t>Top</t>
        </is>
      </c>
      <c r="E46" s="11" t="n">
        <v>59</v>
      </c>
      <c r="F46" s="11" t="inlineStr">
        <is>
          <t>Low</t>
        </is>
      </c>
      <c r="G46" s="11" t="inlineStr">
        <is>
          <t>Medium</t>
        </is>
      </c>
      <c r="H46" s="9">
        <f>IF(OR(Local!F46="NA",ISBLANK(Local!F46)),FALSE,TRUE)</f>
        <v/>
      </c>
      <c r="I46" s="9" t="b">
        <v>1</v>
      </c>
      <c r="J46" s="9" t="n"/>
      <c r="K46" s="5" t="n">
        <v>79</v>
      </c>
      <c r="L46" s="5" t="n">
        <v>79</v>
      </c>
      <c r="M46" s="12" t="n">
        <v>79</v>
      </c>
      <c r="N46" s="9" t="b">
        <v>0</v>
      </c>
    </row>
    <row r="47" ht="61.5" customHeight="1">
      <c r="A47" s="9" t="n">
        <v>46</v>
      </c>
      <c r="B47" s="10">
        <f>_xludf.IMAGE("https://raw.githubusercontent.com/sshibinthomass/Rosary-Plant-House/master/assets/img/salePlants/"&amp;A47&amp;".jpg")</f>
        <v/>
      </c>
      <c r="C47" s="9">
        <f>Products!B47</f>
        <v/>
      </c>
      <c r="D47" s="9" t="inlineStr">
        <is>
          <t>Top</t>
        </is>
      </c>
      <c r="E47" s="11" t="n">
        <v>49</v>
      </c>
      <c r="F47" s="11" t="inlineStr">
        <is>
          <t>Available</t>
        </is>
      </c>
      <c r="G47" s="11" t="inlineStr">
        <is>
          <t>Low</t>
        </is>
      </c>
      <c r="H47" s="9">
        <f>IF(OR(Local!F47="NA",ISBLANK(Local!F47)),FALSE,TRUE)</f>
        <v/>
      </c>
      <c r="I47" s="9" t="b">
        <v>1</v>
      </c>
      <c r="J47" s="9" t="n"/>
      <c r="K47" s="5" t="n">
        <v>59</v>
      </c>
      <c r="L47" s="5" t="n">
        <v>39</v>
      </c>
      <c r="M47" s="12" t="n">
        <v>59</v>
      </c>
      <c r="N47" s="9" t="b">
        <v>1</v>
      </c>
    </row>
    <row r="48" ht="61.5" customHeight="1">
      <c r="A48" s="9" t="n">
        <v>47</v>
      </c>
      <c r="B48" s="10">
        <f>_xludf.IMAGE("https://raw.githubusercontent.com/sshibinthomass/Rosary-Plant-House/master/assets/img/salePlants/"&amp;A48&amp;".jpg")</f>
        <v/>
      </c>
      <c r="C48" s="9">
        <f>Products!B48</f>
        <v/>
      </c>
      <c r="D48" s="9" t="inlineStr">
        <is>
          <t>Top</t>
        </is>
      </c>
      <c r="E48" s="11" t="n">
        <v>59</v>
      </c>
      <c r="F48" s="11" t="inlineStr">
        <is>
          <t>NA</t>
        </is>
      </c>
      <c r="G48" s="11" t="inlineStr">
        <is>
          <t>Medium</t>
        </is>
      </c>
      <c r="H48" s="9">
        <f>IF(OR(Local!F48="NA",ISBLANK(Local!F48)),FALSE,TRUE)</f>
        <v/>
      </c>
      <c r="I48" s="9" t="b">
        <v>0</v>
      </c>
      <c r="J48" s="9" t="n"/>
      <c r="K48" s="5" t="n">
        <v>59</v>
      </c>
      <c r="L48" s="5" t="n">
        <v>59</v>
      </c>
      <c r="M48" s="12" t="n">
        <v>59</v>
      </c>
      <c r="N48" s="9" t="b">
        <v>0</v>
      </c>
    </row>
    <row r="49" ht="61.5" customHeight="1">
      <c r="A49" s="9" t="n">
        <v>48</v>
      </c>
      <c r="B49" s="10">
        <f>_xludf.IMAGE("https://raw.githubusercontent.com/sshibinthomass/Rosary-Plant-House/master/assets/img/salePlants/"&amp;A49&amp;".jpg")</f>
        <v/>
      </c>
      <c r="C49" s="9">
        <f>Products!B49</f>
        <v/>
      </c>
      <c r="D49" s="9" t="inlineStr">
        <is>
          <t>Top</t>
        </is>
      </c>
      <c r="E49" s="11" t="n">
        <v>69</v>
      </c>
      <c r="F49" s="11" t="inlineStr">
        <is>
          <t>Available</t>
        </is>
      </c>
      <c r="G49" s="11" t="inlineStr">
        <is>
          <t>High</t>
        </is>
      </c>
      <c r="H49" s="9">
        <f>IF(OR(Local!F49="NA",ISBLANK(Local!F49)),FALSE,TRUE)</f>
        <v/>
      </c>
      <c r="I49" s="9" t="b">
        <v>0</v>
      </c>
      <c r="J49" s="9" t="n"/>
      <c r="K49" s="5" t="n">
        <v>120</v>
      </c>
      <c r="L49" s="5" t="n">
        <v>79</v>
      </c>
      <c r="M49" s="12" t="n">
        <v>120</v>
      </c>
      <c r="N49" s="9" t="b">
        <v>0</v>
      </c>
    </row>
    <row r="50" ht="61.5" customHeight="1">
      <c r="A50" s="9" t="n">
        <v>49</v>
      </c>
      <c r="B50" s="10">
        <f>_xludf.IMAGE("https://raw.githubusercontent.com/sshibinthomass/Rosary-Plant-House/master/assets/img/salePlants/"&amp;A50&amp;".jpg")</f>
        <v/>
      </c>
      <c r="C50" s="9">
        <f>Products!B50</f>
        <v/>
      </c>
      <c r="D50" s="9" t="inlineStr">
        <is>
          <t>Top</t>
        </is>
      </c>
      <c r="E50" s="11" t="n">
        <v>39</v>
      </c>
      <c r="F50" s="11" t="inlineStr">
        <is>
          <t>Available</t>
        </is>
      </c>
      <c r="G50" s="11" t="inlineStr">
        <is>
          <t>High</t>
        </is>
      </c>
      <c r="H50" s="9">
        <f>IF(OR(Local!F50="NA",ISBLANK(Local!F50)),FALSE,TRUE)</f>
        <v/>
      </c>
      <c r="I50" s="9" t="b">
        <v>1</v>
      </c>
      <c r="J50" s="9" t="n"/>
      <c r="K50" s="5" t="n">
        <v>49</v>
      </c>
      <c r="L50" s="5" t="n">
        <v>29</v>
      </c>
      <c r="M50" s="12" t="n">
        <v>49</v>
      </c>
      <c r="N50" s="9" t="b">
        <v>1</v>
      </c>
    </row>
    <row r="51" ht="61.5" customHeight="1">
      <c r="A51" s="9" t="n">
        <v>50</v>
      </c>
      <c r="B51" s="10">
        <f>_xludf.IMAGE("https://raw.githubusercontent.com/sshibinthomass/Rosary-Plant-House/master/assets/img/salePlants/"&amp;A51&amp;".jpg")</f>
        <v/>
      </c>
      <c r="C51" s="9">
        <f>Products!B51</f>
        <v/>
      </c>
      <c r="D51" s="9" t="inlineStr">
        <is>
          <t>Top</t>
        </is>
      </c>
      <c r="E51" s="11" t="n">
        <v>39</v>
      </c>
      <c r="F51" s="11" t="inlineStr">
        <is>
          <t>Available</t>
        </is>
      </c>
      <c r="G51" s="11" t="inlineStr">
        <is>
          <t>VeryHigh</t>
        </is>
      </c>
      <c r="H51" s="9">
        <f>IF(OR(Local!F51="NA",ISBLANK(Local!F51)),FALSE,TRUE)</f>
        <v/>
      </c>
      <c r="I51" s="9" t="b">
        <v>0</v>
      </c>
      <c r="J51" s="9" t="n"/>
      <c r="K51" s="5" t="n">
        <v>49</v>
      </c>
      <c r="L51" s="5" t="n">
        <v>25</v>
      </c>
      <c r="M51" s="12" t="n">
        <v>49</v>
      </c>
      <c r="N51" s="9" t="b">
        <v>1</v>
      </c>
    </row>
    <row r="52" ht="61.5" customHeight="1">
      <c r="A52" s="9" t="n">
        <v>51</v>
      </c>
      <c r="B52" s="10">
        <f>_xludf.IMAGE("https://raw.githubusercontent.com/sshibinthomass/Rosary-Plant-House/master/assets/img/salePlants/"&amp;A52&amp;".jpg")</f>
        <v/>
      </c>
      <c r="C52" s="9">
        <f>Products!B52</f>
        <v/>
      </c>
      <c r="D52" s="9" t="inlineStr">
        <is>
          <t>Top</t>
        </is>
      </c>
      <c r="E52" s="11" t="n">
        <v>89</v>
      </c>
      <c r="F52" s="11" t="inlineStr">
        <is>
          <t>NA</t>
        </is>
      </c>
      <c r="G52" s="11" t="inlineStr">
        <is>
          <t>High</t>
        </is>
      </c>
      <c r="H52" s="9">
        <f>IF(OR(Local!F52="NA",ISBLANK(Local!F52)),FALSE,TRUE)</f>
        <v/>
      </c>
      <c r="I52" s="9" t="b">
        <v>0</v>
      </c>
      <c r="J52" s="9" t="n"/>
      <c r="K52" s="5" t="n">
        <v>149</v>
      </c>
      <c r="L52" s="5" t="n">
        <v>149</v>
      </c>
      <c r="M52" s="12" t="n">
        <v>149</v>
      </c>
      <c r="N52" s="9" t="b">
        <v>0</v>
      </c>
    </row>
    <row r="53" ht="61.5" customHeight="1">
      <c r="A53" s="9" t="n">
        <v>52</v>
      </c>
      <c r="B53" s="10">
        <f>_xludf.IMAGE("https://raw.githubusercontent.com/sshibinthomass/Rosary-Plant-House/master/assets/img/salePlants/"&amp;A53&amp;".jpg")</f>
        <v/>
      </c>
      <c r="C53" s="9">
        <f>Products!B53</f>
        <v/>
      </c>
      <c r="D53" s="9" t="inlineStr">
        <is>
          <t>Top</t>
        </is>
      </c>
      <c r="E53" s="11" t="n">
        <v>59</v>
      </c>
      <c r="F53" s="11" t="inlineStr">
        <is>
          <t>Available</t>
        </is>
      </c>
      <c r="G53" s="11" t="inlineStr">
        <is>
          <t>Medium</t>
        </is>
      </c>
      <c r="H53" s="9">
        <f>IF(OR(Local!F53="NA",ISBLANK(Local!F53)),FALSE,TRUE)</f>
        <v/>
      </c>
      <c r="I53" s="9" t="b">
        <v>0</v>
      </c>
      <c r="J53" s="9" t="n"/>
      <c r="K53" s="5" t="n">
        <v>49</v>
      </c>
      <c r="L53" s="5" t="n">
        <v>39</v>
      </c>
      <c r="M53" s="12" t="n">
        <v>59</v>
      </c>
      <c r="N53" s="9" t="b">
        <v>0</v>
      </c>
    </row>
    <row r="54" ht="61.5" customHeight="1">
      <c r="A54" s="9" t="n">
        <v>53</v>
      </c>
      <c r="B54" s="10">
        <f>_xludf.IMAGE("https://raw.githubusercontent.com/sshibinthomass/Rosary-Plant-House/master/assets/img/salePlants/"&amp;A54&amp;".jpg")</f>
        <v/>
      </c>
      <c r="C54" s="9">
        <f>Products!B54</f>
        <v/>
      </c>
      <c r="D54" s="9" t="inlineStr">
        <is>
          <t>Top</t>
        </is>
      </c>
      <c r="E54" s="11" t="n">
        <v>59</v>
      </c>
      <c r="F54" s="11" t="inlineStr">
        <is>
          <t>Available</t>
        </is>
      </c>
      <c r="G54" s="11" t="inlineStr">
        <is>
          <t>VeryHigh</t>
        </is>
      </c>
      <c r="H54" s="9">
        <f>IF(OR(Local!F54="NA",ISBLANK(Local!F54)),FALSE,TRUE)</f>
        <v/>
      </c>
      <c r="I54" s="9" t="b">
        <v>0</v>
      </c>
      <c r="J54" s="9" t="n"/>
      <c r="K54" s="5" t="n">
        <v>120</v>
      </c>
      <c r="L54" s="5" t="n">
        <v>59</v>
      </c>
      <c r="M54" s="12" t="n">
        <v>120</v>
      </c>
      <c r="N54" s="9" t="b">
        <v>1</v>
      </c>
    </row>
    <row r="55" ht="61.5" customHeight="1">
      <c r="A55" s="9" t="n">
        <v>54</v>
      </c>
      <c r="B55" s="10">
        <f>_xludf.IMAGE("https://raw.githubusercontent.com/sshibinthomass/Rosary-Plant-House/master/assets/img/salePlants/"&amp;A55&amp;".jpg")</f>
        <v/>
      </c>
      <c r="C55" s="9">
        <f>Products!B55</f>
        <v/>
      </c>
      <c r="D55" s="9" t="inlineStr">
        <is>
          <t>Top</t>
        </is>
      </c>
      <c r="E55" s="11" t="n">
        <v>59</v>
      </c>
      <c r="F55" s="11" t="inlineStr">
        <is>
          <t>Low</t>
        </is>
      </c>
      <c r="G55" s="11" t="inlineStr">
        <is>
          <t>NotStarted</t>
        </is>
      </c>
      <c r="H55" s="9">
        <f>IF(OR(Local!F55="NA",ISBLANK(Local!F55)),FALSE,TRUE)</f>
        <v/>
      </c>
      <c r="I55" s="9" t="b">
        <v>0</v>
      </c>
      <c r="J55" s="9" t="n"/>
      <c r="K55" s="5" t="n">
        <v>79</v>
      </c>
      <c r="L55" s="5" t="n">
        <v>79</v>
      </c>
      <c r="M55" s="12" t="n">
        <v>79</v>
      </c>
      <c r="N55" s="9" t="b">
        <v>0</v>
      </c>
    </row>
    <row r="56" ht="61.5" customHeight="1">
      <c r="A56" s="9" t="n">
        <v>55</v>
      </c>
      <c r="B56" s="10">
        <f>_xludf.IMAGE("https://raw.githubusercontent.com/sshibinthomass/Rosary-Plant-House/master/assets/img/salePlants/"&amp;A56&amp;".jpg")</f>
        <v/>
      </c>
      <c r="C56" s="9">
        <f>Products!B56</f>
        <v/>
      </c>
      <c r="D56" s="9" t="inlineStr">
        <is>
          <t>Top</t>
        </is>
      </c>
      <c r="E56" s="11" t="n">
        <v>69</v>
      </c>
      <c r="F56" s="11" t="inlineStr">
        <is>
          <t>Available</t>
        </is>
      </c>
      <c r="G56" s="11" t="inlineStr">
        <is>
          <t>Medium</t>
        </is>
      </c>
      <c r="H56" s="9">
        <f>IF(OR(Local!F56="NA",ISBLANK(Local!F56)),FALSE,TRUE)</f>
        <v/>
      </c>
      <c r="I56" s="9" t="b">
        <v>1</v>
      </c>
      <c r="J56" s="9" t="n"/>
      <c r="K56" s="5" t="n">
        <v>59</v>
      </c>
      <c r="L56" s="5" t="n">
        <v>49</v>
      </c>
      <c r="M56" s="12" t="n">
        <v>79</v>
      </c>
      <c r="N56" s="9" t="b">
        <v>1</v>
      </c>
    </row>
    <row r="57" ht="61.5" customHeight="1">
      <c r="A57" s="9" t="n">
        <v>56</v>
      </c>
      <c r="B57" s="10">
        <f>_xludf.IMAGE("https://raw.githubusercontent.com/sshibinthomass/Rosary-Plant-House/master/assets/img/salePlants/"&amp;A57&amp;".jpg")</f>
        <v/>
      </c>
      <c r="C57" s="9">
        <f>Products!B57</f>
        <v/>
      </c>
      <c r="D57" s="9" t="inlineStr">
        <is>
          <t>Top</t>
        </is>
      </c>
      <c r="E57" s="11" t="n">
        <v>49</v>
      </c>
      <c r="F57" s="11" t="inlineStr">
        <is>
          <t>Available</t>
        </is>
      </c>
      <c r="G57" s="11" t="inlineStr">
        <is>
          <t>Medium</t>
        </is>
      </c>
      <c r="H57" s="9">
        <f>IF(OR(Local!F57="NA",ISBLANK(Local!F57)),FALSE,TRUE)</f>
        <v/>
      </c>
      <c r="I57" s="9" t="b">
        <v>0</v>
      </c>
      <c r="J57" s="9" t="n"/>
      <c r="K57" s="5" t="n">
        <v>49</v>
      </c>
      <c r="L57" s="5" t="n">
        <v>39</v>
      </c>
      <c r="M57" s="12" t="n">
        <v>69</v>
      </c>
      <c r="N57" s="9" t="b">
        <v>1</v>
      </c>
    </row>
    <row r="58" ht="61.5" customHeight="1">
      <c r="A58" s="9" t="n">
        <v>57</v>
      </c>
      <c r="B58" s="10">
        <f>_xludf.IMAGE("https://raw.githubusercontent.com/sshibinthomass/Rosary-Plant-House/master/assets/img/salePlants/"&amp;A58&amp;".jpg")</f>
        <v/>
      </c>
      <c r="C58" s="9">
        <f>Products!B58</f>
        <v/>
      </c>
      <c r="D58" s="9" t="inlineStr">
        <is>
          <t>Top</t>
        </is>
      </c>
      <c r="E58" s="11" t="n">
        <v>59</v>
      </c>
      <c r="F58" s="11" t="inlineStr">
        <is>
          <t>Low</t>
        </is>
      </c>
      <c r="G58" s="11" t="inlineStr">
        <is>
          <t>NotStarted</t>
        </is>
      </c>
      <c r="H58" s="9">
        <f>IF(OR(Local!F58="NA",ISBLANK(Local!F58)),FALSE,TRUE)</f>
        <v/>
      </c>
      <c r="I58" s="9" t="b">
        <v>0</v>
      </c>
      <c r="J58" s="9" t="n"/>
      <c r="K58" s="5" t="n">
        <v>99</v>
      </c>
      <c r="L58" s="5" t="n">
        <v>99</v>
      </c>
      <c r="M58" s="12" t="n">
        <v>99</v>
      </c>
      <c r="N58" s="9" t="b">
        <v>0</v>
      </c>
    </row>
    <row r="59" ht="61.5" customHeight="1">
      <c r="A59" s="9" t="n">
        <v>58</v>
      </c>
      <c r="B59" s="10">
        <f>_xludf.IMAGE("https://raw.githubusercontent.com/sshibinthomass/Rosary-Plant-House/master/assets/img/salePlants/"&amp;A59&amp;".jpg")</f>
        <v/>
      </c>
      <c r="C59" s="9">
        <f>Products!B59</f>
        <v/>
      </c>
      <c r="D59" s="9" t="inlineStr">
        <is>
          <t>Top</t>
        </is>
      </c>
      <c r="E59" s="11" t="n">
        <v>79</v>
      </c>
      <c r="F59" s="11" t="inlineStr">
        <is>
          <t>Low</t>
        </is>
      </c>
      <c r="G59" s="11" t="inlineStr">
        <is>
          <t>Medium</t>
        </is>
      </c>
      <c r="H59" s="9">
        <f>IF(OR(Local!F59="NA",ISBLANK(Local!F59)),FALSE,TRUE)</f>
        <v/>
      </c>
      <c r="I59" s="9" t="b">
        <v>0</v>
      </c>
      <c r="J59" s="9" t="n"/>
      <c r="K59" s="5" t="n">
        <v>99</v>
      </c>
      <c r="L59" s="5" t="n">
        <v>89</v>
      </c>
      <c r="M59" s="12" t="n">
        <v>99</v>
      </c>
      <c r="N59" s="9" t="b">
        <v>0</v>
      </c>
    </row>
    <row r="60" ht="61.5" customHeight="1">
      <c r="A60" s="9" t="n">
        <v>59</v>
      </c>
      <c r="B60" s="10">
        <f>_xludf.IMAGE("https://raw.githubusercontent.com/sshibinthomass/Rosary-Plant-House/master/assets/img/salePlants/"&amp;A60&amp;".jpg")</f>
        <v/>
      </c>
      <c r="C60" s="9">
        <f>Products!B60</f>
        <v/>
      </c>
      <c r="D60" s="9" t="inlineStr">
        <is>
          <t>Top</t>
        </is>
      </c>
      <c r="E60" s="11" t="n">
        <v>59</v>
      </c>
      <c r="F60" s="11" t="inlineStr">
        <is>
          <t>Low</t>
        </is>
      </c>
      <c r="G60" s="11" t="inlineStr">
        <is>
          <t>Medium</t>
        </is>
      </c>
      <c r="H60" s="9">
        <f>IF(OR(Local!F60="NA",ISBLANK(Local!F60)),FALSE,TRUE)</f>
        <v/>
      </c>
      <c r="I60" s="9" t="b">
        <v>0</v>
      </c>
      <c r="J60" s="9" t="n"/>
      <c r="K60" s="5" t="n">
        <v>69</v>
      </c>
      <c r="L60" s="5" t="n">
        <v>49</v>
      </c>
      <c r="M60" s="12" t="n">
        <v>69</v>
      </c>
      <c r="N60" s="9" t="b">
        <v>0</v>
      </c>
    </row>
    <row r="61" ht="61.5" customHeight="1">
      <c r="A61" s="9" t="n">
        <v>60</v>
      </c>
      <c r="B61" s="10">
        <f>_xludf.IMAGE("https://raw.githubusercontent.com/sshibinthomass/Rosary-Plant-House/master/assets/img/salePlants/"&amp;A61&amp;".jpg")</f>
        <v/>
      </c>
      <c r="C61" s="9">
        <f>Products!B61</f>
        <v/>
      </c>
      <c r="D61" s="9" t="inlineStr">
        <is>
          <t>Top</t>
        </is>
      </c>
      <c r="E61" s="11" t="n">
        <v>69</v>
      </c>
      <c r="F61" s="11" t="inlineStr">
        <is>
          <t>Available</t>
        </is>
      </c>
      <c r="G61" s="11" t="inlineStr">
        <is>
          <t>High</t>
        </is>
      </c>
      <c r="H61" s="9">
        <f>IF(OR(Local!F61="NA",ISBLANK(Local!F61)),FALSE,TRUE)</f>
        <v/>
      </c>
      <c r="I61" s="9" t="b">
        <v>0</v>
      </c>
      <c r="J61" s="9" t="n"/>
      <c r="K61" s="5" t="n">
        <v>59</v>
      </c>
      <c r="L61" s="5" t="n">
        <v>49</v>
      </c>
      <c r="M61" s="12" t="n">
        <v>69</v>
      </c>
      <c r="N61" s="9" t="b">
        <v>1</v>
      </c>
    </row>
    <row r="62" ht="61.5" customHeight="1">
      <c r="A62" s="9" t="n">
        <v>61</v>
      </c>
      <c r="B62" s="10">
        <f>_xludf.IMAGE("https://raw.githubusercontent.com/sshibinthomass/Rosary-Plant-House/master/assets/img/salePlants/"&amp;A62&amp;".jpg")</f>
        <v/>
      </c>
      <c r="C62" s="9">
        <f>Products!B62</f>
        <v/>
      </c>
      <c r="D62" s="9" t="inlineStr">
        <is>
          <t>Top</t>
        </is>
      </c>
      <c r="E62" s="11" t="n">
        <v>99</v>
      </c>
      <c r="F62" s="11" t="inlineStr">
        <is>
          <t>Low</t>
        </is>
      </c>
      <c r="G62" s="11" t="inlineStr">
        <is>
          <t>Low</t>
        </is>
      </c>
      <c r="H62" s="9">
        <f>IF(OR(Local!F62="NA",ISBLANK(Local!F62)),FALSE,TRUE)</f>
        <v/>
      </c>
      <c r="I62" s="9" t="b">
        <v>0</v>
      </c>
      <c r="J62" s="9" t="n"/>
      <c r="K62" s="5" t="n">
        <v>99</v>
      </c>
      <c r="L62" s="5" t="n">
        <v>99</v>
      </c>
      <c r="M62" s="12" t="n">
        <v>99</v>
      </c>
      <c r="N62" s="9" t="b">
        <v>0</v>
      </c>
    </row>
    <row r="63" ht="61.5" customHeight="1">
      <c r="A63" s="9" t="n">
        <v>62</v>
      </c>
      <c r="B63" s="10">
        <f>_xludf.IMAGE("https://raw.githubusercontent.com/sshibinthomass/Rosary-Plant-House/master/assets/img/salePlants/"&amp;A63&amp;".jpg")</f>
        <v/>
      </c>
      <c r="C63" s="9">
        <f>Products!B63</f>
        <v/>
      </c>
      <c r="D63" s="9" t="inlineStr">
        <is>
          <t>Top</t>
        </is>
      </c>
      <c r="E63" s="11" t="n">
        <v>49</v>
      </c>
      <c r="F63" s="11" t="inlineStr">
        <is>
          <t>Available</t>
        </is>
      </c>
      <c r="G63" s="11" t="inlineStr">
        <is>
          <t>Low</t>
        </is>
      </c>
      <c r="H63" s="9">
        <f>IF(OR(Local!F63="NA",ISBLANK(Local!F63)),FALSE,TRUE)</f>
        <v/>
      </c>
      <c r="I63" s="9" t="b">
        <v>0</v>
      </c>
      <c r="J63" s="9" t="n"/>
      <c r="K63" s="5" t="n">
        <v>79</v>
      </c>
      <c r="L63" s="5" t="n">
        <v>79</v>
      </c>
      <c r="M63" s="12" t="n">
        <v>79</v>
      </c>
      <c r="N63" s="9" t="b">
        <v>1</v>
      </c>
    </row>
    <row r="64" ht="61.5" customHeight="1">
      <c r="A64" s="9" t="n">
        <v>63</v>
      </c>
      <c r="B64" s="10">
        <f>_xludf.IMAGE("https://raw.githubusercontent.com/sshibinthomass/Rosary-Plant-House/master/assets/img/salePlants/"&amp;A64&amp;".jpg")</f>
        <v/>
      </c>
      <c r="C64" s="9">
        <f>Products!B64</f>
        <v/>
      </c>
      <c r="D64" s="9" t="inlineStr">
        <is>
          <t>Top</t>
        </is>
      </c>
      <c r="E64" s="11" t="n">
        <v>69</v>
      </c>
      <c r="F64" s="11" t="inlineStr">
        <is>
          <t>Low</t>
        </is>
      </c>
      <c r="G64" s="11" t="inlineStr">
        <is>
          <t>Low</t>
        </is>
      </c>
      <c r="H64" s="9">
        <f>IF(OR(Local!F64="NA",ISBLANK(Local!F64)),FALSE,TRUE)</f>
        <v/>
      </c>
      <c r="I64" s="9" t="b">
        <v>1</v>
      </c>
      <c r="J64" s="9" t="n"/>
      <c r="K64" s="5" t="n">
        <v>120</v>
      </c>
      <c r="L64" s="5" t="n">
        <v>79</v>
      </c>
      <c r="M64" s="12" t="n">
        <v>120</v>
      </c>
      <c r="N64" s="9" t="b">
        <v>1</v>
      </c>
    </row>
    <row r="65" ht="61.5" customHeight="1">
      <c r="A65" s="9" t="n">
        <v>64</v>
      </c>
      <c r="B65" s="10">
        <f>_xludf.IMAGE("https://raw.githubusercontent.com/sshibinthomass/Rosary-Plant-House/master/assets/img/salePlants/"&amp;A65&amp;".jpg")</f>
        <v/>
      </c>
      <c r="C65" s="9">
        <f>Products!B65</f>
        <v/>
      </c>
      <c r="D65" s="9" t="inlineStr">
        <is>
          <t>Top</t>
        </is>
      </c>
      <c r="E65" s="11" t="n">
        <v>100</v>
      </c>
      <c r="F65" s="11" t="inlineStr">
        <is>
          <t>NA</t>
        </is>
      </c>
      <c r="G65" s="11" t="inlineStr">
        <is>
          <t>NotStarted</t>
        </is>
      </c>
      <c r="H65" s="9">
        <f>IF(OR(Local!F65="NA",ISBLANK(Local!F65)),FALSE,TRUE)</f>
        <v/>
      </c>
      <c r="I65" s="9" t="b">
        <v>0</v>
      </c>
      <c r="J65" s="9" t="n"/>
      <c r="K65" s="5" t="n">
        <v>199</v>
      </c>
      <c r="L65" s="5" t="n">
        <v>199</v>
      </c>
      <c r="M65" s="12" t="n">
        <v>199</v>
      </c>
      <c r="N65" s="9" t="b">
        <v>0</v>
      </c>
    </row>
    <row r="66" ht="61.5" customHeight="1">
      <c r="A66" s="9" t="n">
        <v>65</v>
      </c>
      <c r="B66" s="10">
        <f>_xludf.IMAGE("https://raw.githubusercontent.com/sshibinthomass/Rosary-Plant-House/master/assets/img/salePlants/"&amp;A66&amp;".jpg")</f>
        <v/>
      </c>
      <c r="C66" s="9">
        <f>Products!B66</f>
        <v/>
      </c>
      <c r="D66" s="9" t="inlineStr">
        <is>
          <t>Top</t>
        </is>
      </c>
      <c r="E66" s="12" t="n">
        <v>99</v>
      </c>
      <c r="F66" s="11" t="inlineStr">
        <is>
          <t>Low</t>
        </is>
      </c>
      <c r="G66" s="11" t="inlineStr">
        <is>
          <t>Medium</t>
        </is>
      </c>
      <c r="H66" s="9">
        <f>IF(OR(Local!F66="NA",ISBLANK(Local!F66)),FALSE,TRUE)</f>
        <v/>
      </c>
      <c r="I66" s="9" t="b">
        <v>0</v>
      </c>
      <c r="J66" s="9" t="n"/>
      <c r="K66" s="5" t="n">
        <v>120</v>
      </c>
      <c r="L66" s="5" t="n">
        <v>99</v>
      </c>
      <c r="M66" s="12" t="n">
        <v>120</v>
      </c>
      <c r="N66" s="9" t="b">
        <v>0</v>
      </c>
    </row>
    <row r="67" ht="61.5" customHeight="1">
      <c r="A67" s="9" t="n">
        <v>66</v>
      </c>
      <c r="B67" s="10">
        <f>_xludf.IMAGE("https://raw.githubusercontent.com/sshibinthomass/Rosary-Plant-House/master/assets/img/salePlants/"&amp;A67&amp;".jpg")</f>
        <v/>
      </c>
      <c r="C67" s="9">
        <f>Products!B67</f>
        <v/>
      </c>
      <c r="D67" s="9" t="inlineStr">
        <is>
          <t>Top</t>
        </is>
      </c>
      <c r="E67" s="11" t="n">
        <v>49</v>
      </c>
      <c r="F67" s="11" t="inlineStr">
        <is>
          <t>Available</t>
        </is>
      </c>
      <c r="G67" s="11" t="inlineStr">
        <is>
          <t>Medium</t>
        </is>
      </c>
      <c r="H67" s="9">
        <f>IF(OR(Local!F67="NA",ISBLANK(Local!F67)),FALSE,TRUE)</f>
        <v/>
      </c>
      <c r="I67" s="9" t="b">
        <v>0</v>
      </c>
      <c r="J67" s="9" t="n"/>
      <c r="K67" s="5" t="n">
        <v>99</v>
      </c>
      <c r="L67" s="5" t="n">
        <v>79</v>
      </c>
      <c r="M67" s="12" t="n">
        <v>120</v>
      </c>
      <c r="N67" s="9" t="b">
        <v>1</v>
      </c>
    </row>
    <row r="68" ht="61.5" customHeight="1">
      <c r="A68" s="9" t="n">
        <v>67</v>
      </c>
      <c r="B68" s="10">
        <f>_xludf.IMAGE("https://raw.githubusercontent.com/sshibinthomass/Rosary-Plant-House/master/assets/img/salePlants/"&amp;A68&amp;".jpg")</f>
        <v/>
      </c>
      <c r="C68" s="9">
        <f>Products!B68</f>
        <v/>
      </c>
      <c r="D68" s="9" t="inlineStr">
        <is>
          <t>Top</t>
        </is>
      </c>
      <c r="E68" s="11" t="n">
        <v>59</v>
      </c>
      <c r="F68" s="11" t="inlineStr">
        <is>
          <t>Low</t>
        </is>
      </c>
      <c r="G68" s="11" t="inlineStr">
        <is>
          <t>High</t>
        </is>
      </c>
      <c r="H68" s="9">
        <f>IF(OR(Local!F68="NA",ISBLANK(Local!F68)),FALSE,TRUE)</f>
        <v/>
      </c>
      <c r="I68" s="9" t="b">
        <v>0</v>
      </c>
      <c r="J68" s="9" t="n"/>
      <c r="K68" s="5" t="n">
        <v>99</v>
      </c>
      <c r="L68" s="5" t="n">
        <v>59</v>
      </c>
      <c r="M68" s="12" t="n">
        <v>120</v>
      </c>
      <c r="N68" s="9" t="b">
        <v>1</v>
      </c>
    </row>
    <row r="69" ht="61.5" customHeight="1">
      <c r="A69" s="9" t="n">
        <v>68</v>
      </c>
      <c r="B69" s="10">
        <f>_xludf.IMAGE("https://raw.githubusercontent.com/sshibinthomass/Rosary-Plant-House/master/assets/img/salePlants/"&amp;A69&amp;".jpg")</f>
        <v/>
      </c>
      <c r="C69" s="9">
        <f>Products!B69</f>
        <v/>
      </c>
      <c r="D69" s="9" t="inlineStr">
        <is>
          <t>Top</t>
        </is>
      </c>
      <c r="E69" s="11" t="n">
        <v>59</v>
      </c>
      <c r="F69" s="11" t="inlineStr">
        <is>
          <t>Available</t>
        </is>
      </c>
      <c r="G69" s="11" t="inlineStr">
        <is>
          <t>High</t>
        </is>
      </c>
      <c r="H69" s="9">
        <f>IF(OR(Local!F69="NA",ISBLANK(Local!F69)),FALSE,TRUE)</f>
        <v/>
      </c>
      <c r="I69" s="9" t="b">
        <v>0</v>
      </c>
      <c r="J69" s="9" t="n"/>
      <c r="K69" s="5" t="n">
        <v>69</v>
      </c>
      <c r="L69" s="5" t="n">
        <v>49</v>
      </c>
      <c r="M69" s="12" t="n">
        <v>120</v>
      </c>
      <c r="N69" s="9" t="b">
        <v>1</v>
      </c>
    </row>
    <row r="70" ht="61.5" customHeight="1">
      <c r="A70" s="9" t="n">
        <v>69</v>
      </c>
      <c r="B70" s="10">
        <f>_xludf.IMAGE("https://raw.githubusercontent.com/sshibinthomass/Rosary-Plant-House/master/assets/img/salePlants/"&amp;A70&amp;".jpg")</f>
        <v/>
      </c>
      <c r="C70" s="9">
        <f>Products!B70</f>
        <v/>
      </c>
      <c r="D70" s="9" t="inlineStr">
        <is>
          <t>Top</t>
        </is>
      </c>
      <c r="E70" s="11" t="n">
        <v>59</v>
      </c>
      <c r="F70" s="11" t="inlineStr">
        <is>
          <t>Available</t>
        </is>
      </c>
      <c r="G70" s="11" t="inlineStr">
        <is>
          <t>VeryHigh</t>
        </is>
      </c>
      <c r="H70" s="9">
        <f>IF(OR(Local!F70="NA",ISBLANK(Local!F70)),FALSE,TRUE)</f>
        <v/>
      </c>
      <c r="I70" s="9" t="b">
        <v>1</v>
      </c>
      <c r="J70" s="9" t="n"/>
      <c r="K70" s="5" t="n">
        <v>120</v>
      </c>
      <c r="L70" s="5" t="n">
        <v>89</v>
      </c>
      <c r="M70" s="12" t="n">
        <v>120</v>
      </c>
      <c r="N70" s="9" t="b">
        <v>1</v>
      </c>
    </row>
    <row r="71" ht="61.5" customHeight="1">
      <c r="A71" s="9" t="n">
        <v>70</v>
      </c>
      <c r="B71" s="10">
        <f>_xludf.IMAGE("https://raw.githubusercontent.com/sshibinthomass/Rosary-Plant-House/master/assets/img/salePlants/"&amp;A71&amp;".jpg")</f>
        <v/>
      </c>
      <c r="C71" s="9">
        <f>Products!B71</f>
        <v/>
      </c>
      <c r="D71" s="9" t="inlineStr">
        <is>
          <t>Top</t>
        </is>
      </c>
      <c r="E71" s="11" t="n">
        <v>100</v>
      </c>
      <c r="F71" s="11" t="inlineStr">
        <is>
          <t>NA</t>
        </is>
      </c>
      <c r="G71" s="11" t="inlineStr">
        <is>
          <t>NotStarted</t>
        </is>
      </c>
      <c r="H71" s="9">
        <f>IF(OR(Local!F71="NA",ISBLANK(Local!F71)),FALSE,TRUE)</f>
        <v/>
      </c>
      <c r="I71" s="9" t="b">
        <v>0</v>
      </c>
      <c r="J71" s="9" t="n"/>
      <c r="K71" s="5" t="n">
        <v>149</v>
      </c>
      <c r="L71" s="5" t="n">
        <v>149</v>
      </c>
      <c r="M71" s="12" t="n">
        <v>149</v>
      </c>
      <c r="N71" s="9" t="b">
        <v>0</v>
      </c>
    </row>
    <row r="72" ht="61.5" customHeight="1">
      <c r="A72" s="9" t="n">
        <v>71</v>
      </c>
      <c r="B72" s="10">
        <f>_xludf.IMAGE("https://raw.githubusercontent.com/sshibinthomass/Rosary-Plant-House/master/assets/img/salePlants/"&amp;A72&amp;".jpg")</f>
        <v/>
      </c>
      <c r="C72" s="9">
        <f>Products!B72</f>
        <v/>
      </c>
      <c r="D72" s="9" t="inlineStr">
        <is>
          <t>Top</t>
        </is>
      </c>
      <c r="E72" s="11" t="n">
        <v>69</v>
      </c>
      <c r="F72" s="11" t="inlineStr">
        <is>
          <t>NA</t>
        </is>
      </c>
      <c r="G72" s="11" t="inlineStr">
        <is>
          <t>NotStarted</t>
        </is>
      </c>
      <c r="H72" s="9">
        <f>IF(OR(Local!F72="NA",ISBLANK(Local!F72)),FALSE,TRUE)</f>
        <v/>
      </c>
      <c r="I72" s="9" t="b">
        <v>0</v>
      </c>
      <c r="J72" s="9" t="n"/>
      <c r="K72" s="5" t="n">
        <v>120</v>
      </c>
      <c r="L72" s="5" t="n">
        <v>120</v>
      </c>
      <c r="M72" s="12" t="n">
        <v>120</v>
      </c>
      <c r="N72" s="9" t="b">
        <v>0</v>
      </c>
    </row>
    <row r="73" ht="61.5" customHeight="1">
      <c r="A73" s="9" t="n">
        <v>72</v>
      </c>
      <c r="B73" s="10">
        <f>_xludf.IMAGE("https://raw.githubusercontent.com/sshibinthomass/Rosary-Plant-House/master/assets/img/salePlants/"&amp;A73&amp;".jpg")</f>
        <v/>
      </c>
      <c r="C73" s="9">
        <f>Products!B73</f>
        <v/>
      </c>
      <c r="D73" s="9" t="inlineStr">
        <is>
          <t>Top</t>
        </is>
      </c>
      <c r="E73" s="11" t="n">
        <v>69</v>
      </c>
      <c r="F73" s="11" t="inlineStr">
        <is>
          <t>Low</t>
        </is>
      </c>
      <c r="G73" s="11" t="inlineStr">
        <is>
          <t>VeryHigh</t>
        </is>
      </c>
      <c r="H73" s="9">
        <f>IF(OR(Local!F73="NA",ISBLANK(Local!F73)),FALSE,TRUE)</f>
        <v/>
      </c>
      <c r="I73" s="9" t="b">
        <v>0</v>
      </c>
      <c r="J73" s="9" t="n"/>
      <c r="K73" s="5" t="n">
        <v>79</v>
      </c>
      <c r="L73" s="5" t="n">
        <v>49</v>
      </c>
      <c r="M73" s="12" t="n">
        <v>79</v>
      </c>
      <c r="N73" s="9" t="b">
        <v>0</v>
      </c>
    </row>
    <row r="74" ht="61.5" customHeight="1">
      <c r="A74" s="9" t="n">
        <v>73</v>
      </c>
      <c r="B74" s="10">
        <f>_xludf.IMAGE("https://raw.githubusercontent.com/sshibinthomass/Rosary-Plant-House/master/assets/img/salePlants/"&amp;A74&amp;".jpg")</f>
        <v/>
      </c>
      <c r="C74" s="9">
        <f>Products!B74</f>
        <v/>
      </c>
      <c r="D74" s="9" t="inlineStr">
        <is>
          <t>Top</t>
        </is>
      </c>
      <c r="E74" s="11" t="n">
        <v>69</v>
      </c>
      <c r="F74" s="11" t="inlineStr">
        <is>
          <t>Low</t>
        </is>
      </c>
      <c r="G74" s="11" t="inlineStr">
        <is>
          <t>NotStarted</t>
        </is>
      </c>
      <c r="H74" s="9">
        <f>IF(OR(Local!F74="NA",ISBLANK(Local!F74)),FALSE,TRUE)</f>
        <v/>
      </c>
      <c r="I74" s="9" t="b">
        <v>0</v>
      </c>
      <c r="J74" s="9" t="n"/>
      <c r="K74" s="5" t="n">
        <v>149</v>
      </c>
      <c r="L74" s="5" t="n">
        <v>149</v>
      </c>
      <c r="M74" s="12" t="n">
        <v>149</v>
      </c>
      <c r="N74" s="9" t="b">
        <v>0</v>
      </c>
    </row>
    <row r="75" ht="61.5" customHeight="1">
      <c r="A75" s="9" t="n">
        <v>74</v>
      </c>
      <c r="B75" s="10">
        <f>_xludf.IMAGE("https://raw.githubusercontent.com/sshibinthomass/Rosary-Plant-House/master/assets/img/salePlants/"&amp;A75&amp;".jpg")</f>
        <v/>
      </c>
      <c r="C75" s="9">
        <f>Products!B75</f>
        <v/>
      </c>
      <c r="D75" s="9" t="inlineStr">
        <is>
          <t>Top</t>
        </is>
      </c>
      <c r="E75" s="11" t="n">
        <v>49</v>
      </c>
      <c r="F75" s="11" t="inlineStr">
        <is>
          <t>Available</t>
        </is>
      </c>
      <c r="G75" s="11" t="inlineStr">
        <is>
          <t>NotStarted</t>
        </is>
      </c>
      <c r="H75" s="9">
        <f>IF(OR(Local!F75="NA",ISBLANK(Local!F75)),FALSE,TRUE)</f>
        <v/>
      </c>
      <c r="I75" s="9" t="b">
        <v>0</v>
      </c>
      <c r="J75" s="9" t="n"/>
      <c r="K75" s="5" t="n">
        <v>149</v>
      </c>
      <c r="L75" s="5" t="n">
        <v>149</v>
      </c>
      <c r="M75" s="12" t="n">
        <v>149</v>
      </c>
      <c r="N75" s="9" t="b">
        <v>0</v>
      </c>
    </row>
    <row r="76" ht="61.5" customHeight="1">
      <c r="A76" s="9" t="n">
        <v>75</v>
      </c>
      <c r="B76" s="10">
        <f>_xludf.IMAGE("https://raw.githubusercontent.com/sshibinthomass/Rosary-Plant-House/master/assets/img/salePlants/"&amp;A76&amp;".jpg")</f>
        <v/>
      </c>
      <c r="C76" s="9">
        <f>Products!B76</f>
        <v/>
      </c>
      <c r="D76" s="9" t="inlineStr">
        <is>
          <t>Top</t>
        </is>
      </c>
      <c r="E76" s="11" t="n">
        <v>79</v>
      </c>
      <c r="F76" s="11" t="inlineStr">
        <is>
          <t>NA</t>
        </is>
      </c>
      <c r="G76" s="11" t="inlineStr">
        <is>
          <t>High</t>
        </is>
      </c>
      <c r="H76" s="9">
        <f>IF(OR(Local!F76="NA",ISBLANK(Local!F76)),FALSE,TRUE)</f>
        <v/>
      </c>
      <c r="I76" s="9" t="b">
        <v>0</v>
      </c>
      <c r="J76" s="9" t="n"/>
      <c r="K76" s="5" t="n">
        <v>149</v>
      </c>
      <c r="L76" s="5" t="n">
        <v>149</v>
      </c>
      <c r="M76" s="12" t="n">
        <v>149</v>
      </c>
      <c r="N76" s="9" t="b">
        <v>0</v>
      </c>
    </row>
    <row r="77" ht="61.5" customHeight="1">
      <c r="A77" s="9" t="n">
        <v>76</v>
      </c>
      <c r="B77" s="10">
        <f>_xludf.IMAGE("https://raw.githubusercontent.com/sshibinthomass/Rosary-Plant-House/master/assets/img/salePlants/"&amp;A77&amp;".jpg")</f>
        <v/>
      </c>
      <c r="C77" s="9">
        <f>Products!B77</f>
        <v/>
      </c>
      <c r="D77" s="9" t="inlineStr">
        <is>
          <t>Top</t>
        </is>
      </c>
      <c r="E77" s="11" t="n">
        <v>59</v>
      </c>
      <c r="F77" s="11" t="inlineStr">
        <is>
          <t>Available</t>
        </is>
      </c>
      <c r="G77" s="11" t="inlineStr">
        <is>
          <t>High</t>
        </is>
      </c>
      <c r="H77" s="9">
        <f>IF(OR(Local!F77="NA",ISBLANK(Local!F77)),FALSE,TRUE)</f>
        <v/>
      </c>
      <c r="I77" s="9" t="b">
        <v>0</v>
      </c>
      <c r="J77" s="9" t="n"/>
      <c r="K77" s="5" t="n">
        <v>149</v>
      </c>
      <c r="L77" s="5" t="n">
        <v>99</v>
      </c>
      <c r="M77" s="12" t="n">
        <v>149</v>
      </c>
      <c r="N77" s="9" t="b">
        <v>1</v>
      </c>
    </row>
    <row r="78" ht="61.5" customHeight="1">
      <c r="A78" s="9" t="n">
        <v>77</v>
      </c>
      <c r="B78" s="10">
        <f>_xludf.IMAGE("https://raw.githubusercontent.com/sshibinthomass/Rosary-Plant-House/master/assets/img/salePlants/"&amp;A78&amp;".jpg")</f>
        <v/>
      </c>
      <c r="C78" s="9">
        <f>Products!B78</f>
        <v/>
      </c>
      <c r="D78" s="9" t="inlineStr">
        <is>
          <t>Top</t>
        </is>
      </c>
      <c r="E78" s="11" t="n">
        <v>69</v>
      </c>
      <c r="F78" s="11" t="inlineStr">
        <is>
          <t>Low</t>
        </is>
      </c>
      <c r="G78" s="11" t="inlineStr">
        <is>
          <t>Medium</t>
        </is>
      </c>
      <c r="H78" s="9">
        <f>IF(OR(Local!F78="NA",ISBLANK(Local!F78)),FALSE,TRUE)</f>
        <v/>
      </c>
      <c r="I78" s="9" t="b">
        <v>0</v>
      </c>
      <c r="J78" s="9" t="n"/>
      <c r="K78" s="5" t="n">
        <v>89</v>
      </c>
      <c r="L78" s="5" t="n">
        <v>89</v>
      </c>
      <c r="M78" s="12" t="n">
        <v>89</v>
      </c>
      <c r="N78" s="9" t="b">
        <v>0</v>
      </c>
    </row>
    <row r="79" ht="61.5" customHeight="1">
      <c r="A79" s="9" t="n">
        <v>78</v>
      </c>
      <c r="B79" s="10">
        <f>_xludf.IMAGE("https://raw.githubusercontent.com/sshibinthomass/Rosary-Plant-House/master/assets/img/salePlants/"&amp;A79&amp;".jpg")</f>
        <v/>
      </c>
      <c r="C79" s="9">
        <f>Products!B79</f>
        <v/>
      </c>
      <c r="D79" s="9" t="inlineStr">
        <is>
          <t>Top</t>
        </is>
      </c>
      <c r="E79" s="11" t="n">
        <v>69</v>
      </c>
      <c r="F79" s="11" t="inlineStr">
        <is>
          <t>Low</t>
        </is>
      </c>
      <c r="G79" s="11" t="inlineStr">
        <is>
          <t>NotStarted</t>
        </is>
      </c>
      <c r="H79" s="9">
        <f>IF(OR(Local!F79="NA",ISBLANK(Local!F79)),FALSE,TRUE)</f>
        <v/>
      </c>
      <c r="I79" s="9" t="b">
        <v>1</v>
      </c>
      <c r="J79" s="9" t="n"/>
      <c r="K79" s="5" t="n">
        <v>99</v>
      </c>
      <c r="L79" s="5" t="n">
        <v>89</v>
      </c>
      <c r="M79" s="12" t="n">
        <v>120</v>
      </c>
      <c r="N79" s="9" t="b">
        <v>0</v>
      </c>
    </row>
    <row r="80" ht="61.5" customHeight="1">
      <c r="A80" s="9" t="n">
        <v>79</v>
      </c>
      <c r="B80" s="10">
        <f>_xludf.IMAGE("https://raw.githubusercontent.com/sshibinthomass/Rosary-Plant-House/master/assets/img/salePlants/"&amp;A80&amp;".jpg")</f>
        <v/>
      </c>
      <c r="C80" s="9">
        <f>Products!B80</f>
        <v/>
      </c>
      <c r="D80" s="9" t="inlineStr">
        <is>
          <t>Top</t>
        </is>
      </c>
      <c r="E80" s="11" t="n">
        <v>79</v>
      </c>
      <c r="F80" s="11" t="inlineStr">
        <is>
          <t>Low</t>
        </is>
      </c>
      <c r="G80" s="11" t="inlineStr">
        <is>
          <t>NotStarted</t>
        </is>
      </c>
      <c r="H80" s="9">
        <f>IF(OR(Local!F80="NA",ISBLANK(Local!F80)),FALSE,TRUE)</f>
        <v/>
      </c>
      <c r="I80" s="9" t="b">
        <v>0</v>
      </c>
      <c r="J80" s="9" t="n"/>
      <c r="K80" s="5" t="n">
        <v>199</v>
      </c>
      <c r="L80" s="5" t="n">
        <v>199</v>
      </c>
      <c r="M80" s="12" t="n">
        <v>199</v>
      </c>
      <c r="N80" s="9" t="b">
        <v>0</v>
      </c>
    </row>
    <row r="81" ht="61.5" customHeight="1">
      <c r="A81" s="9" t="n">
        <v>80</v>
      </c>
      <c r="B81" s="10">
        <f>_xludf.IMAGE("https://raw.githubusercontent.com/sshibinthomass/Rosary-Plant-House/master/assets/img/salePlants/"&amp;A81&amp;".jpg")</f>
        <v/>
      </c>
      <c r="C81" s="9">
        <f>Products!B81</f>
        <v/>
      </c>
      <c r="D81" s="9" t="inlineStr">
        <is>
          <t>Top</t>
        </is>
      </c>
      <c r="E81" s="11" t="n">
        <v>59</v>
      </c>
      <c r="F81" s="11" t="inlineStr">
        <is>
          <t>NA</t>
        </is>
      </c>
      <c r="G81" s="11" t="inlineStr">
        <is>
          <t>High</t>
        </is>
      </c>
      <c r="H81" s="9">
        <f>IF(OR(Local!F81="NA",ISBLANK(Local!F81)),FALSE,TRUE)</f>
        <v/>
      </c>
      <c r="I81" s="9" t="b">
        <v>0</v>
      </c>
      <c r="J81" s="9" t="n"/>
      <c r="K81" s="5" t="n">
        <v>69</v>
      </c>
      <c r="L81" s="5" t="n">
        <v>69</v>
      </c>
      <c r="M81" s="12" t="n">
        <v>69</v>
      </c>
      <c r="N81" s="9" t="b">
        <v>0</v>
      </c>
    </row>
    <row r="82" ht="61.5" customHeight="1">
      <c r="A82" s="9" t="n">
        <v>81</v>
      </c>
      <c r="B82" s="10">
        <f>_xludf.IMAGE("https://raw.githubusercontent.com/sshibinthomass/Rosary-Plant-House/master/assets/img/salePlants/"&amp;A82&amp;".jpg")</f>
        <v/>
      </c>
      <c r="C82" s="9">
        <f>Products!B82</f>
        <v/>
      </c>
      <c r="D82" s="9" t="inlineStr">
        <is>
          <t>Top</t>
        </is>
      </c>
      <c r="E82" s="11" t="n">
        <v>39</v>
      </c>
      <c r="F82" s="13" t="inlineStr">
        <is>
          <t xml:space="preserve">Available </t>
        </is>
      </c>
      <c r="G82" s="11" t="inlineStr">
        <is>
          <t>High</t>
        </is>
      </c>
      <c r="H82" s="9">
        <f>IF(OR(Local!F81="NA",ISBLANK(Local!F81)),FALSE,TRUE)</f>
        <v/>
      </c>
      <c r="I82" s="9" t="b">
        <v>0</v>
      </c>
      <c r="J82" s="9" t="n"/>
      <c r="K82" s="5" t="n">
        <v>39</v>
      </c>
      <c r="L82" s="5" t="n">
        <v>25</v>
      </c>
      <c r="M82" s="12" t="n">
        <v>39</v>
      </c>
      <c r="N82" s="9" t="b">
        <v>0</v>
      </c>
    </row>
    <row r="83" ht="61.5" customHeight="1">
      <c r="A83" s="9" t="n">
        <v>82</v>
      </c>
      <c r="B83" s="10">
        <f>_xludf.IMAGE("https://raw.githubusercontent.com/sshibinthomass/Rosary-Plant-House/master/assets/img/salePlants/"&amp;A83&amp;".jpg")</f>
        <v/>
      </c>
      <c r="C83" s="9">
        <f>Products!B83</f>
        <v/>
      </c>
      <c r="D83" s="9" t="inlineStr">
        <is>
          <t>Top</t>
        </is>
      </c>
      <c r="E83" s="11" t="n">
        <v>49</v>
      </c>
      <c r="F83" s="11" t="inlineStr">
        <is>
          <t>Available</t>
        </is>
      </c>
      <c r="G83" s="11" t="inlineStr">
        <is>
          <t>Low</t>
        </is>
      </c>
      <c r="H83" s="9">
        <f>IF(OR(Local!F83="NA",ISBLANK(Local!F83)),FALSE,TRUE)</f>
        <v/>
      </c>
      <c r="I83" s="9" t="b">
        <v>0</v>
      </c>
      <c r="J83" s="9" t="n"/>
      <c r="K83" s="5" t="n">
        <v>39</v>
      </c>
      <c r="L83" s="5" t="n">
        <v>25</v>
      </c>
      <c r="M83" s="12" t="n">
        <v>39</v>
      </c>
      <c r="N83" s="9" t="b">
        <v>0</v>
      </c>
    </row>
    <row r="84" ht="61.5" customHeight="1">
      <c r="A84" s="9" t="n">
        <v>83</v>
      </c>
      <c r="B84" s="10">
        <f>_xludf.IMAGE("https://raw.githubusercontent.com/sshibinthomass/Rosary-Plant-House/master/assets/img/salePlants/"&amp;A84&amp;".jpg")</f>
        <v/>
      </c>
      <c r="C84" s="9">
        <f>Products!B84</f>
        <v/>
      </c>
      <c r="D84" s="9" t="inlineStr">
        <is>
          <t>Top</t>
        </is>
      </c>
      <c r="E84" s="11" t="n">
        <v>49</v>
      </c>
      <c r="F84" s="11" t="inlineStr">
        <is>
          <t>NA</t>
        </is>
      </c>
      <c r="G84" s="11" t="inlineStr">
        <is>
          <t>VeryHigh</t>
        </is>
      </c>
      <c r="H84" s="9">
        <f>IF(OR(Local!F84="NA",ISBLANK(Local!F84)),FALSE,TRUE)</f>
        <v/>
      </c>
      <c r="I84" s="9" t="b">
        <v>0</v>
      </c>
      <c r="J84" s="9" t="n"/>
      <c r="K84" s="5" t="n">
        <v>49</v>
      </c>
      <c r="L84" s="5" t="n">
        <v>49</v>
      </c>
      <c r="M84" s="12" t="n">
        <v>49</v>
      </c>
      <c r="N84" s="9" t="b">
        <v>0</v>
      </c>
    </row>
    <row r="85" ht="61.5" customHeight="1">
      <c r="A85" s="9" t="n">
        <v>84</v>
      </c>
      <c r="B85" s="10">
        <f>_xludf.IMAGE("https://raw.githubusercontent.com/sshibinthomass/Rosary-Plant-House/master/assets/img/salePlants/"&amp;A85&amp;".jpg")</f>
        <v/>
      </c>
      <c r="C85" s="9">
        <f>Products!B85</f>
        <v/>
      </c>
      <c r="D85" s="9" t="inlineStr">
        <is>
          <t>Top</t>
        </is>
      </c>
      <c r="E85" s="11" t="n">
        <v>69</v>
      </c>
      <c r="F85" s="11" t="inlineStr">
        <is>
          <t>Low</t>
        </is>
      </c>
      <c r="G85" s="11" t="inlineStr">
        <is>
          <t>Medium</t>
        </is>
      </c>
      <c r="H85" s="9">
        <f>IF(OR(Local!F85="NA",ISBLANK(Local!F85)),FALSE,TRUE)</f>
        <v/>
      </c>
      <c r="I85" s="9" t="b">
        <v>0</v>
      </c>
      <c r="J85" s="9" t="n"/>
      <c r="K85" s="5" t="n">
        <v>89</v>
      </c>
      <c r="L85" s="5" t="n">
        <v>49</v>
      </c>
      <c r="M85" s="12" t="n">
        <v>89</v>
      </c>
      <c r="N85" s="9" t="b">
        <v>0</v>
      </c>
    </row>
    <row r="86" ht="61.5" customHeight="1">
      <c r="A86" s="9" t="n">
        <v>85</v>
      </c>
      <c r="B86" s="10">
        <f>_xludf.IMAGE("https://raw.githubusercontent.com/sshibinthomass/Rosary-Plant-House/master/assets/img/salePlants/"&amp;A86&amp;".jpg")</f>
        <v/>
      </c>
      <c r="C86" s="9">
        <f>Products!B86</f>
        <v/>
      </c>
      <c r="D86" s="9" t="inlineStr">
        <is>
          <t>Top</t>
        </is>
      </c>
      <c r="E86" s="11" t="n">
        <v>59</v>
      </c>
      <c r="F86" s="11" t="inlineStr">
        <is>
          <t>Low</t>
        </is>
      </c>
      <c r="G86" s="11" t="inlineStr">
        <is>
          <t>High</t>
        </is>
      </c>
      <c r="H86" s="9">
        <f>IF(OR(Local!F86="NA",ISBLANK(Local!F86)),FALSE,TRUE)</f>
        <v/>
      </c>
      <c r="I86" s="9" t="b">
        <v>0</v>
      </c>
      <c r="J86" s="9" t="n"/>
      <c r="K86" s="5" t="n">
        <v>69</v>
      </c>
      <c r="L86" s="5" t="n">
        <v>69</v>
      </c>
      <c r="M86" s="12" t="n">
        <v>69</v>
      </c>
      <c r="N86" s="9" t="b">
        <v>0</v>
      </c>
    </row>
    <row r="87" ht="61.5" customHeight="1">
      <c r="A87" s="9" t="n">
        <v>86</v>
      </c>
      <c r="B87" s="10">
        <f>_xludf.IMAGE("https://raw.githubusercontent.com/sshibinthomass/Rosary-Plant-House/master/assets/img/salePlants/"&amp;A87&amp;".jpg")</f>
        <v/>
      </c>
      <c r="C87" s="9">
        <f>Products!B87</f>
        <v/>
      </c>
      <c r="D87" s="9" t="inlineStr">
        <is>
          <t>Top</t>
        </is>
      </c>
      <c r="E87" s="11" t="n">
        <v>59</v>
      </c>
      <c r="F87" s="11" t="inlineStr">
        <is>
          <t>Available</t>
        </is>
      </c>
      <c r="G87" s="11" t="inlineStr">
        <is>
          <t>Medium</t>
        </is>
      </c>
      <c r="H87" s="9">
        <f>IF(OR(Local!F87="NA",ISBLANK(Local!F87)),FALSE,TRUE)</f>
        <v/>
      </c>
      <c r="I87" s="9" t="b">
        <v>1</v>
      </c>
      <c r="J87" s="9" t="n"/>
      <c r="K87" s="5" t="n">
        <v>79</v>
      </c>
      <c r="L87" s="5" t="n">
        <v>59</v>
      </c>
      <c r="M87" s="12" t="n">
        <v>79</v>
      </c>
      <c r="N87" s="9" t="b">
        <v>1</v>
      </c>
    </row>
    <row r="88" ht="61.5" customHeight="1">
      <c r="A88" s="9" t="n">
        <v>87</v>
      </c>
      <c r="B88" s="10">
        <f>_xludf.IMAGE("https://raw.githubusercontent.com/sshibinthomass/Rosary-Plant-House/master/assets/img/salePlants/"&amp;A88&amp;".jpg")</f>
        <v/>
      </c>
      <c r="C88" s="9">
        <f>Products!B88</f>
        <v/>
      </c>
      <c r="D88" s="9" t="inlineStr">
        <is>
          <t>Top</t>
        </is>
      </c>
      <c r="E88" s="11" t="n">
        <v>59</v>
      </c>
      <c r="F88" s="11" t="inlineStr">
        <is>
          <t>Available</t>
        </is>
      </c>
      <c r="G88" s="11" t="inlineStr">
        <is>
          <t>High</t>
        </is>
      </c>
      <c r="H88" s="9">
        <f>IF(OR(Local!F88="NA",ISBLANK(Local!F88)),FALSE,TRUE)</f>
        <v/>
      </c>
      <c r="I88" s="9" t="b">
        <v>0</v>
      </c>
      <c r="J88" s="9" t="n"/>
      <c r="K88" s="5" t="n">
        <v>79</v>
      </c>
      <c r="L88" s="5" t="n">
        <v>59</v>
      </c>
      <c r="M88" s="12" t="n">
        <v>79</v>
      </c>
      <c r="N88" s="9" t="b">
        <v>1</v>
      </c>
    </row>
    <row r="89" ht="61.5" customHeight="1">
      <c r="A89" s="9" t="n">
        <v>88</v>
      </c>
      <c r="B89" s="10">
        <f>_xludf.IMAGE("https://raw.githubusercontent.com/sshibinthomass/Rosary-Plant-House/master/assets/img/salePlants/"&amp;A89&amp;".jpg")</f>
        <v/>
      </c>
      <c r="C89" s="9">
        <f>Products!B89</f>
        <v/>
      </c>
      <c r="D89" s="9" t="inlineStr">
        <is>
          <t>Top</t>
        </is>
      </c>
      <c r="E89" s="11" t="n">
        <v>59</v>
      </c>
      <c r="F89" s="11" t="inlineStr">
        <is>
          <t>Available</t>
        </is>
      </c>
      <c r="G89" s="11" t="inlineStr">
        <is>
          <t>VeryLow</t>
        </is>
      </c>
      <c r="H89" s="9">
        <f>IF(OR(Local!F89="NA",ISBLANK(Local!F89)),FALSE,TRUE)</f>
        <v/>
      </c>
      <c r="I89" s="9" t="b">
        <v>0</v>
      </c>
      <c r="J89" s="9" t="n"/>
      <c r="K89" s="5" t="n">
        <v>49</v>
      </c>
      <c r="L89" s="5" t="n">
        <v>49</v>
      </c>
      <c r="M89" s="12" t="n">
        <v>59</v>
      </c>
      <c r="N89" s="9" t="b">
        <v>1</v>
      </c>
    </row>
    <row r="90" ht="61.5" customHeight="1">
      <c r="A90" s="9" t="n">
        <v>89</v>
      </c>
      <c r="B90" s="10">
        <f>_xludf.IMAGE("https://raw.githubusercontent.com/sshibinthomass/Rosary-Plant-House/master/assets/img/salePlants/"&amp;A90&amp;".jpg")</f>
        <v/>
      </c>
      <c r="C90" s="9">
        <f>Products!B90</f>
        <v/>
      </c>
      <c r="D90" s="9" t="inlineStr">
        <is>
          <t>Top</t>
        </is>
      </c>
      <c r="E90" s="11" t="n">
        <v>59</v>
      </c>
      <c r="F90" s="11" t="inlineStr">
        <is>
          <t>Available</t>
        </is>
      </c>
      <c r="G90" s="11" t="inlineStr">
        <is>
          <t>High</t>
        </is>
      </c>
      <c r="H90" s="9">
        <f>IF(OR(Local!F90="NA",ISBLANK(Local!F90)),FALSE,TRUE)</f>
        <v/>
      </c>
      <c r="I90" s="9" t="b">
        <v>0</v>
      </c>
      <c r="J90" s="9" t="n"/>
      <c r="K90" s="5" t="n">
        <v>79</v>
      </c>
      <c r="L90" s="5" t="n">
        <v>59</v>
      </c>
      <c r="M90" s="12" t="n">
        <v>79</v>
      </c>
      <c r="N90" s="9" t="b">
        <v>1</v>
      </c>
    </row>
    <row r="91" ht="61.5" customHeight="1">
      <c r="A91" s="9" t="n">
        <v>90</v>
      </c>
      <c r="B91" s="10">
        <f>_xludf.IMAGE("https://raw.githubusercontent.com/sshibinthomass/Rosary-Plant-House/master/assets/img/salePlants/"&amp;A91&amp;".jpg")</f>
        <v/>
      </c>
      <c r="C91" s="9">
        <f>Products!B91</f>
        <v/>
      </c>
      <c r="D91" s="9" t="inlineStr">
        <is>
          <t>Top</t>
        </is>
      </c>
      <c r="E91" s="11" t="n">
        <v>79</v>
      </c>
      <c r="F91" s="11" t="inlineStr">
        <is>
          <t>Low</t>
        </is>
      </c>
      <c r="G91" s="11" t="inlineStr">
        <is>
          <t>High</t>
        </is>
      </c>
      <c r="H91" s="9">
        <f>IF(OR(Local!F91="NA",ISBLANK(Local!F91)),FALSE,TRUE)</f>
        <v/>
      </c>
      <c r="I91" s="9" t="b">
        <v>0</v>
      </c>
      <c r="J91" s="9" t="n"/>
      <c r="K91" s="5" t="n">
        <v>89</v>
      </c>
      <c r="L91" s="5" t="n">
        <v>89</v>
      </c>
      <c r="M91" s="12" t="n">
        <v>89</v>
      </c>
      <c r="N91" s="9" t="b">
        <v>0</v>
      </c>
    </row>
    <row r="92" ht="61.5" customHeight="1">
      <c r="A92" s="9" t="n">
        <v>91</v>
      </c>
      <c r="B92" s="10">
        <f>_xludf.IMAGE("https://raw.githubusercontent.com/sshibinthomass/Rosary-Plant-House/master/assets/img/salePlants/"&amp;A92&amp;".jpg")</f>
        <v/>
      </c>
      <c r="C92" s="9">
        <f>Products!B92</f>
        <v/>
      </c>
      <c r="D92" s="9" t="inlineStr">
        <is>
          <t>Top</t>
        </is>
      </c>
      <c r="E92" s="11" t="n">
        <v>59</v>
      </c>
      <c r="F92" s="11" t="inlineStr">
        <is>
          <t>Low</t>
        </is>
      </c>
      <c r="G92" s="11" t="inlineStr">
        <is>
          <t>Medium</t>
        </is>
      </c>
      <c r="H92" s="9">
        <f>IF(OR(Local!F92="NA",ISBLANK(Local!F92)),FALSE,TRUE)</f>
        <v/>
      </c>
      <c r="I92" s="9" t="b">
        <v>1</v>
      </c>
      <c r="J92" s="9" t="n"/>
      <c r="K92" s="5" t="n">
        <v>69</v>
      </c>
      <c r="L92" s="5" t="n">
        <v>69</v>
      </c>
      <c r="M92" s="12" t="n">
        <v>69</v>
      </c>
      <c r="N92" s="9" t="b">
        <v>0</v>
      </c>
    </row>
    <row r="93" ht="61.5" customHeight="1">
      <c r="A93" s="9" t="n">
        <v>92</v>
      </c>
      <c r="B93" s="10">
        <f>_xludf.IMAGE("https://raw.githubusercontent.com/sshibinthomass/Rosary-Plant-House/master/assets/img/salePlants/"&amp;A93&amp;".jpg")</f>
        <v/>
      </c>
      <c r="C93" s="9">
        <f>Products!B93</f>
        <v/>
      </c>
      <c r="D93" s="9" t="inlineStr">
        <is>
          <t>Top</t>
        </is>
      </c>
      <c r="E93" s="11" t="n">
        <v>69</v>
      </c>
      <c r="F93" s="11" t="inlineStr">
        <is>
          <t>Low</t>
        </is>
      </c>
      <c r="G93" s="11" t="inlineStr">
        <is>
          <t>Medium</t>
        </is>
      </c>
      <c r="H93" s="9">
        <f>IF(OR(Local!F93="NA",ISBLANK(Local!F93)),FALSE,TRUE)</f>
        <v/>
      </c>
      <c r="I93" s="9" t="b">
        <v>0</v>
      </c>
      <c r="J93" s="9" t="n"/>
      <c r="K93" s="5" t="n">
        <v>79</v>
      </c>
      <c r="L93" s="5" t="n">
        <v>69</v>
      </c>
      <c r="M93" s="12" t="n">
        <v>79</v>
      </c>
      <c r="N93" s="9" t="b">
        <v>1</v>
      </c>
    </row>
    <row r="94" ht="61.5" customHeight="1">
      <c r="A94" s="9" t="n">
        <v>93</v>
      </c>
      <c r="B94" s="10">
        <f>_xludf.IMAGE("https://raw.githubusercontent.com/sshibinthomass/Rosary-Plant-House/master/assets/img/salePlants/"&amp;A94&amp;".jpg")</f>
        <v/>
      </c>
      <c r="C94" s="9">
        <f>Products!B94</f>
        <v/>
      </c>
      <c r="D94" s="9" t="inlineStr">
        <is>
          <t>Top</t>
        </is>
      </c>
      <c r="E94" s="11" t="n">
        <v>39</v>
      </c>
      <c r="F94" s="11" t="inlineStr">
        <is>
          <t>Available</t>
        </is>
      </c>
      <c r="G94" s="11" t="inlineStr">
        <is>
          <t>Low</t>
        </is>
      </c>
      <c r="H94" s="9">
        <f>IF(OR(Local!F94="NA",ISBLANK(Local!F94)),FALSE,TRUE)</f>
        <v/>
      </c>
      <c r="I94" s="9" t="b">
        <v>0</v>
      </c>
      <c r="J94" s="9" t="n"/>
      <c r="K94" s="5" t="n">
        <v>39</v>
      </c>
      <c r="L94" s="5" t="n">
        <v>25</v>
      </c>
      <c r="M94" s="12" t="n">
        <v>39</v>
      </c>
      <c r="N94" s="9" t="b">
        <v>1</v>
      </c>
    </row>
    <row r="95" ht="61.5" customHeight="1">
      <c r="A95" s="9" t="n">
        <v>94</v>
      </c>
      <c r="B95" s="10">
        <f>_xludf.IMAGE("https://raw.githubusercontent.com/sshibinthomass/Rosary-Plant-House/master/assets/img/salePlants/"&amp;A95&amp;".jpg")</f>
        <v/>
      </c>
      <c r="C95" s="9">
        <f>Products!B95</f>
        <v/>
      </c>
      <c r="D95" s="9" t="inlineStr">
        <is>
          <t>Top</t>
        </is>
      </c>
      <c r="E95" s="11" t="n">
        <v>100</v>
      </c>
      <c r="F95" s="11" t="inlineStr">
        <is>
          <t>NA</t>
        </is>
      </c>
      <c r="G95" s="11" t="inlineStr">
        <is>
          <t>High</t>
        </is>
      </c>
      <c r="H95" s="9">
        <f>IF(OR(Local!F95="NA",ISBLANK(Local!F95)),FALSE,TRUE)</f>
        <v/>
      </c>
      <c r="I95" s="9" t="b">
        <v>0</v>
      </c>
      <c r="J95" s="9" t="n"/>
      <c r="K95" s="5" t="n">
        <v>89</v>
      </c>
      <c r="L95" s="5" t="n">
        <v>89</v>
      </c>
      <c r="M95" s="12" t="n">
        <v>89</v>
      </c>
      <c r="N95" s="9" t="b">
        <v>0</v>
      </c>
    </row>
    <row r="96" ht="61.5" customHeight="1">
      <c r="A96" s="9" t="n">
        <v>95</v>
      </c>
      <c r="B96" s="10">
        <f>_xludf.IMAGE("https://raw.githubusercontent.com/sshibinthomass/Rosary-Plant-House/master/assets/img/salePlants/"&amp;A96&amp;".jpg")</f>
        <v/>
      </c>
      <c r="C96" s="9">
        <f>Products!B96</f>
        <v/>
      </c>
      <c r="D96" s="9" t="inlineStr">
        <is>
          <t>Top</t>
        </is>
      </c>
      <c r="E96" s="14" t="n">
        <v>100</v>
      </c>
      <c r="F96" s="11" t="inlineStr">
        <is>
          <t>NA</t>
        </is>
      </c>
      <c r="G96" s="11" t="inlineStr">
        <is>
          <t>Medium</t>
        </is>
      </c>
      <c r="H96" s="9">
        <f>IF(OR(Local!F96="NA",ISBLANK(Local!F96)),FALSE,TRUE)</f>
        <v/>
      </c>
      <c r="I96" s="9" t="b">
        <v>0</v>
      </c>
      <c r="J96" s="9" t="n"/>
      <c r="K96" s="5" t="n">
        <v>49</v>
      </c>
      <c r="L96" s="5" t="n">
        <v>39</v>
      </c>
      <c r="M96" s="12" t="n">
        <v>49</v>
      </c>
      <c r="N96" s="9" t="b">
        <v>0</v>
      </c>
    </row>
    <row r="97" ht="61.5" customHeight="1">
      <c r="A97" s="9" t="n">
        <v>96</v>
      </c>
      <c r="B97" s="10">
        <f>_xludf.IMAGE("https://raw.githubusercontent.com/sshibinthomass/Rosary-Plant-House/master/assets/img/salePlants/"&amp;A97&amp;".jpg")</f>
        <v/>
      </c>
      <c r="C97" s="9">
        <f>Products!B97</f>
        <v/>
      </c>
      <c r="D97" s="9" t="inlineStr">
        <is>
          <t>Top</t>
        </is>
      </c>
      <c r="E97" s="11" t="n">
        <v>99</v>
      </c>
      <c r="F97" s="11" t="inlineStr">
        <is>
          <t>Low</t>
        </is>
      </c>
      <c r="G97" s="11" t="inlineStr">
        <is>
          <t>Medium</t>
        </is>
      </c>
      <c r="H97" s="9">
        <f>IF(OR(Local!F97="NA",ISBLANK(Local!F97)),FALSE,TRUE)</f>
        <v/>
      </c>
      <c r="I97" s="9" t="b">
        <v>0</v>
      </c>
      <c r="J97" s="9" t="n"/>
      <c r="K97" s="5" t="n">
        <v>99</v>
      </c>
      <c r="L97" s="5" t="n">
        <v>99</v>
      </c>
      <c r="M97" s="12" t="n">
        <v>99</v>
      </c>
      <c r="N97" s="9" t="b">
        <v>1</v>
      </c>
    </row>
    <row r="98" ht="61.5" customHeight="1">
      <c r="A98" s="9" t="n">
        <v>97</v>
      </c>
      <c r="B98" s="10">
        <f>_xludf.IMAGE("https://raw.githubusercontent.com/sshibinthomass/Rosary-Plant-House/master/assets/img/salePlants/"&amp;A98&amp;".jpg")</f>
        <v/>
      </c>
      <c r="C98" s="9">
        <f>Products!B98</f>
        <v/>
      </c>
      <c r="D98" s="9" t="inlineStr">
        <is>
          <t>Top</t>
        </is>
      </c>
      <c r="E98" s="14" t="n">
        <v>100</v>
      </c>
      <c r="F98" s="11" t="inlineStr">
        <is>
          <t>NA</t>
        </is>
      </c>
      <c r="G98" s="11" t="inlineStr">
        <is>
          <t>Medium</t>
        </is>
      </c>
      <c r="H98" s="9">
        <f>IF(OR(Local!F98="NA",ISBLANK(Local!F98)),FALSE,TRUE)</f>
        <v/>
      </c>
      <c r="I98" s="9" t="b">
        <v>0</v>
      </c>
      <c r="J98" s="9" t="n"/>
      <c r="K98" s="5" t="n">
        <v>99</v>
      </c>
      <c r="L98" s="5" t="n">
        <v>99</v>
      </c>
      <c r="M98" s="12" t="n">
        <v>99</v>
      </c>
      <c r="N98" s="9" t="b">
        <v>0</v>
      </c>
    </row>
    <row r="99" ht="61.5" customHeight="1">
      <c r="A99" s="9" t="n">
        <v>98</v>
      </c>
      <c r="B99" s="10">
        <f>_xludf.IMAGE("https://raw.githubusercontent.com/sshibinthomass/Rosary-Plant-House/master/assets/img/salePlants/"&amp;A99&amp;".jpg")</f>
        <v/>
      </c>
      <c r="C99" s="9">
        <f>Products!B99</f>
        <v/>
      </c>
      <c r="D99" s="9" t="inlineStr">
        <is>
          <t>Top</t>
        </is>
      </c>
      <c r="E99" s="14" t="n">
        <v>100</v>
      </c>
      <c r="F99" s="11" t="inlineStr">
        <is>
          <t>NA</t>
        </is>
      </c>
      <c r="G99" s="11" t="inlineStr">
        <is>
          <t>Low</t>
        </is>
      </c>
      <c r="H99" s="9">
        <f>IF(OR(Local!F99="NA",ISBLANK(Local!F99)),FALSE,TRUE)</f>
        <v/>
      </c>
      <c r="I99" s="9" t="b">
        <v>0</v>
      </c>
      <c r="J99" s="9" t="n"/>
      <c r="K99" s="5" t="n">
        <v>99</v>
      </c>
      <c r="L99" s="5" t="n">
        <v>99</v>
      </c>
      <c r="M99" s="12" t="n">
        <v>99</v>
      </c>
      <c r="N99" s="9" t="b">
        <v>0</v>
      </c>
    </row>
    <row r="100" ht="61.5" customHeight="1">
      <c r="A100" s="9" t="n">
        <v>99</v>
      </c>
      <c r="B100" s="10">
        <f>_xludf.IMAGE("https://raw.githubusercontent.com/sshibinthomass/Rosary-Plant-House/master/assets/img/salePlants/"&amp;A100&amp;".jpg")</f>
        <v/>
      </c>
      <c r="C100" s="9">
        <f>Products!B100</f>
        <v/>
      </c>
      <c r="D100" s="9" t="inlineStr">
        <is>
          <t>Top</t>
        </is>
      </c>
      <c r="E100" s="11" t="n">
        <v>69</v>
      </c>
      <c r="F100" s="11" t="inlineStr">
        <is>
          <t>Available</t>
        </is>
      </c>
      <c r="G100" s="11" t="inlineStr">
        <is>
          <t>VeryHigh</t>
        </is>
      </c>
      <c r="H100" s="9">
        <f>IF(OR(Local!F100="NA",ISBLANK(Local!F100)),FALSE,TRUE)</f>
        <v/>
      </c>
      <c r="I100" s="9" t="b">
        <v>0</v>
      </c>
      <c r="J100" s="9" t="n"/>
      <c r="K100" s="5" t="n">
        <v>69</v>
      </c>
      <c r="L100" s="5" t="n">
        <v>39</v>
      </c>
      <c r="M100" s="12" t="n">
        <v>69</v>
      </c>
      <c r="N100" s="9" t="b">
        <v>0</v>
      </c>
    </row>
    <row r="101" ht="61.5" customHeight="1">
      <c r="A101" s="9" t="n">
        <v>100</v>
      </c>
      <c r="B101" s="10">
        <f>_xludf.IMAGE("https://raw.githubusercontent.com/sshibinthomass/Rosary-Plant-House/master/assets/img/salePlants/"&amp;A101&amp;".jpg")</f>
        <v/>
      </c>
      <c r="C101" s="9">
        <f>Products!B101</f>
        <v/>
      </c>
      <c r="D101" s="9" t="inlineStr">
        <is>
          <t>Top</t>
        </is>
      </c>
      <c r="E101" s="11" t="n">
        <v>69</v>
      </c>
      <c r="F101" s="11" t="inlineStr">
        <is>
          <t>Low</t>
        </is>
      </c>
      <c r="G101" s="11" t="inlineStr">
        <is>
          <t>VeryHigh</t>
        </is>
      </c>
      <c r="H101" s="9">
        <f>IF(OR(Local!F101="NA",ISBLANK(Local!F101)),FALSE,TRUE)</f>
        <v/>
      </c>
      <c r="I101" s="9" t="b">
        <v>0</v>
      </c>
      <c r="J101" s="9" t="n"/>
      <c r="K101" s="5" t="n">
        <v>79</v>
      </c>
      <c r="L101" s="5" t="n">
        <v>49</v>
      </c>
      <c r="M101" s="12" t="n">
        <v>79</v>
      </c>
      <c r="N101" s="9" t="b">
        <v>0</v>
      </c>
    </row>
    <row r="102" ht="61.5" customHeight="1">
      <c r="A102" s="9" t="n">
        <v>101</v>
      </c>
      <c r="B102" s="10">
        <f>_xludf.IMAGE("https://raw.githubusercontent.com/sshibinthomass/Rosary-Plant-House/master/assets/img/salePlants/"&amp;A102&amp;".jpg")</f>
        <v/>
      </c>
      <c r="C102" s="9">
        <f>Products!B102</f>
        <v/>
      </c>
      <c r="D102" s="9" t="inlineStr">
        <is>
          <t>Top</t>
        </is>
      </c>
      <c r="E102" s="14" t="n">
        <v>100</v>
      </c>
      <c r="F102" s="11" t="inlineStr">
        <is>
          <t>NA</t>
        </is>
      </c>
      <c r="G102" s="11" t="inlineStr">
        <is>
          <t>High</t>
        </is>
      </c>
      <c r="H102" s="9">
        <f>IF(OR(Local!F102="NA",ISBLANK(Local!F102)),FALSE,TRUE)</f>
        <v/>
      </c>
      <c r="I102" s="9" t="b">
        <v>1</v>
      </c>
      <c r="J102" s="9" t="n"/>
      <c r="K102" s="5" t="n">
        <v>99</v>
      </c>
      <c r="L102" s="5" t="n">
        <v>99</v>
      </c>
      <c r="M102" s="12" t="n">
        <v>99</v>
      </c>
      <c r="N102" s="9" t="b">
        <v>0</v>
      </c>
    </row>
    <row r="103" ht="61.5" customHeight="1">
      <c r="A103" s="9" t="n">
        <v>102</v>
      </c>
      <c r="B103" s="10">
        <f>_xludf.IMAGE("https://raw.githubusercontent.com/sshibinthomass/Rosary-Plant-House/master/assets/img/salePlants/"&amp;A103&amp;".jpg")</f>
        <v/>
      </c>
      <c r="C103" s="9">
        <f>Products!B103</f>
        <v/>
      </c>
      <c r="D103" s="9" t="inlineStr">
        <is>
          <t>Top</t>
        </is>
      </c>
      <c r="E103" s="11" t="n">
        <v>99</v>
      </c>
      <c r="F103" s="11" t="inlineStr">
        <is>
          <t>Low</t>
        </is>
      </c>
      <c r="G103" s="11" t="inlineStr">
        <is>
          <t>High</t>
        </is>
      </c>
      <c r="H103" s="9">
        <f>IF(OR(Local!F103="NA",ISBLANK(Local!F103)),FALSE,TRUE)</f>
        <v/>
      </c>
      <c r="I103" s="9" t="b">
        <v>0</v>
      </c>
      <c r="J103" s="9" t="n"/>
      <c r="K103" s="5" t="n">
        <v>99</v>
      </c>
      <c r="L103" s="5" t="n">
        <v>99</v>
      </c>
      <c r="M103" s="12" t="n">
        <v>99</v>
      </c>
      <c r="N103" s="9" t="b">
        <v>0</v>
      </c>
    </row>
    <row r="104" ht="61.5" customHeight="1">
      <c r="A104" s="9" t="n">
        <v>103</v>
      </c>
      <c r="B104" s="10">
        <f>_xludf.IMAGE("https://raw.githubusercontent.com/sshibinthomass/Rosary-Plant-House/master/assets/img/salePlants/"&amp;A104&amp;".jpg")</f>
        <v/>
      </c>
      <c r="C104" s="9">
        <f>Products!B104</f>
        <v/>
      </c>
      <c r="D104" s="9" t="inlineStr">
        <is>
          <t>Top</t>
        </is>
      </c>
      <c r="E104" s="11" t="n">
        <v>69</v>
      </c>
      <c r="F104" s="11" t="inlineStr">
        <is>
          <t>Available</t>
        </is>
      </c>
      <c r="G104" s="11" t="inlineStr">
        <is>
          <t>VeryLow</t>
        </is>
      </c>
      <c r="H104" s="9">
        <f>IF(OR(Local!F104="NA",ISBLANK(Local!F104)),FALSE,TRUE)</f>
        <v/>
      </c>
      <c r="I104" s="9" t="b">
        <v>0</v>
      </c>
      <c r="J104" s="9" t="n"/>
      <c r="K104" s="5" t="n">
        <v>49</v>
      </c>
      <c r="L104" s="5" t="n">
        <v>49</v>
      </c>
      <c r="M104" s="12" t="n">
        <v>59</v>
      </c>
      <c r="N104" s="9" t="b">
        <v>1</v>
      </c>
    </row>
    <row r="105" ht="61.5" customHeight="1">
      <c r="A105" s="9" t="n">
        <v>104</v>
      </c>
      <c r="B105" s="10">
        <f>_xludf.IMAGE("https://raw.githubusercontent.com/sshibinthomass/Rosary-Plant-House/master/assets/img/salePlants/"&amp;A105&amp;".jpg")</f>
        <v/>
      </c>
      <c r="C105" s="9">
        <f>Products!B105</f>
        <v/>
      </c>
      <c r="D105" s="9" t="inlineStr">
        <is>
          <t>Top</t>
        </is>
      </c>
      <c r="E105" s="11" t="n">
        <v>69</v>
      </c>
      <c r="F105" s="11" t="inlineStr">
        <is>
          <t>Low</t>
        </is>
      </c>
      <c r="G105" s="11" t="inlineStr">
        <is>
          <t>Medium</t>
        </is>
      </c>
      <c r="H105" s="9">
        <f>IF(OR(Local!F105="NA",ISBLANK(Local!F105)),FALSE,TRUE)</f>
        <v/>
      </c>
      <c r="I105" s="9" t="b">
        <v>1</v>
      </c>
      <c r="J105" s="9" t="n"/>
      <c r="K105" s="5" t="n">
        <v>69</v>
      </c>
      <c r="L105" s="5" t="n">
        <v>49</v>
      </c>
      <c r="M105" s="12" t="n">
        <v>69</v>
      </c>
      <c r="N105" s="9" t="b">
        <v>1</v>
      </c>
    </row>
    <row r="106" ht="61.5" customHeight="1">
      <c r="A106" s="9" t="n">
        <v>105</v>
      </c>
      <c r="B106" s="10">
        <f>_xludf.IMAGE("https://raw.githubusercontent.com/sshibinthomass/Rosary-Plant-House/master/assets/img/salePlants/"&amp;A106&amp;".jpg")</f>
        <v/>
      </c>
      <c r="C106" s="9">
        <f>Products!B106</f>
        <v/>
      </c>
      <c r="D106" s="9" t="inlineStr">
        <is>
          <t>Top</t>
        </is>
      </c>
      <c r="E106" s="11" t="n">
        <v>39</v>
      </c>
      <c r="F106" s="11" t="inlineStr">
        <is>
          <t>Available</t>
        </is>
      </c>
      <c r="G106" s="11" t="inlineStr">
        <is>
          <t>High</t>
        </is>
      </c>
      <c r="H106" s="9">
        <f>IF(OR(Local!F106="NA",ISBLANK(Local!F106)),FALSE,TRUE)</f>
        <v/>
      </c>
      <c r="I106" s="9" t="b">
        <v>0</v>
      </c>
      <c r="J106" s="9" t="n"/>
      <c r="K106" s="5" t="n">
        <v>49</v>
      </c>
      <c r="L106" s="5" t="n">
        <v>25</v>
      </c>
      <c r="M106" s="12" t="n">
        <v>49</v>
      </c>
      <c r="N106" s="9" t="b">
        <v>1</v>
      </c>
    </row>
    <row r="107" ht="61.5" customHeight="1">
      <c r="A107" s="9" t="n">
        <v>106</v>
      </c>
      <c r="B107" s="10">
        <f>_xludf.IMAGE("https://raw.githubusercontent.com/sshibinthomass/Rosary-Plant-House/master/assets/img/salePlants/"&amp;A107&amp;".jpg")</f>
        <v/>
      </c>
      <c r="C107" s="9">
        <f>Products!B107</f>
        <v/>
      </c>
      <c r="D107" s="9" t="inlineStr">
        <is>
          <t>Top</t>
        </is>
      </c>
      <c r="E107" s="11" t="n">
        <v>49</v>
      </c>
      <c r="F107" s="11" t="inlineStr">
        <is>
          <t>Available</t>
        </is>
      </c>
      <c r="G107" s="11" t="inlineStr">
        <is>
          <t>Medium</t>
        </is>
      </c>
      <c r="H107" s="9">
        <f>IF(OR(Local!F107="NA",ISBLANK(Local!F107)),FALSE,TRUE)</f>
        <v/>
      </c>
      <c r="I107" s="9" t="b">
        <v>0</v>
      </c>
      <c r="J107" s="9" t="n"/>
      <c r="K107" s="5" t="n">
        <v>69</v>
      </c>
      <c r="L107" s="5" t="n">
        <v>39</v>
      </c>
      <c r="M107" s="12" t="n">
        <v>69</v>
      </c>
      <c r="N107" s="9" t="b">
        <v>1</v>
      </c>
    </row>
    <row r="108" ht="61.5" customHeight="1">
      <c r="A108" s="9" t="n">
        <v>107</v>
      </c>
      <c r="B108" s="10">
        <f>_xludf.IMAGE("https://raw.githubusercontent.com/sshibinthomass/Rosary-Plant-House/master/assets/img/salePlants/"&amp;A108&amp;".jpg")</f>
        <v/>
      </c>
      <c r="C108" s="9">
        <f>Products!B108</f>
        <v/>
      </c>
      <c r="D108" s="9" t="inlineStr">
        <is>
          <t>Top</t>
        </is>
      </c>
      <c r="E108" s="11" t="n">
        <v>69</v>
      </c>
      <c r="F108" s="11" t="inlineStr">
        <is>
          <t>Low</t>
        </is>
      </c>
      <c r="G108" s="11" t="inlineStr">
        <is>
          <t>Medium</t>
        </is>
      </c>
      <c r="H108" s="9">
        <f>IF(OR(Local!F108="NA",ISBLANK(Local!F108)),FALSE,TRUE)</f>
        <v/>
      </c>
      <c r="I108" s="9" t="b">
        <v>1</v>
      </c>
      <c r="J108" s="9" t="n"/>
      <c r="K108" s="5" t="n">
        <v>59</v>
      </c>
      <c r="L108" s="5" t="n">
        <v>59</v>
      </c>
      <c r="M108" s="12" t="n">
        <v>69</v>
      </c>
      <c r="N108" s="9" t="b">
        <v>1</v>
      </c>
    </row>
    <row r="109" ht="61.5" customHeight="1">
      <c r="A109" s="9" t="n">
        <v>108</v>
      </c>
      <c r="B109" s="10">
        <f>_xludf.IMAGE("https://raw.githubusercontent.com/sshibinthomass/Rosary-Plant-House/master/assets/img/salePlants/"&amp;A109&amp;".jpg")</f>
        <v/>
      </c>
      <c r="C109" s="9">
        <f>Products!B109</f>
        <v/>
      </c>
      <c r="D109" s="9" t="inlineStr">
        <is>
          <t>Top</t>
        </is>
      </c>
      <c r="E109" s="11" t="n">
        <v>49</v>
      </c>
      <c r="F109" s="11" t="inlineStr">
        <is>
          <t>Available</t>
        </is>
      </c>
      <c r="G109" s="11" t="inlineStr">
        <is>
          <t>High</t>
        </is>
      </c>
      <c r="H109" s="9">
        <f>IF(OR(Local!F109="NA",ISBLANK(Local!F109)),FALSE,TRUE)</f>
        <v/>
      </c>
      <c r="I109" s="9" t="b">
        <v>0</v>
      </c>
      <c r="J109" s="9" t="n"/>
      <c r="K109" s="5" t="n">
        <v>59</v>
      </c>
      <c r="L109" s="5" t="n">
        <v>39</v>
      </c>
      <c r="M109" s="12" t="n">
        <v>69</v>
      </c>
      <c r="N109" s="9" t="b">
        <v>1</v>
      </c>
    </row>
    <row r="110" ht="61.5" customHeight="1">
      <c r="A110" s="9" t="n">
        <v>109</v>
      </c>
      <c r="B110" s="10">
        <f>_xludf.IMAGE("https://raw.githubusercontent.com/sshibinthomass/Rosary-Plant-House/master/assets/img/salePlants/"&amp;A110&amp;".jpg")</f>
        <v/>
      </c>
      <c r="C110" s="9">
        <f>Products!B110</f>
        <v/>
      </c>
      <c r="D110" s="9" t="inlineStr">
        <is>
          <t>Top</t>
        </is>
      </c>
      <c r="E110" s="11" t="n">
        <v>69</v>
      </c>
      <c r="F110" s="11" t="inlineStr">
        <is>
          <t>Available</t>
        </is>
      </c>
      <c r="G110" s="11" t="inlineStr">
        <is>
          <t>High</t>
        </is>
      </c>
      <c r="H110" s="9">
        <f>IF(OR(Local!F110="NA",ISBLANK(Local!F110)),FALSE,TRUE)</f>
        <v/>
      </c>
      <c r="I110" s="9" t="b">
        <v>1</v>
      </c>
      <c r="J110" s="9" t="n"/>
      <c r="K110" s="5" t="n">
        <v>69</v>
      </c>
      <c r="L110" s="5" t="n">
        <v>39</v>
      </c>
      <c r="M110" s="12" t="n">
        <v>69</v>
      </c>
      <c r="N110" s="9" t="b">
        <v>1</v>
      </c>
    </row>
    <row r="111" ht="61.5" customHeight="1">
      <c r="A111" s="9" t="n">
        <v>110</v>
      </c>
      <c r="B111" s="10">
        <f>_xludf.IMAGE("https://raw.githubusercontent.com/sshibinthomass/Rosary-Plant-House/master/assets/img/salePlants/"&amp;A111&amp;".jpg")</f>
        <v/>
      </c>
      <c r="C111" s="9">
        <f>Products!B111</f>
        <v/>
      </c>
      <c r="D111" s="9" t="inlineStr">
        <is>
          <t>Top</t>
        </is>
      </c>
      <c r="E111" s="11" t="n">
        <v>69</v>
      </c>
      <c r="F111" s="11" t="inlineStr">
        <is>
          <t>Low</t>
        </is>
      </c>
      <c r="G111" s="11" t="inlineStr">
        <is>
          <t>VeryHigh</t>
        </is>
      </c>
      <c r="H111" s="9">
        <f>IF(OR(Local!F111="NA",ISBLANK(Local!F111)),FALSE,TRUE)</f>
        <v/>
      </c>
      <c r="I111" s="9" t="b">
        <v>0</v>
      </c>
      <c r="J111" s="9" t="n"/>
      <c r="K111" s="5" t="n">
        <v>89</v>
      </c>
      <c r="L111" s="5" t="n">
        <v>69</v>
      </c>
      <c r="M111" s="12" t="n">
        <v>89</v>
      </c>
      <c r="N111" s="9" t="b">
        <v>0</v>
      </c>
    </row>
    <row r="112" ht="61.5" customHeight="1">
      <c r="A112" s="9" t="n">
        <v>111</v>
      </c>
      <c r="B112" s="10">
        <f>_xludf.IMAGE("https://raw.githubusercontent.com/sshibinthomass/Rosary-Plant-House/master/assets/img/salePlants/"&amp;A112&amp;".jpg")</f>
        <v/>
      </c>
      <c r="C112" s="9">
        <f>Products!B112</f>
        <v/>
      </c>
      <c r="D112" s="9" t="inlineStr">
        <is>
          <t>Top</t>
        </is>
      </c>
      <c r="E112" s="12" t="n">
        <v>79</v>
      </c>
      <c r="F112" s="11" t="inlineStr">
        <is>
          <t>Low</t>
        </is>
      </c>
      <c r="G112" s="11" t="inlineStr">
        <is>
          <t>VeryHigh</t>
        </is>
      </c>
      <c r="H112" s="9">
        <f>IF(OR(Local!F112="NA",ISBLANK(Local!F112)),FALSE,TRUE)</f>
        <v/>
      </c>
      <c r="I112" s="9" t="b">
        <v>0</v>
      </c>
      <c r="J112" s="9" t="n"/>
      <c r="K112" s="5" t="n">
        <v>79</v>
      </c>
      <c r="L112" s="5" t="n">
        <v>79</v>
      </c>
      <c r="M112" s="12" t="n">
        <v>79</v>
      </c>
      <c r="N112" s="9" t="b">
        <v>0</v>
      </c>
    </row>
    <row r="113" ht="61.5" customHeight="1">
      <c r="A113" s="9" t="n">
        <v>112</v>
      </c>
      <c r="B113" s="10">
        <f>_xludf.IMAGE("https://raw.githubusercontent.com/sshibinthomass/Rosary-Plant-House/master/assets/img/salePlants/"&amp;A113&amp;".jpg")</f>
        <v/>
      </c>
      <c r="C113" s="9">
        <f>Products!B113</f>
        <v/>
      </c>
      <c r="D113" s="9" t="inlineStr">
        <is>
          <t>Down</t>
        </is>
      </c>
      <c r="E113" s="14" t="n">
        <v>100</v>
      </c>
      <c r="F113" s="11" t="inlineStr">
        <is>
          <t>NA</t>
        </is>
      </c>
      <c r="G113" s="11" t="inlineStr">
        <is>
          <t>Medium</t>
        </is>
      </c>
      <c r="H113" s="9">
        <f>IF(OR(Local!F113="NA",ISBLANK(Local!F113)),FALSE,TRUE)</f>
        <v/>
      </c>
      <c r="I113" s="9" t="b">
        <v>0</v>
      </c>
      <c r="J113" s="9" t="n"/>
      <c r="K113" s="5" t="n">
        <v>59</v>
      </c>
      <c r="L113" s="5" t="n">
        <v>69</v>
      </c>
      <c r="M113" s="12" t="n">
        <v>69</v>
      </c>
      <c r="N113" s="9" t="b">
        <v>0</v>
      </c>
    </row>
    <row r="114" ht="61.5" customHeight="1">
      <c r="A114" s="9" t="n">
        <v>113</v>
      </c>
      <c r="B114" s="10">
        <f>_xludf.IMAGE("https://raw.githubusercontent.com/sshibinthomass/Rosary-Plant-House/master/assets/img/salePlants/"&amp;A114&amp;".jpg")</f>
        <v/>
      </c>
      <c r="C114" s="9">
        <f>Products!B114</f>
        <v/>
      </c>
      <c r="D114" s="9" t="inlineStr">
        <is>
          <t>Top</t>
        </is>
      </c>
      <c r="E114" s="12" t="n">
        <v>89</v>
      </c>
      <c r="F114" s="11" t="inlineStr">
        <is>
          <t>Low</t>
        </is>
      </c>
      <c r="G114" s="11" t="inlineStr">
        <is>
          <t>Medium</t>
        </is>
      </c>
      <c r="H114" s="9">
        <f>IF(OR(Local!F114="NA",ISBLANK(Local!F114)),FALSE,TRUE)</f>
        <v/>
      </c>
      <c r="I114" s="9" t="b">
        <v>1</v>
      </c>
      <c r="J114" s="9" t="n"/>
      <c r="K114" s="5" t="n">
        <v>69</v>
      </c>
      <c r="L114" s="5" t="n">
        <v>59</v>
      </c>
      <c r="M114" s="12" t="n">
        <v>69</v>
      </c>
      <c r="N114" s="9" t="b">
        <v>1</v>
      </c>
    </row>
    <row r="115" ht="61.5" customHeight="1">
      <c r="A115" s="9" t="n">
        <v>114</v>
      </c>
      <c r="B115" s="10">
        <f>_xludf.IMAGE("https://raw.githubusercontent.com/sshibinthomass/Rosary-Plant-House/master/assets/img/salePlants/"&amp;A115&amp;".jpg")</f>
        <v/>
      </c>
      <c r="C115" s="9">
        <f>Products!B115</f>
        <v/>
      </c>
      <c r="D115" s="9" t="inlineStr">
        <is>
          <t>Top</t>
        </is>
      </c>
      <c r="E115" s="11" t="n">
        <v>59</v>
      </c>
      <c r="F115" s="11" t="inlineStr">
        <is>
          <t>Low</t>
        </is>
      </c>
      <c r="G115" s="11" t="inlineStr">
        <is>
          <t>Low</t>
        </is>
      </c>
      <c r="H115" s="9">
        <f>IF(OR(Local!F115="NA",ISBLANK(Local!F115)),FALSE,TRUE)</f>
        <v/>
      </c>
      <c r="I115" s="9" t="b">
        <v>1</v>
      </c>
      <c r="J115" s="9" t="n"/>
      <c r="K115" s="5" t="n">
        <v>69</v>
      </c>
      <c r="L115" s="5" t="n">
        <v>59</v>
      </c>
      <c r="M115" s="12" t="n">
        <v>69</v>
      </c>
      <c r="N115" s="9" t="b">
        <v>1</v>
      </c>
    </row>
    <row r="116" ht="61.5" customHeight="1">
      <c r="A116" s="9" t="n">
        <v>115</v>
      </c>
      <c r="B116" s="10">
        <f>_xludf.IMAGE("https://raw.githubusercontent.com/sshibinthomass/Rosary-Plant-House/master/assets/img/salePlants/"&amp;A116&amp;".jpg")</f>
        <v/>
      </c>
      <c r="C116" s="9">
        <f>Products!B116</f>
        <v/>
      </c>
      <c r="D116" s="9" t="inlineStr">
        <is>
          <t>Top</t>
        </is>
      </c>
      <c r="E116" s="11" t="n">
        <v>69</v>
      </c>
      <c r="F116" s="11" t="inlineStr">
        <is>
          <t>Low</t>
        </is>
      </c>
      <c r="G116" s="11" t="inlineStr">
        <is>
          <t>High</t>
        </is>
      </c>
      <c r="H116" s="9">
        <f>IF(OR(Local!F116="NA",ISBLANK(Local!F116)),FALSE,TRUE)</f>
        <v/>
      </c>
      <c r="I116" s="9" t="b">
        <v>0</v>
      </c>
      <c r="J116" s="9" t="n"/>
      <c r="K116" s="5" t="n">
        <v>79</v>
      </c>
      <c r="L116" s="5" t="n">
        <v>79</v>
      </c>
      <c r="M116" s="12" t="n">
        <v>79</v>
      </c>
      <c r="N116" s="9" t="b">
        <v>0</v>
      </c>
    </row>
    <row r="117" ht="61.5" customHeight="1">
      <c r="A117" s="9" t="n">
        <v>116</v>
      </c>
      <c r="B117" s="10">
        <f>_xludf.IMAGE("https://raw.githubusercontent.com/sshibinthomass/Rosary-Plant-House/master/assets/img/salePlants/"&amp;A117&amp;".jpg")</f>
        <v/>
      </c>
      <c r="C117" s="9">
        <f>Products!B117</f>
        <v/>
      </c>
      <c r="D117" s="9" t="inlineStr">
        <is>
          <t>Top</t>
        </is>
      </c>
      <c r="E117" s="11" t="n">
        <v>79</v>
      </c>
      <c r="F117" s="11" t="inlineStr">
        <is>
          <t>Low</t>
        </is>
      </c>
      <c r="G117" s="11" t="inlineStr">
        <is>
          <t>NotStarted</t>
        </is>
      </c>
      <c r="H117" s="9">
        <f>IF(OR(Local!F117="NA",ISBLANK(Local!F117)),FALSE,TRUE)</f>
        <v/>
      </c>
      <c r="I117" s="9" t="b">
        <v>1</v>
      </c>
      <c r="J117" s="9" t="n"/>
      <c r="K117" s="5" t="n">
        <v>69</v>
      </c>
      <c r="L117" s="5" t="n">
        <v>59</v>
      </c>
      <c r="M117" s="12" t="n">
        <v>69</v>
      </c>
      <c r="N117" s="9" t="b">
        <v>0</v>
      </c>
    </row>
    <row r="118" ht="61.5" customHeight="1">
      <c r="A118" s="9" t="n">
        <v>117</v>
      </c>
      <c r="B118" s="10">
        <f>_xludf.IMAGE("https://raw.githubusercontent.com/sshibinthomass/Rosary-Plant-House/master/assets/img/salePlants/"&amp;A118&amp;".jpg")</f>
        <v/>
      </c>
      <c r="C118" s="9">
        <f>Products!B118</f>
        <v/>
      </c>
      <c r="D118" s="9" t="inlineStr">
        <is>
          <t>Top</t>
        </is>
      </c>
      <c r="E118" s="11" t="n">
        <v>99</v>
      </c>
      <c r="F118" s="11" t="inlineStr">
        <is>
          <t>NA</t>
        </is>
      </c>
      <c r="G118" s="11" t="inlineStr">
        <is>
          <t>Medium</t>
        </is>
      </c>
      <c r="H118" s="9">
        <f>IF(OR(Local!F118="NA",ISBLANK(Local!F118)),FALSE,TRUE)</f>
        <v/>
      </c>
      <c r="I118" s="9" t="b">
        <v>0</v>
      </c>
      <c r="J118" s="9" t="n"/>
      <c r="K118" s="5" t="n">
        <v>69</v>
      </c>
      <c r="L118" s="5" t="n">
        <v>69</v>
      </c>
      <c r="M118" s="12" t="n">
        <v>69</v>
      </c>
      <c r="N118" s="9" t="b">
        <v>1</v>
      </c>
    </row>
    <row r="119" ht="61.5" customHeight="1">
      <c r="A119" s="9" t="n">
        <v>118</v>
      </c>
      <c r="B119" s="10">
        <f>_xludf.IMAGE("https://raw.githubusercontent.com/sshibinthomass/Rosary-Plant-House/master/assets/img/salePlants/"&amp;A119&amp;".jpg")</f>
        <v/>
      </c>
      <c r="C119" s="9">
        <f>Products!B119</f>
        <v/>
      </c>
      <c r="D119" s="9" t="inlineStr">
        <is>
          <t>Top</t>
        </is>
      </c>
      <c r="E119" s="14" t="n">
        <v>100</v>
      </c>
      <c r="F119" s="11" t="inlineStr">
        <is>
          <t>NA</t>
        </is>
      </c>
      <c r="G119" s="11" t="inlineStr">
        <is>
          <t>NotStarted</t>
        </is>
      </c>
      <c r="H119" s="9">
        <f>IF(OR(Local!F119="NA",ISBLANK(Local!F119)),FALSE,TRUE)</f>
        <v/>
      </c>
      <c r="I119" s="9" t="b">
        <v>0</v>
      </c>
      <c r="J119" s="9" t="n"/>
      <c r="K119" s="5" t="n">
        <v>99</v>
      </c>
      <c r="L119" s="5" t="n">
        <v>99</v>
      </c>
      <c r="M119" s="12" t="n">
        <v>99</v>
      </c>
      <c r="N119" s="9" t="b">
        <v>0</v>
      </c>
    </row>
    <row r="120" ht="61.5" customHeight="1">
      <c r="A120" s="9" t="n">
        <v>119</v>
      </c>
      <c r="B120" s="10">
        <f>_xludf.IMAGE("https://raw.githubusercontent.com/sshibinthomass/Rosary-Plant-House/master/assets/img/salePlants/"&amp;A120&amp;".jpg")</f>
        <v/>
      </c>
      <c r="C120" s="9">
        <f>Products!B120</f>
        <v/>
      </c>
      <c r="D120" s="9" t="inlineStr">
        <is>
          <t>Top</t>
        </is>
      </c>
      <c r="E120" s="11" t="n">
        <v>89</v>
      </c>
      <c r="F120" s="11" t="inlineStr">
        <is>
          <t>Low</t>
        </is>
      </c>
      <c r="G120" s="11" t="inlineStr">
        <is>
          <t>NotStarted</t>
        </is>
      </c>
      <c r="H120" s="9">
        <f>IF(OR(Local!F120="NA",ISBLANK(Local!F120)),FALSE,TRUE)</f>
        <v/>
      </c>
      <c r="I120" s="9" t="b">
        <v>0</v>
      </c>
      <c r="J120" s="9" t="n"/>
      <c r="K120" s="5" t="n">
        <v>149</v>
      </c>
      <c r="L120" s="5" t="n">
        <v>149</v>
      </c>
      <c r="M120" s="12" t="n">
        <v>149</v>
      </c>
      <c r="N120" s="9" t="b">
        <v>0</v>
      </c>
    </row>
    <row r="121" ht="61.5" customHeight="1">
      <c r="A121" s="9" t="n">
        <v>120</v>
      </c>
      <c r="B121" s="10">
        <f>_xludf.IMAGE("https://raw.githubusercontent.com/sshibinthomass/Rosary-Plant-House/master/assets/img/salePlants/"&amp;A121&amp;".jpg")</f>
        <v/>
      </c>
      <c r="C121" s="9">
        <f>Products!B121</f>
        <v/>
      </c>
      <c r="D121" s="9" t="inlineStr">
        <is>
          <t>Top</t>
        </is>
      </c>
      <c r="E121" s="11" t="n">
        <v>69</v>
      </c>
      <c r="F121" s="11" t="inlineStr">
        <is>
          <t>Available</t>
        </is>
      </c>
      <c r="G121" s="11" t="inlineStr">
        <is>
          <t>High</t>
        </is>
      </c>
      <c r="H121" s="9">
        <f>IF(OR(Local!F121="NA",ISBLANK(Local!F121)),FALSE,TRUE)</f>
        <v/>
      </c>
      <c r="I121" s="9" t="b">
        <v>1</v>
      </c>
      <c r="J121" s="9" t="n"/>
      <c r="K121" s="5" t="n">
        <v>69</v>
      </c>
      <c r="L121" s="5" t="n">
        <v>49</v>
      </c>
      <c r="M121" s="12" t="n">
        <v>69</v>
      </c>
      <c r="N121" s="9" t="b">
        <v>1</v>
      </c>
    </row>
    <row r="122" ht="61.5" customHeight="1">
      <c r="A122" s="9" t="n">
        <v>121</v>
      </c>
      <c r="B122" s="10">
        <f>_xludf.IMAGE("https://raw.githubusercontent.com/sshibinthomass/Rosary-Plant-House/master/assets/img/salePlants/"&amp;A122&amp;".jpg")</f>
        <v/>
      </c>
      <c r="C122" s="9">
        <f>Products!B122</f>
        <v/>
      </c>
      <c r="D122" s="9" t="inlineStr">
        <is>
          <t>Top</t>
        </is>
      </c>
      <c r="E122" s="11" t="n">
        <v>59</v>
      </c>
      <c r="F122" s="11" t="inlineStr">
        <is>
          <t>NA</t>
        </is>
      </c>
      <c r="G122" s="11" t="inlineStr">
        <is>
          <t>NotStarted</t>
        </is>
      </c>
      <c r="H122" s="9">
        <f>IF(OR(Local!F122="NA",ISBLANK(Local!F122)),FALSE,TRUE)</f>
        <v/>
      </c>
      <c r="I122" s="9" t="b">
        <v>0</v>
      </c>
      <c r="J122" s="9" t="n"/>
      <c r="K122" s="12" t="n">
        <v>99</v>
      </c>
      <c r="L122" s="12" t="n">
        <v>99</v>
      </c>
      <c r="M122" s="12" t="n">
        <v>99</v>
      </c>
      <c r="N122" s="9" t="b">
        <v>0</v>
      </c>
    </row>
    <row r="123" ht="61.5" customHeight="1">
      <c r="A123" s="9" t="n">
        <v>122</v>
      </c>
      <c r="B123" s="10">
        <f>_xludf.IMAGE("https://raw.githubusercontent.com/sshibinthomass/Rosary-Plant-House/master/assets/img/salePlants/"&amp;A123&amp;".jpg")</f>
        <v/>
      </c>
      <c r="C123" s="9">
        <f>Products!B123</f>
        <v/>
      </c>
      <c r="D123" s="9" t="inlineStr">
        <is>
          <t>Top</t>
        </is>
      </c>
      <c r="E123" s="11" t="n">
        <v>59</v>
      </c>
      <c r="F123" s="11" t="inlineStr">
        <is>
          <t>NA</t>
        </is>
      </c>
      <c r="G123" s="11" t="inlineStr">
        <is>
          <t>NotStarted</t>
        </is>
      </c>
      <c r="H123" s="9">
        <f>IF(OR(Local!F123="NA",ISBLANK(Local!F123)),FALSE,TRUE)</f>
        <v/>
      </c>
      <c r="I123" s="9" t="b">
        <v>0</v>
      </c>
      <c r="J123" s="9" t="n"/>
      <c r="K123" s="12" t="n">
        <v>99</v>
      </c>
      <c r="L123" s="12" t="n">
        <v>99</v>
      </c>
      <c r="M123" s="12" t="n">
        <v>99</v>
      </c>
      <c r="N123" s="9" t="b">
        <v>0</v>
      </c>
    </row>
    <row r="124" ht="61.5" customHeight="1">
      <c r="A124" s="9" t="n">
        <v>123</v>
      </c>
      <c r="B124" s="10">
        <f>_xludf.IMAGE("https://raw.githubusercontent.com/sshibinthomass/Rosary-Plant-House/master/assets/img/salePlants/"&amp;A124&amp;".jpg")</f>
        <v/>
      </c>
      <c r="C124" s="9">
        <f>Products!B124</f>
        <v/>
      </c>
      <c r="D124" s="9" t="inlineStr">
        <is>
          <t>Top</t>
        </is>
      </c>
      <c r="E124" s="11" t="n">
        <v>79</v>
      </c>
      <c r="F124" s="11" t="inlineStr">
        <is>
          <t>Low</t>
        </is>
      </c>
      <c r="G124" s="11" t="inlineStr">
        <is>
          <t>VeryHigh</t>
        </is>
      </c>
      <c r="H124" s="9">
        <f>IF(OR(Local!F124="NA",ISBLANK(Local!F124)),FALSE,TRUE)</f>
        <v/>
      </c>
      <c r="I124" s="9" t="b">
        <v>1</v>
      </c>
      <c r="J124" s="9" t="n"/>
      <c r="K124" s="5" t="n">
        <v>99</v>
      </c>
      <c r="L124" s="5" t="n">
        <v>59</v>
      </c>
      <c r="M124" s="12" t="n">
        <v>99</v>
      </c>
      <c r="N124" s="9" t="b">
        <v>0</v>
      </c>
    </row>
    <row r="125" ht="61.5" customHeight="1">
      <c r="A125" s="9" t="n">
        <v>124</v>
      </c>
      <c r="B125" s="10">
        <f>_xludf.IMAGE("https://raw.githubusercontent.com/sshibinthomass/Rosary-Plant-House/master/assets/img/salePlants/"&amp;A125&amp;".jpg")</f>
        <v/>
      </c>
      <c r="C125" s="9">
        <f>Products!B125</f>
        <v/>
      </c>
      <c r="D125" s="9" t="inlineStr">
        <is>
          <t>Top</t>
        </is>
      </c>
      <c r="E125" s="11" t="n">
        <v>49</v>
      </c>
      <c r="F125" s="11" t="inlineStr">
        <is>
          <t>Low</t>
        </is>
      </c>
      <c r="G125" s="11" t="inlineStr">
        <is>
          <t>VeryHigh</t>
        </is>
      </c>
      <c r="H125" s="9">
        <f>IF(OR(Local!F125="NA",ISBLANK(Local!F125)),FALSE,TRUE)</f>
        <v/>
      </c>
      <c r="I125" s="9" t="b">
        <v>0</v>
      </c>
      <c r="J125" s="9" t="n"/>
      <c r="K125" s="5" t="n">
        <v>59</v>
      </c>
      <c r="L125" s="5" t="n">
        <v>49</v>
      </c>
      <c r="M125" s="12" t="n">
        <v>59</v>
      </c>
      <c r="N125" s="9" t="b">
        <v>1</v>
      </c>
    </row>
    <row r="126" ht="61.5" customHeight="1">
      <c r="A126" s="9" t="n">
        <v>125</v>
      </c>
      <c r="B126" s="10">
        <f>_xludf.IMAGE("https://raw.githubusercontent.com/sshibinthomass/Rosary-Plant-House/master/assets/img/salePlants/"&amp;A126&amp;".jpg")</f>
        <v/>
      </c>
      <c r="C126" s="9">
        <f>Products!B126</f>
        <v/>
      </c>
      <c r="D126" s="9" t="inlineStr">
        <is>
          <t>Top</t>
        </is>
      </c>
      <c r="E126" s="11" t="n">
        <v>49</v>
      </c>
      <c r="F126" s="11" t="inlineStr">
        <is>
          <t>Available</t>
        </is>
      </c>
      <c r="G126" s="11" t="inlineStr">
        <is>
          <t>High</t>
        </is>
      </c>
      <c r="H126" s="9">
        <f>IF(OR(Local!F126="NA",ISBLANK(Local!F126)),FALSE,TRUE)</f>
        <v/>
      </c>
      <c r="I126" s="9" t="b">
        <v>0</v>
      </c>
      <c r="J126" s="9" t="n"/>
      <c r="K126" s="5" t="n">
        <v>49</v>
      </c>
      <c r="L126" s="5" t="n">
        <v>39</v>
      </c>
      <c r="M126" s="12" t="n">
        <v>59</v>
      </c>
      <c r="N126" s="9" t="b">
        <v>0</v>
      </c>
    </row>
    <row r="127" ht="61.5" customHeight="1">
      <c r="A127" s="9" t="n">
        <v>126</v>
      </c>
      <c r="B127" s="10">
        <f>_xludf.IMAGE("https://raw.githubusercontent.com/sshibinthomass/Rosary-Plant-House/master/assets/img/salePlants/"&amp;A127&amp;".jpg")</f>
        <v/>
      </c>
      <c r="C127" s="9">
        <f>Products!B127</f>
        <v/>
      </c>
      <c r="D127" s="9" t="inlineStr">
        <is>
          <t>Top</t>
        </is>
      </c>
      <c r="E127" s="11" t="n">
        <v>79</v>
      </c>
      <c r="F127" s="11" t="inlineStr">
        <is>
          <t>Low</t>
        </is>
      </c>
      <c r="G127" s="11" t="inlineStr">
        <is>
          <t>High</t>
        </is>
      </c>
      <c r="H127" s="9">
        <f>IF(OR(Local!F127="NA",ISBLANK(Local!F127)),FALSE,TRUE)</f>
        <v/>
      </c>
      <c r="I127" s="9" t="b">
        <v>1</v>
      </c>
      <c r="J127" s="9" t="n"/>
      <c r="K127" s="5" t="n">
        <v>99</v>
      </c>
      <c r="L127" s="5" t="n">
        <v>59</v>
      </c>
      <c r="M127" s="12" t="n">
        <v>99</v>
      </c>
      <c r="N127" s="9" t="b">
        <v>1</v>
      </c>
    </row>
    <row r="128" ht="61.5" customHeight="1">
      <c r="A128" s="9" t="n">
        <v>127</v>
      </c>
      <c r="B128" s="10">
        <f>_xludf.IMAGE("https://raw.githubusercontent.com/sshibinthomass/Rosary-Plant-House/master/assets/img/salePlants/"&amp;A128&amp;".jpg")</f>
        <v/>
      </c>
      <c r="C128" s="9">
        <f>Products!B128</f>
        <v/>
      </c>
      <c r="D128" s="9" t="inlineStr">
        <is>
          <t>Top</t>
        </is>
      </c>
      <c r="E128" s="11" t="n">
        <v>199</v>
      </c>
      <c r="F128" s="11" t="inlineStr">
        <is>
          <t>NA</t>
        </is>
      </c>
      <c r="G128" s="11" t="inlineStr">
        <is>
          <t>Medium</t>
        </is>
      </c>
      <c r="H128" s="9">
        <f>IF(OR(Local!F128="NA",ISBLANK(Local!F128)),FALSE,TRUE)</f>
        <v/>
      </c>
      <c r="I128" s="9" t="b">
        <v>0</v>
      </c>
      <c r="J128" s="9" t="n"/>
      <c r="K128" s="5" t="n">
        <v>69</v>
      </c>
      <c r="L128" s="5" t="n">
        <v>69</v>
      </c>
      <c r="M128" s="12" t="n">
        <v>69</v>
      </c>
      <c r="N128" s="9" t="b">
        <v>0</v>
      </c>
    </row>
    <row r="129" ht="61.5" customHeight="1">
      <c r="A129" s="9" t="n">
        <v>128</v>
      </c>
      <c r="B129" s="10">
        <f>_xludf.IMAGE("https://raw.githubusercontent.com/sshibinthomass/Rosary-Plant-House/master/assets/img/salePlants/"&amp;A129&amp;".jpg")</f>
        <v/>
      </c>
      <c r="C129" s="9">
        <f>Products!B129</f>
        <v/>
      </c>
      <c r="D129" s="9" t="inlineStr">
        <is>
          <t>Top</t>
        </is>
      </c>
      <c r="E129" s="11" t="n">
        <v>59</v>
      </c>
      <c r="F129" s="11" t="inlineStr">
        <is>
          <t>NA</t>
        </is>
      </c>
      <c r="G129" s="11" t="inlineStr">
        <is>
          <t>NotStarted</t>
        </is>
      </c>
      <c r="H129" s="9">
        <f>IF(OR(Local!F129="NA",ISBLANK(Local!F129)),FALSE,TRUE)</f>
        <v/>
      </c>
      <c r="I129" s="9" t="b">
        <v>0</v>
      </c>
      <c r="J129" s="9" t="n"/>
      <c r="K129" s="5" t="n">
        <v>99</v>
      </c>
      <c r="L129" s="5" t="n">
        <v>99</v>
      </c>
      <c r="M129" s="12" t="n">
        <v>99</v>
      </c>
      <c r="N129" s="9" t="b">
        <v>0</v>
      </c>
    </row>
    <row r="130" ht="61.5" customHeight="1">
      <c r="A130" s="9" t="n">
        <v>129</v>
      </c>
      <c r="B130" s="10">
        <f>_xludf.IMAGE("https://raw.githubusercontent.com/sshibinthomass/Rosary-Plant-House/master/assets/img/salePlants/"&amp;A130&amp;".jpg")</f>
        <v/>
      </c>
      <c r="C130" s="9">
        <f>Products!B130</f>
        <v/>
      </c>
      <c r="D130" s="9" t="inlineStr">
        <is>
          <t>Top</t>
        </is>
      </c>
      <c r="E130" s="11" t="n">
        <v>79</v>
      </c>
      <c r="F130" s="11" t="inlineStr">
        <is>
          <t>NA</t>
        </is>
      </c>
      <c r="G130" s="11" t="inlineStr">
        <is>
          <t>High</t>
        </is>
      </c>
      <c r="H130" s="9">
        <f>IF(OR(Local!F130="NA",ISBLANK(Local!F130)),FALSE,TRUE)</f>
        <v/>
      </c>
      <c r="I130" s="9" t="b">
        <v>0</v>
      </c>
      <c r="J130" s="9" t="n"/>
      <c r="K130" s="5" t="n">
        <v>59</v>
      </c>
      <c r="L130" s="5" t="n">
        <v>49</v>
      </c>
      <c r="M130" s="12" t="n">
        <v>69</v>
      </c>
      <c r="N130" s="9" t="b">
        <v>1</v>
      </c>
    </row>
    <row r="131" ht="61.5" customHeight="1">
      <c r="A131" s="9" t="n">
        <v>130</v>
      </c>
      <c r="B131" s="10">
        <f>_xludf.IMAGE("https://raw.githubusercontent.com/sshibinthomass/Rosary-Plant-House/master/assets/img/salePlants/"&amp;A131&amp;".jpg")</f>
        <v/>
      </c>
      <c r="C131" s="9">
        <f>Products!B131</f>
        <v/>
      </c>
      <c r="D131" s="9" t="inlineStr">
        <is>
          <t>Top</t>
        </is>
      </c>
      <c r="E131" s="11" t="n">
        <v>99</v>
      </c>
      <c r="F131" s="11" t="inlineStr">
        <is>
          <t>NA</t>
        </is>
      </c>
      <c r="G131" s="11" t="inlineStr">
        <is>
          <t>High</t>
        </is>
      </c>
      <c r="H131" s="9">
        <f>IF(OR(Local!F131="NA",ISBLANK(Local!F131)),FALSE,TRUE)</f>
        <v/>
      </c>
      <c r="I131" s="9" t="b">
        <v>1</v>
      </c>
      <c r="J131" s="9" t="n"/>
      <c r="K131" s="5" t="n">
        <v>79</v>
      </c>
      <c r="L131" s="5" t="n">
        <v>49</v>
      </c>
      <c r="M131" s="12" t="n">
        <v>79</v>
      </c>
      <c r="N131" s="9" t="b">
        <v>1</v>
      </c>
    </row>
    <row r="132" ht="61.5" customHeight="1">
      <c r="A132" s="9" t="n">
        <v>131</v>
      </c>
      <c r="B132" s="10">
        <f>_xludf.IMAGE("https://raw.githubusercontent.com/sshibinthomass/Rosary-Plant-House/master/assets/img/salePlants/"&amp;A132&amp;".jpg")</f>
        <v/>
      </c>
      <c r="C132" s="9">
        <f>Products!B132</f>
        <v/>
      </c>
      <c r="D132" s="9" t="inlineStr">
        <is>
          <t>Top</t>
        </is>
      </c>
      <c r="E132" s="11" t="n">
        <v>99</v>
      </c>
      <c r="F132" s="11" t="inlineStr">
        <is>
          <t>NA</t>
        </is>
      </c>
      <c r="G132" s="11" t="inlineStr">
        <is>
          <t>Low</t>
        </is>
      </c>
      <c r="H132" s="9">
        <f>IF(OR(Local!F132="NA",ISBLANK(Local!F132)),FALSE,TRUE)</f>
        <v/>
      </c>
      <c r="I132" s="9" t="b">
        <v>1</v>
      </c>
      <c r="J132" s="9" t="n"/>
      <c r="K132" s="5" t="n">
        <v>59</v>
      </c>
      <c r="L132" s="5" t="n">
        <v>49</v>
      </c>
      <c r="M132" s="12" t="n">
        <v>69</v>
      </c>
      <c r="N132" s="9" t="b">
        <v>1</v>
      </c>
    </row>
    <row r="133" ht="61.5" customHeight="1">
      <c r="A133" s="9" t="n">
        <v>132</v>
      </c>
      <c r="B133" s="10">
        <f>_xludf.IMAGE("https://raw.githubusercontent.com/sshibinthomass/Rosary-Plant-House/master/assets/img/salePlants/"&amp;A133&amp;".jpg")</f>
        <v/>
      </c>
      <c r="C133" s="9">
        <f>Products!B133</f>
        <v/>
      </c>
      <c r="D133" s="9" t="inlineStr">
        <is>
          <t>Top</t>
        </is>
      </c>
      <c r="E133" s="11" t="n">
        <v>79</v>
      </c>
      <c r="F133" s="11" t="inlineStr">
        <is>
          <t>Low</t>
        </is>
      </c>
      <c r="G133" s="11" t="inlineStr">
        <is>
          <t>Low</t>
        </is>
      </c>
      <c r="H133" s="9">
        <f>IF(OR(Local!F133="NA",ISBLANK(Local!F133)),FALSE,TRUE)</f>
        <v/>
      </c>
      <c r="I133" s="9" t="b">
        <v>0</v>
      </c>
      <c r="J133" s="9" t="n"/>
      <c r="K133" s="5" t="n">
        <v>49</v>
      </c>
      <c r="L133" s="5" t="n">
        <v>49</v>
      </c>
      <c r="M133" s="12" t="n">
        <v>49</v>
      </c>
      <c r="N133" s="9" t="b">
        <v>1</v>
      </c>
    </row>
    <row r="134" ht="61.5" customHeight="1">
      <c r="A134" s="9" t="n">
        <v>133</v>
      </c>
      <c r="B134" s="10">
        <f>_xludf.IMAGE("https://raw.githubusercontent.com/sshibinthomass/Rosary-Plant-House/master/assets/img/salePlants/"&amp;A134&amp;".jpg")</f>
        <v/>
      </c>
      <c r="C134" s="9">
        <f>Products!B134</f>
        <v/>
      </c>
      <c r="D134" s="9" t="inlineStr">
        <is>
          <t>Top</t>
        </is>
      </c>
      <c r="E134" s="11" t="n">
        <v>99</v>
      </c>
      <c r="F134" s="11" t="inlineStr">
        <is>
          <t>NA</t>
        </is>
      </c>
      <c r="G134" s="11" t="inlineStr">
        <is>
          <t>Medium</t>
        </is>
      </c>
      <c r="H134" s="9">
        <f>IF(OR(Local!F134="NA",ISBLANK(Local!F134)),FALSE,TRUE)</f>
        <v/>
      </c>
      <c r="I134" s="9" t="b">
        <v>1</v>
      </c>
      <c r="J134" s="9" t="n"/>
      <c r="K134" s="5" t="n">
        <v>69</v>
      </c>
      <c r="L134" s="5" t="n">
        <v>39</v>
      </c>
      <c r="M134" s="12" t="n">
        <v>69</v>
      </c>
      <c r="N134" s="9" t="b">
        <v>1</v>
      </c>
    </row>
    <row r="135" ht="61.5" customHeight="1">
      <c r="A135" s="9" t="n">
        <v>134</v>
      </c>
      <c r="B135" s="10">
        <f>_xludf.IMAGE("https://raw.githubusercontent.com/sshibinthomass/Rosary-Plant-House/master/assets/img/salePlants/"&amp;A135&amp;".jpg")</f>
        <v/>
      </c>
      <c r="C135" s="9">
        <f>Products!B135</f>
        <v/>
      </c>
      <c r="D135" s="9" t="inlineStr">
        <is>
          <t>Top</t>
        </is>
      </c>
      <c r="E135" s="11" t="n">
        <v>69</v>
      </c>
      <c r="F135" s="11" t="inlineStr">
        <is>
          <t>Available</t>
        </is>
      </c>
      <c r="G135" s="11" t="inlineStr">
        <is>
          <t>Medium</t>
        </is>
      </c>
      <c r="H135" s="9">
        <f>IF(OR(Local!F135="NA",ISBLANK(Local!F135)),FALSE,TRUE)</f>
        <v/>
      </c>
      <c r="I135" s="9" t="b">
        <v>0</v>
      </c>
      <c r="J135" s="9" t="n"/>
      <c r="K135" s="5" t="n">
        <v>69</v>
      </c>
      <c r="L135" s="5" t="n">
        <v>49</v>
      </c>
      <c r="M135" s="12" t="n">
        <v>69</v>
      </c>
      <c r="N135" s="9" t="b">
        <v>1</v>
      </c>
    </row>
    <row r="136" ht="61.5" customHeight="1">
      <c r="A136" s="9" t="n">
        <v>135</v>
      </c>
      <c r="B136" s="10">
        <f>_xludf.IMAGE("https://raw.githubusercontent.com/sshibinthomass/Rosary-Plant-House/master/assets/img/salePlants/"&amp;A136&amp;".jpg")</f>
        <v/>
      </c>
      <c r="C136" s="9">
        <f>Products!B136</f>
        <v/>
      </c>
      <c r="D136" s="9" t="inlineStr">
        <is>
          <t>Top</t>
        </is>
      </c>
      <c r="E136" s="11" t="n">
        <v>69</v>
      </c>
      <c r="F136" s="11" t="inlineStr">
        <is>
          <t>NA</t>
        </is>
      </c>
      <c r="G136" s="11" t="inlineStr">
        <is>
          <t>Medium</t>
        </is>
      </c>
      <c r="H136" s="9">
        <f>IF(OR(Local!F136="NA",ISBLANK(Local!F136)),FALSE,TRUE)</f>
        <v/>
      </c>
      <c r="I136" s="9" t="b">
        <v>0</v>
      </c>
      <c r="J136" s="9" t="n"/>
      <c r="K136" s="5" t="n">
        <v>69</v>
      </c>
      <c r="L136" s="5" t="n">
        <v>49</v>
      </c>
      <c r="M136" s="12" t="n">
        <v>69</v>
      </c>
      <c r="N136" s="9" t="b">
        <v>1</v>
      </c>
    </row>
    <row r="137" ht="61.5" customHeight="1">
      <c r="A137" s="9" t="n">
        <v>136</v>
      </c>
      <c r="B137" s="10">
        <f>_xludf.IMAGE("https://raw.githubusercontent.com/sshibinthomass/Rosary-Plant-House/master/assets/img/salePlants/"&amp;A137&amp;".jpg")</f>
        <v/>
      </c>
      <c r="C137" s="9">
        <f>Products!B137</f>
        <v/>
      </c>
      <c r="D137" s="9" t="inlineStr">
        <is>
          <t>Top</t>
        </is>
      </c>
      <c r="E137" s="11" t="n">
        <v>59</v>
      </c>
      <c r="F137" s="11" t="inlineStr">
        <is>
          <t>NA</t>
        </is>
      </c>
      <c r="G137" s="11" t="inlineStr">
        <is>
          <t>Medium</t>
        </is>
      </c>
      <c r="H137" s="9">
        <f>IF(OR(Local!F137="NA",ISBLANK(Local!F137)),FALSE,TRUE)</f>
        <v/>
      </c>
      <c r="I137" s="9" t="b">
        <v>0</v>
      </c>
      <c r="J137" s="9" t="n"/>
      <c r="K137" s="5" t="n">
        <v>79</v>
      </c>
      <c r="L137" s="5" t="n">
        <v>79</v>
      </c>
      <c r="M137" s="12" t="n">
        <v>79</v>
      </c>
      <c r="N137" s="9" t="b">
        <v>0</v>
      </c>
    </row>
    <row r="138" ht="61.5" customHeight="1">
      <c r="A138" s="9" t="n">
        <v>137</v>
      </c>
      <c r="B138" s="10">
        <f>_xludf.IMAGE("https://raw.githubusercontent.com/sshibinthomass/Rosary-Plant-House/master/assets/img/salePlants/"&amp;A138&amp;".jpg")</f>
        <v/>
      </c>
      <c r="C138" s="9">
        <f>Products!B138</f>
        <v/>
      </c>
      <c r="D138" s="9" t="inlineStr">
        <is>
          <t>Top</t>
        </is>
      </c>
      <c r="E138" s="11" t="n">
        <v>69</v>
      </c>
      <c r="F138" s="11" t="inlineStr">
        <is>
          <t>Low</t>
        </is>
      </c>
      <c r="G138" s="11" t="inlineStr">
        <is>
          <t>High</t>
        </is>
      </c>
      <c r="H138" s="9">
        <f>IF(OR(Local!F138="NA",ISBLANK(Local!F138)),FALSE,TRUE)</f>
        <v/>
      </c>
      <c r="I138" s="9" t="b">
        <v>0</v>
      </c>
      <c r="J138" s="9" t="n"/>
      <c r="K138" s="5" t="n">
        <v>59</v>
      </c>
      <c r="L138" s="5" t="n">
        <v>49</v>
      </c>
      <c r="M138" s="12" t="n">
        <v>59</v>
      </c>
      <c r="N138" s="9" t="b">
        <v>1</v>
      </c>
    </row>
    <row r="139" ht="61.5" customHeight="1">
      <c r="A139" s="9" t="n">
        <v>138</v>
      </c>
      <c r="B139" s="10">
        <f>_xludf.IMAGE("https://raw.githubusercontent.com/sshibinthomass/Rosary-Plant-House/master/assets/img/salePlants/"&amp;A139&amp;".jpg")</f>
        <v/>
      </c>
      <c r="C139" s="9">
        <f>Products!B139</f>
        <v/>
      </c>
      <c r="D139" s="9" t="inlineStr">
        <is>
          <t>Top</t>
        </is>
      </c>
      <c r="E139" s="11" t="n">
        <v>79</v>
      </c>
      <c r="F139" s="11" t="inlineStr">
        <is>
          <t>Low</t>
        </is>
      </c>
      <c r="G139" s="11" t="inlineStr">
        <is>
          <t>High</t>
        </is>
      </c>
      <c r="H139" s="9">
        <f>IF(OR(Local!F139="NA",ISBLANK(Local!F139)),FALSE,TRUE)</f>
        <v/>
      </c>
      <c r="I139" s="9" t="b">
        <v>0</v>
      </c>
      <c r="J139" s="9" t="n"/>
      <c r="K139" s="5" t="n">
        <v>99</v>
      </c>
      <c r="L139" s="5" t="n">
        <v>99</v>
      </c>
      <c r="M139" s="12" t="n">
        <v>99</v>
      </c>
      <c r="N139" s="9" t="b">
        <v>0</v>
      </c>
    </row>
    <row r="140" ht="61.5" customHeight="1">
      <c r="A140" s="9" t="n">
        <v>139</v>
      </c>
      <c r="B140" s="10">
        <f>_xludf.IMAGE("https://raw.githubusercontent.com/sshibinthomass/Rosary-Plant-House/master/assets/img/salePlants/"&amp;A140&amp;".jpg")</f>
        <v/>
      </c>
      <c r="C140" s="9">
        <f>Products!B140</f>
        <v/>
      </c>
      <c r="D140" s="9" t="inlineStr">
        <is>
          <t>Top</t>
        </is>
      </c>
      <c r="E140" s="11" t="n">
        <v>99</v>
      </c>
      <c r="F140" s="11" t="inlineStr">
        <is>
          <t>Low</t>
        </is>
      </c>
      <c r="G140" s="11" t="inlineStr">
        <is>
          <t>VeryHigh</t>
        </is>
      </c>
      <c r="H140" s="9">
        <f>IF(OR(Local!F140="NA",ISBLANK(Local!F140)),FALSE,TRUE)</f>
        <v/>
      </c>
      <c r="I140" s="9" t="b">
        <v>1</v>
      </c>
      <c r="J140" s="9" t="n"/>
      <c r="K140" s="5" t="n">
        <v>120</v>
      </c>
      <c r="L140" s="5" t="n">
        <v>99</v>
      </c>
      <c r="M140" s="12" t="n">
        <v>120</v>
      </c>
      <c r="N140" s="9" t="b">
        <v>1</v>
      </c>
    </row>
    <row r="141" ht="61.5" customHeight="1">
      <c r="A141" s="9" t="n">
        <v>140</v>
      </c>
      <c r="B141" s="10">
        <f>_xludf.IMAGE("https://raw.githubusercontent.com/sshibinthomass/Rosary-Plant-House/master/assets/img/salePlants/"&amp;A141&amp;".jpg")</f>
        <v/>
      </c>
      <c r="C141" s="9">
        <f>Products!B141</f>
        <v/>
      </c>
      <c r="D141" s="9" t="inlineStr">
        <is>
          <t>Top</t>
        </is>
      </c>
      <c r="E141" s="11" t="n">
        <v>69</v>
      </c>
      <c r="F141" s="11" t="inlineStr">
        <is>
          <t>Low</t>
        </is>
      </c>
      <c r="G141" s="11" t="inlineStr">
        <is>
          <t>Low</t>
        </is>
      </c>
      <c r="H141" s="9">
        <f>IF(OR(Local!F141="NA",ISBLANK(Local!F141)),FALSE,TRUE)</f>
        <v/>
      </c>
      <c r="I141" s="9" t="b">
        <v>0</v>
      </c>
      <c r="J141" s="9" t="n"/>
      <c r="K141" s="5" t="n">
        <v>59</v>
      </c>
      <c r="L141" s="5" t="n">
        <v>39</v>
      </c>
      <c r="M141" s="12" t="n">
        <v>69</v>
      </c>
      <c r="N141" s="9" t="b">
        <v>0</v>
      </c>
    </row>
    <row r="142" ht="61.5" customHeight="1">
      <c r="A142" s="9" t="n">
        <v>141</v>
      </c>
      <c r="B142" s="10">
        <f>_xludf.IMAGE("https://raw.githubusercontent.com/sshibinthomass/Rosary-Plant-House/master/assets/img/salePlants/"&amp;A142&amp;".jpg")</f>
        <v/>
      </c>
      <c r="C142" s="9">
        <f>Products!B142</f>
        <v/>
      </c>
      <c r="D142" s="9" t="inlineStr">
        <is>
          <t>Top</t>
        </is>
      </c>
      <c r="E142" s="11" t="n">
        <v>49</v>
      </c>
      <c r="F142" s="11" t="inlineStr">
        <is>
          <t>NA</t>
        </is>
      </c>
      <c r="G142" s="11" t="inlineStr">
        <is>
          <t>NotStarted</t>
        </is>
      </c>
      <c r="H142" s="9">
        <f>IF(OR(Local!F142="NA",ISBLANK(Local!F142)),FALSE,TRUE)</f>
        <v/>
      </c>
      <c r="I142" s="9" t="b">
        <v>0</v>
      </c>
      <c r="J142" s="9" t="n"/>
      <c r="K142" s="5" t="n">
        <v>69</v>
      </c>
      <c r="L142" s="5" t="n">
        <v>69</v>
      </c>
      <c r="M142" s="12" t="n">
        <v>69</v>
      </c>
      <c r="N142" s="9" t="b">
        <v>0</v>
      </c>
    </row>
    <row r="143" ht="61.5" customHeight="1">
      <c r="A143" s="9" t="n">
        <v>142</v>
      </c>
      <c r="B143" s="10">
        <f>_xludf.IMAGE("https://raw.githubusercontent.com/sshibinthomass/Rosary-Plant-House/master/assets/img/salePlants/"&amp;A143&amp;".jpg")</f>
        <v/>
      </c>
      <c r="C143" s="9">
        <f>Products!B143</f>
        <v/>
      </c>
      <c r="D143" s="9" t="inlineStr">
        <is>
          <t>Top</t>
        </is>
      </c>
      <c r="E143" s="11" t="n">
        <v>69</v>
      </c>
      <c r="F143" s="11" t="inlineStr">
        <is>
          <t>Available</t>
        </is>
      </c>
      <c r="G143" s="11" t="inlineStr">
        <is>
          <t>High</t>
        </is>
      </c>
      <c r="H143" s="9">
        <f>IF(OR(Local!F143="NA",ISBLANK(Local!F143)),FALSE,TRUE)</f>
        <v/>
      </c>
      <c r="I143" s="9" t="b">
        <v>0</v>
      </c>
      <c r="J143" s="9" t="n"/>
      <c r="K143" s="5" t="n">
        <v>59</v>
      </c>
      <c r="L143" s="5" t="n">
        <v>49</v>
      </c>
      <c r="M143" s="12" t="n">
        <v>69</v>
      </c>
      <c r="N143" s="9" t="b">
        <v>0</v>
      </c>
    </row>
    <row r="144" ht="61.5" customHeight="1">
      <c r="A144" s="9" t="n">
        <v>143</v>
      </c>
      <c r="B144" s="10">
        <f>_xludf.IMAGE("https://raw.githubusercontent.com/sshibinthomass/Rosary-Plant-House/master/assets/img/salePlants/"&amp;A144&amp;".jpg")</f>
        <v/>
      </c>
      <c r="C144" s="9">
        <f>Products!B144</f>
        <v/>
      </c>
      <c r="D144" s="9" t="inlineStr">
        <is>
          <t>Top</t>
        </is>
      </c>
      <c r="E144" s="11" t="n">
        <v>39</v>
      </c>
      <c r="F144" s="11" t="inlineStr">
        <is>
          <t>NA</t>
        </is>
      </c>
      <c r="G144" s="11" t="inlineStr">
        <is>
          <t>VeryLow</t>
        </is>
      </c>
      <c r="H144" s="9">
        <f>IF(OR(Local!F144="NA",ISBLANK(Local!F144)),FALSE,TRUE)</f>
        <v/>
      </c>
      <c r="I144" s="9" t="b">
        <v>0</v>
      </c>
      <c r="J144" s="9" t="n"/>
      <c r="K144" s="5" t="n">
        <v>69</v>
      </c>
      <c r="L144" s="5" t="n">
        <v>59</v>
      </c>
      <c r="M144" s="12" t="n">
        <v>69</v>
      </c>
      <c r="N144" s="9" t="b">
        <v>0</v>
      </c>
    </row>
    <row r="145" ht="61.5" customHeight="1">
      <c r="A145" s="9" t="n">
        <v>144</v>
      </c>
      <c r="B145" s="10">
        <f>_xludf.IMAGE("https://raw.githubusercontent.com/sshibinthomass/Rosary-Plant-House/master/assets/img/salePlants/"&amp;A145&amp;".jpg")</f>
        <v/>
      </c>
      <c r="C145" s="9">
        <f>Products!B145</f>
        <v/>
      </c>
      <c r="D145" s="9" t="inlineStr">
        <is>
          <t>Top</t>
        </is>
      </c>
      <c r="E145" s="11" t="n">
        <v>49</v>
      </c>
      <c r="F145" s="11" t="inlineStr">
        <is>
          <t>NA</t>
        </is>
      </c>
      <c r="G145" s="11" t="inlineStr">
        <is>
          <t>Low</t>
        </is>
      </c>
      <c r="H145" s="9">
        <f>IF(OR(Local!F145="NA",ISBLANK(Local!F145)),FALSE,TRUE)</f>
        <v/>
      </c>
      <c r="I145" s="9" t="b">
        <v>0</v>
      </c>
      <c r="J145" s="9" t="n"/>
      <c r="K145" s="5" t="n">
        <v>69</v>
      </c>
      <c r="L145" s="5" t="n">
        <v>69</v>
      </c>
      <c r="M145" s="12" t="n">
        <v>79</v>
      </c>
      <c r="N145" s="9" t="b">
        <v>0</v>
      </c>
    </row>
    <row r="146" ht="61.5" customHeight="1">
      <c r="A146" s="9" t="n">
        <v>145</v>
      </c>
      <c r="B146" s="10">
        <f>_xludf.IMAGE("https://raw.githubusercontent.com/sshibinthomass/Rosary-Plant-House/master/assets/img/salePlants/"&amp;A146&amp;".jpg")</f>
        <v/>
      </c>
      <c r="C146" s="9">
        <f>Products!B146</f>
        <v/>
      </c>
      <c r="D146" s="9" t="inlineStr">
        <is>
          <t>Top</t>
        </is>
      </c>
      <c r="E146" s="11" t="n">
        <v>59</v>
      </c>
      <c r="F146" s="11" t="inlineStr">
        <is>
          <t>Available</t>
        </is>
      </c>
      <c r="G146" s="11" t="inlineStr">
        <is>
          <t>Medium</t>
        </is>
      </c>
      <c r="H146" s="9">
        <f>IF(OR(Local!F146="NA",ISBLANK(Local!F146)),FALSE,TRUE)</f>
        <v/>
      </c>
      <c r="I146" s="9" t="b">
        <v>0</v>
      </c>
      <c r="J146" s="9" t="n"/>
      <c r="K146" s="5" t="n">
        <v>79</v>
      </c>
      <c r="L146" s="5" t="n">
        <v>49</v>
      </c>
      <c r="M146" s="12" t="n">
        <v>99</v>
      </c>
      <c r="N146" s="9" t="b">
        <v>1</v>
      </c>
    </row>
    <row r="147" ht="61.5" customHeight="1">
      <c r="A147" s="9" t="n">
        <v>146</v>
      </c>
      <c r="B147" s="10">
        <f>_xludf.IMAGE("https://raw.githubusercontent.com/sshibinthomass/Rosary-Plant-House/master/assets/img/salePlants/"&amp;A147&amp;".jpg")</f>
        <v/>
      </c>
      <c r="C147" s="9">
        <f>Products!B147</f>
        <v/>
      </c>
      <c r="D147" s="9" t="inlineStr">
        <is>
          <t>Top</t>
        </is>
      </c>
      <c r="E147" s="11" t="n">
        <v>120</v>
      </c>
      <c r="F147" s="11" t="inlineStr">
        <is>
          <t>NA</t>
        </is>
      </c>
      <c r="G147" s="11" t="inlineStr">
        <is>
          <t>High</t>
        </is>
      </c>
      <c r="H147" s="9">
        <f>IF(OR(Local!F147="NA",ISBLANK(Local!F147)),FALSE,TRUE)</f>
        <v/>
      </c>
      <c r="I147" s="9" t="b">
        <v>1</v>
      </c>
      <c r="J147" s="9" t="n"/>
      <c r="K147" s="5" t="n">
        <v>99</v>
      </c>
      <c r="L147" s="5" t="n">
        <v>59</v>
      </c>
      <c r="M147" s="12" t="n">
        <v>99</v>
      </c>
      <c r="N147" s="9" t="b">
        <v>1</v>
      </c>
    </row>
    <row r="148" ht="61.5" customHeight="1">
      <c r="A148" s="9" t="n">
        <v>147</v>
      </c>
      <c r="B148" s="10">
        <f>_xludf.IMAGE("https://raw.githubusercontent.com/sshibinthomass/Rosary-Plant-House/master/assets/img/salePlants/"&amp;A148&amp;".jpg")</f>
        <v/>
      </c>
      <c r="C148" s="9">
        <f>Products!B148</f>
        <v/>
      </c>
      <c r="D148" s="9" t="inlineStr">
        <is>
          <t>Top</t>
        </is>
      </c>
      <c r="E148" s="11" t="n">
        <v>69</v>
      </c>
      <c r="F148" s="11" t="inlineStr">
        <is>
          <t>Available</t>
        </is>
      </c>
      <c r="G148" s="11" t="inlineStr">
        <is>
          <t>Medium</t>
        </is>
      </c>
      <c r="H148" s="9">
        <f>IF(OR(Local!F148="NA",ISBLANK(Local!F148)),FALSE,TRUE)</f>
        <v/>
      </c>
      <c r="I148" s="9" t="b">
        <v>0</v>
      </c>
      <c r="J148" s="9" t="n"/>
      <c r="K148" s="5" t="n">
        <v>49</v>
      </c>
      <c r="L148" s="5" t="n">
        <v>39</v>
      </c>
      <c r="M148" s="12" t="n">
        <v>59</v>
      </c>
      <c r="N148" s="9" t="b">
        <v>1</v>
      </c>
    </row>
    <row r="149" ht="61.5" customHeight="1">
      <c r="A149" s="9" t="n">
        <v>148</v>
      </c>
      <c r="B149" s="10">
        <f>_xludf.IMAGE("https://raw.githubusercontent.com/sshibinthomass/Rosary-Plant-House/master/assets/img/salePlants/"&amp;A149&amp;".jpg")</f>
        <v/>
      </c>
      <c r="C149" s="9">
        <f>Products!B149</f>
        <v/>
      </c>
      <c r="D149" s="9" t="inlineStr">
        <is>
          <t>Top</t>
        </is>
      </c>
      <c r="E149" s="11" t="n">
        <v>49</v>
      </c>
      <c r="F149" s="11" t="inlineStr">
        <is>
          <t>Low</t>
        </is>
      </c>
      <c r="G149" s="11" t="inlineStr">
        <is>
          <t>High</t>
        </is>
      </c>
      <c r="H149" s="9">
        <f>IF(OR(Local!F149="NA",ISBLANK(Local!F149)),FALSE,TRUE)</f>
        <v/>
      </c>
      <c r="I149" s="9" t="b">
        <v>0</v>
      </c>
      <c r="J149" s="9" t="n"/>
      <c r="K149" s="5" t="n">
        <v>39</v>
      </c>
      <c r="L149" s="5" t="n">
        <v>25</v>
      </c>
      <c r="M149" s="12" t="n">
        <v>39</v>
      </c>
      <c r="N149" s="9" t="b">
        <v>1</v>
      </c>
    </row>
    <row r="150" ht="61.5" customHeight="1">
      <c r="A150" s="9" t="n">
        <v>149</v>
      </c>
      <c r="B150" s="10">
        <f>_xludf.IMAGE("https://raw.githubusercontent.com/sshibinthomass/Rosary-Plant-House/master/assets/img/salePlants/"&amp;A150&amp;".jpg")</f>
        <v/>
      </c>
      <c r="C150" s="9">
        <f>Products!B150</f>
        <v/>
      </c>
      <c r="D150" s="9" t="inlineStr">
        <is>
          <t>Top</t>
        </is>
      </c>
      <c r="E150" s="11" t="n">
        <v>49</v>
      </c>
      <c r="F150" s="11" t="inlineStr">
        <is>
          <t>Low</t>
        </is>
      </c>
      <c r="G150" s="11" t="inlineStr">
        <is>
          <t>High</t>
        </is>
      </c>
      <c r="H150" s="9">
        <f>IF(OR(Local!F150="NA",ISBLANK(Local!F150)),FALSE,TRUE)</f>
        <v/>
      </c>
      <c r="I150" s="9" t="b">
        <v>0</v>
      </c>
      <c r="J150" s="9" t="n"/>
      <c r="K150" s="5" t="n">
        <v>39</v>
      </c>
      <c r="L150" s="5" t="n">
        <v>25</v>
      </c>
      <c r="M150" s="12" t="n">
        <v>39</v>
      </c>
      <c r="N150" s="9" t="b">
        <v>1</v>
      </c>
    </row>
    <row r="151" ht="61.5" customHeight="1">
      <c r="A151" s="9" t="n">
        <v>150</v>
      </c>
      <c r="B151" s="10">
        <f>_xludf.IMAGE("https://raw.githubusercontent.com/sshibinthomass/Rosary-Plant-House/master/assets/img/salePlants/"&amp;A151&amp;".jpg")</f>
        <v/>
      </c>
      <c r="C151" s="9">
        <f>Products!B151</f>
        <v/>
      </c>
      <c r="D151" s="9" t="inlineStr">
        <is>
          <t>Top</t>
        </is>
      </c>
      <c r="E151" s="11" t="n">
        <v>59</v>
      </c>
      <c r="F151" s="11" t="inlineStr">
        <is>
          <t>NA</t>
        </is>
      </c>
      <c r="G151" s="11" t="inlineStr">
        <is>
          <t>Low</t>
        </is>
      </c>
      <c r="H151" s="9">
        <f>IF(OR(Local!F151="NA",ISBLANK(Local!F151)),FALSE,TRUE)</f>
        <v/>
      </c>
      <c r="I151" s="9" t="b">
        <v>0</v>
      </c>
      <c r="J151" s="9" t="n"/>
      <c r="K151" s="5" t="n">
        <v>79</v>
      </c>
      <c r="L151" s="5" t="n">
        <v>79</v>
      </c>
      <c r="M151" s="12" t="n">
        <v>79</v>
      </c>
      <c r="N151" s="9" t="b">
        <v>0</v>
      </c>
    </row>
    <row r="152" ht="61.5" customHeight="1">
      <c r="A152" s="9" t="n">
        <v>151</v>
      </c>
      <c r="B152" s="10">
        <f>_xludf.IMAGE("https://raw.githubusercontent.com/sshibinthomass/Rosary-Plant-House/master/assets/img/salePlants/"&amp;A152&amp;".jpg")</f>
        <v/>
      </c>
      <c r="C152" s="9">
        <f>Products!B152</f>
        <v/>
      </c>
      <c r="D152" s="9" t="inlineStr">
        <is>
          <t>Top</t>
        </is>
      </c>
      <c r="E152" s="11" t="n">
        <v>59</v>
      </c>
      <c r="F152" s="11" t="inlineStr">
        <is>
          <t>Low</t>
        </is>
      </c>
      <c r="G152" s="11" t="inlineStr">
        <is>
          <t>High</t>
        </is>
      </c>
      <c r="H152" s="9">
        <f>IF(OR(Local!F152="NA",ISBLANK(Local!F152)),FALSE,TRUE)</f>
        <v/>
      </c>
      <c r="I152" s="9" t="b">
        <v>0</v>
      </c>
      <c r="J152" s="9" t="n"/>
      <c r="K152" s="5" t="n">
        <v>69</v>
      </c>
      <c r="L152" s="5" t="n">
        <v>59</v>
      </c>
      <c r="M152" s="12" t="n">
        <v>69</v>
      </c>
      <c r="N152" s="9" t="b">
        <v>1</v>
      </c>
    </row>
    <row r="153" ht="61.5" customHeight="1">
      <c r="A153" s="9" t="n">
        <v>152</v>
      </c>
      <c r="B153" s="10">
        <f>_xludf.IMAGE("https://raw.githubusercontent.com/sshibinthomass/Rosary-Plant-House/master/assets/img/salePlants/"&amp;A153&amp;".jpg")</f>
        <v/>
      </c>
      <c r="C153" s="9">
        <f>Products!B153</f>
        <v/>
      </c>
      <c r="D153" s="9" t="inlineStr">
        <is>
          <t>Top</t>
        </is>
      </c>
      <c r="E153" s="11" t="n">
        <v>49</v>
      </c>
      <c r="F153" s="11" t="inlineStr">
        <is>
          <t>Available</t>
        </is>
      </c>
      <c r="G153" s="11" t="inlineStr">
        <is>
          <t>Medium</t>
        </is>
      </c>
      <c r="H153" s="9">
        <f>IF(OR(Local!F153="NA",ISBLANK(Local!F153)),FALSE,TRUE)</f>
        <v/>
      </c>
      <c r="I153" s="9" t="b">
        <v>1</v>
      </c>
      <c r="J153" s="9" t="n"/>
      <c r="K153" s="5" t="n">
        <v>99</v>
      </c>
      <c r="L153" s="5" t="n">
        <v>39</v>
      </c>
      <c r="M153" s="12" t="n">
        <v>99</v>
      </c>
      <c r="N153" s="9" t="b">
        <v>1</v>
      </c>
    </row>
    <row r="154" ht="61.5" customHeight="1">
      <c r="A154" s="9" t="n">
        <v>153</v>
      </c>
      <c r="B154" s="10">
        <f>_xludf.IMAGE("https://raw.githubusercontent.com/sshibinthomass/Rosary-Plant-House/master/assets/img/salePlants/"&amp;A154&amp;".jpg")</f>
        <v/>
      </c>
      <c r="C154" s="9">
        <f>Products!B154</f>
        <v/>
      </c>
      <c r="D154" s="9" t="inlineStr">
        <is>
          <t>Top</t>
        </is>
      </c>
      <c r="E154" s="11" t="n">
        <v>69</v>
      </c>
      <c r="F154" s="11" t="inlineStr">
        <is>
          <t>Low</t>
        </is>
      </c>
      <c r="G154" s="11" t="inlineStr">
        <is>
          <t>High</t>
        </is>
      </c>
      <c r="H154" s="9">
        <f>IF(OR(Local!F154="NA",ISBLANK(Local!F154)),FALSE,TRUE)</f>
        <v/>
      </c>
      <c r="I154" s="9" t="b">
        <v>1</v>
      </c>
      <c r="J154" s="9" t="n"/>
      <c r="K154" s="5" t="n">
        <v>99</v>
      </c>
      <c r="L154" s="5" t="n">
        <v>99</v>
      </c>
      <c r="M154" s="12" t="n">
        <v>99</v>
      </c>
      <c r="N154" s="9" t="b">
        <v>0</v>
      </c>
    </row>
    <row r="155" ht="61.5" customHeight="1">
      <c r="A155" s="9" t="n">
        <v>154</v>
      </c>
      <c r="B155" s="10">
        <f>_xludf.IMAGE("https://raw.githubusercontent.com/sshibinthomass/Rosary-Plant-House/master/assets/img/salePlants/"&amp;A155&amp;".jpg")</f>
        <v/>
      </c>
      <c r="C155" s="9">
        <f>Products!B155</f>
        <v/>
      </c>
      <c r="D155" s="9" t="inlineStr">
        <is>
          <t>Top</t>
        </is>
      </c>
      <c r="E155" s="11" t="n">
        <v>69</v>
      </c>
      <c r="F155" s="11" t="inlineStr">
        <is>
          <t>Available</t>
        </is>
      </c>
      <c r="G155" s="11" t="inlineStr">
        <is>
          <t>Low</t>
        </is>
      </c>
      <c r="H155" s="9">
        <f>IF(OR(Local!F155="NA",ISBLANK(Local!F155)),FALSE,TRUE)</f>
        <v/>
      </c>
      <c r="I155" s="9" t="b">
        <v>0</v>
      </c>
      <c r="J155" s="9" t="n"/>
      <c r="K155" s="5" t="n">
        <v>49</v>
      </c>
      <c r="L155" s="5" t="n">
        <v>49</v>
      </c>
      <c r="M155" s="12" t="n">
        <v>69</v>
      </c>
      <c r="N155" s="9" t="b">
        <v>1</v>
      </c>
    </row>
    <row r="156" ht="61.5" customHeight="1">
      <c r="A156" s="9" t="n">
        <v>155</v>
      </c>
      <c r="B156" s="10">
        <f>_xludf.IMAGE("https://raw.githubusercontent.com/sshibinthomass/Rosary-Plant-House/master/assets/img/salePlants/"&amp;A156&amp;".jpg")</f>
        <v/>
      </c>
      <c r="C156" s="9">
        <f>Products!B156</f>
        <v/>
      </c>
      <c r="D156" s="9" t="inlineStr">
        <is>
          <t>Top</t>
        </is>
      </c>
      <c r="E156" s="11" t="n">
        <v>69</v>
      </c>
      <c r="F156" s="11" t="inlineStr">
        <is>
          <t>Low</t>
        </is>
      </c>
      <c r="G156" s="11" t="inlineStr">
        <is>
          <t>High</t>
        </is>
      </c>
      <c r="H156" s="9">
        <f>IF(OR(Local!F156="NA",ISBLANK(Local!F156)),FALSE,TRUE)</f>
        <v/>
      </c>
      <c r="I156" s="9" t="b">
        <v>0</v>
      </c>
      <c r="J156" s="9" t="n"/>
      <c r="K156" s="5" t="n">
        <v>79</v>
      </c>
      <c r="L156" s="5" t="n">
        <v>59</v>
      </c>
      <c r="M156" s="12" t="n">
        <v>79</v>
      </c>
      <c r="N156" s="9" t="b">
        <v>1</v>
      </c>
    </row>
    <row r="157" ht="61.5" customHeight="1">
      <c r="A157" s="9" t="n">
        <v>156</v>
      </c>
      <c r="B157" s="10">
        <f>_xludf.IMAGE("https://raw.githubusercontent.com/sshibinthomass/Rosary-Plant-House/master/assets/img/salePlants/"&amp;A157&amp;".jpg")</f>
        <v/>
      </c>
      <c r="C157" s="9">
        <f>Products!B157</f>
        <v/>
      </c>
      <c r="D157" s="9" t="inlineStr">
        <is>
          <t>Top</t>
        </is>
      </c>
      <c r="E157" s="11" t="n">
        <v>59</v>
      </c>
      <c r="F157" s="11" t="inlineStr">
        <is>
          <t>NA</t>
        </is>
      </c>
      <c r="G157" s="11" t="inlineStr">
        <is>
          <t>VeryHigh</t>
        </is>
      </c>
      <c r="H157" s="9">
        <f>IF(OR(Local!F157="NA",ISBLANK(Local!F157)),FALSE,TRUE)</f>
        <v/>
      </c>
      <c r="I157" s="9" t="b">
        <v>0</v>
      </c>
      <c r="J157" s="9" t="n"/>
      <c r="K157" s="5" t="n">
        <v>89</v>
      </c>
      <c r="L157" s="5" t="n">
        <v>89</v>
      </c>
      <c r="M157" s="12" t="n">
        <v>89</v>
      </c>
      <c r="N157" s="9" t="b">
        <v>0</v>
      </c>
    </row>
    <row r="158" ht="61.5" customHeight="1">
      <c r="A158" s="9" t="n">
        <v>157</v>
      </c>
      <c r="B158" s="10">
        <f>_xludf.IMAGE("https://raw.githubusercontent.com/sshibinthomass/Rosary-Plant-House/master/assets/img/salePlants/"&amp;A158&amp;".jpg")</f>
        <v/>
      </c>
      <c r="C158" s="9">
        <f>Products!B158</f>
        <v/>
      </c>
      <c r="D158" s="9" t="inlineStr">
        <is>
          <t>Top</t>
        </is>
      </c>
      <c r="E158" s="11" t="n">
        <v>99</v>
      </c>
      <c r="F158" s="11" t="inlineStr">
        <is>
          <t>NA</t>
        </is>
      </c>
      <c r="G158" s="11" t="inlineStr">
        <is>
          <t>Low</t>
        </is>
      </c>
      <c r="H158" s="9">
        <f>IF(OR(Local!F158="NA",ISBLANK(Local!F158)),FALSE,TRUE)</f>
        <v/>
      </c>
      <c r="I158" s="9" t="b">
        <v>0</v>
      </c>
      <c r="J158" s="9" t="n"/>
      <c r="K158" s="5" t="n">
        <v>79</v>
      </c>
      <c r="L158" s="5" t="n">
        <v>79</v>
      </c>
      <c r="M158" s="12" t="n">
        <v>79</v>
      </c>
      <c r="N158" s="9" t="b">
        <v>0</v>
      </c>
    </row>
    <row r="159" ht="61.5" customHeight="1">
      <c r="A159" s="9" t="n">
        <v>158</v>
      </c>
      <c r="B159" s="10">
        <f>_xludf.IMAGE("https://raw.githubusercontent.com/sshibinthomass/Rosary-Plant-House/master/assets/img/salePlants/"&amp;A159&amp;".jpg")</f>
        <v/>
      </c>
      <c r="C159" s="9">
        <f>Products!B159</f>
        <v/>
      </c>
      <c r="D159" s="9" t="inlineStr">
        <is>
          <t>Top</t>
        </is>
      </c>
      <c r="E159" s="11" t="n">
        <v>120</v>
      </c>
      <c r="F159" s="11" t="inlineStr">
        <is>
          <t>NA</t>
        </is>
      </c>
      <c r="G159" s="11" t="inlineStr">
        <is>
          <t>High</t>
        </is>
      </c>
      <c r="H159" s="9">
        <f>IF(OR(Local!F159="NA",ISBLANK(Local!F159)),FALSE,TRUE)</f>
        <v/>
      </c>
      <c r="I159" s="9" t="b">
        <v>0</v>
      </c>
      <c r="J159" s="9" t="n"/>
      <c r="K159" s="5" t="n">
        <v>69</v>
      </c>
      <c r="L159" s="5" t="n">
        <v>59</v>
      </c>
      <c r="M159" s="12" t="n">
        <v>69</v>
      </c>
      <c r="N159" s="9" t="b">
        <v>0</v>
      </c>
    </row>
    <row r="160" ht="61.5" customHeight="1">
      <c r="A160" s="9" t="n">
        <v>159</v>
      </c>
      <c r="B160" s="10">
        <f>_xludf.IMAGE("https://raw.githubusercontent.com/sshibinthomass/Rosary-Plant-House/master/assets/img/salePlants/"&amp;A160&amp;".jpg")</f>
        <v/>
      </c>
      <c r="C160" s="9">
        <f>Products!B160</f>
        <v/>
      </c>
      <c r="D160" s="9" t="inlineStr">
        <is>
          <t>Top</t>
        </is>
      </c>
      <c r="E160" s="11" t="n">
        <v>150</v>
      </c>
      <c r="F160" s="11" t="inlineStr">
        <is>
          <t>Available</t>
        </is>
      </c>
      <c r="G160" s="11" t="inlineStr">
        <is>
          <t>VeryHigh</t>
        </is>
      </c>
      <c r="H160" s="9">
        <f>IF(OR(Local!F160="NA",ISBLANK(Local!F160)),FALSE,TRUE)</f>
        <v/>
      </c>
      <c r="I160" s="9" t="b">
        <v>1</v>
      </c>
      <c r="J160" s="9" t="n"/>
      <c r="K160" s="5" t="n">
        <v>199</v>
      </c>
      <c r="L160" s="5" t="n">
        <v>99</v>
      </c>
      <c r="M160" s="12" t="n">
        <v>199</v>
      </c>
      <c r="N160" s="9" t="b">
        <v>1</v>
      </c>
    </row>
    <row r="161" ht="61.5" customHeight="1">
      <c r="A161" s="9" t="n">
        <v>160</v>
      </c>
      <c r="B161" s="10">
        <f>_xludf.IMAGE("https://raw.githubusercontent.com/sshibinthomass/Rosary-Plant-House/master/assets/img/salePlants/"&amp;A161&amp;".jpg")</f>
        <v/>
      </c>
      <c r="C161" s="9">
        <f>Products!B161</f>
        <v/>
      </c>
      <c r="D161" s="9" t="inlineStr">
        <is>
          <t>Top</t>
        </is>
      </c>
      <c r="E161" s="11" t="n">
        <v>99</v>
      </c>
      <c r="F161" s="11" t="inlineStr">
        <is>
          <t>NA</t>
        </is>
      </c>
      <c r="G161" s="11" t="inlineStr">
        <is>
          <t>VeryHigh</t>
        </is>
      </c>
      <c r="H161" s="9">
        <f>IF(OR(Local!F161="NA",ISBLANK(Local!F161)),FALSE,TRUE)</f>
        <v/>
      </c>
      <c r="I161" s="9" t="b">
        <v>0</v>
      </c>
      <c r="J161" s="9" t="n"/>
      <c r="K161" s="5" t="n">
        <v>199</v>
      </c>
      <c r="L161" s="5" t="n">
        <v>199</v>
      </c>
      <c r="M161" s="12" t="n">
        <v>199</v>
      </c>
      <c r="N161" s="9" t="b">
        <v>0</v>
      </c>
    </row>
    <row r="162" ht="61.5" customHeight="1">
      <c r="A162" s="9" t="n">
        <v>161</v>
      </c>
      <c r="B162" s="10">
        <f>_xludf.IMAGE("https://raw.githubusercontent.com/sshibinthomass/Rosary-Plant-House/master/assets/img/salePlants/"&amp;A162&amp;".jpg")</f>
        <v/>
      </c>
      <c r="C162" s="9">
        <f>Products!B162</f>
        <v/>
      </c>
      <c r="D162" s="9" t="inlineStr">
        <is>
          <t>Top</t>
        </is>
      </c>
      <c r="E162" s="11" t="n">
        <v>149</v>
      </c>
      <c r="F162" s="11" t="inlineStr">
        <is>
          <t>NA</t>
        </is>
      </c>
      <c r="G162" s="11" t="inlineStr">
        <is>
          <t>Low</t>
        </is>
      </c>
      <c r="H162" s="9">
        <f>IF(OR(Local!F162="NA",ISBLANK(Local!F162)),FALSE,TRUE)</f>
        <v/>
      </c>
      <c r="I162" s="9" t="b">
        <v>0</v>
      </c>
      <c r="J162" s="9" t="n"/>
      <c r="K162" s="5" t="n">
        <v>49</v>
      </c>
      <c r="L162" s="5" t="n">
        <v>49</v>
      </c>
      <c r="M162" s="12" t="n">
        <v>49</v>
      </c>
      <c r="N162" s="9" t="b">
        <v>0</v>
      </c>
    </row>
    <row r="163" ht="61.5" customHeight="1">
      <c r="A163" s="9" t="n">
        <v>162</v>
      </c>
      <c r="B163" s="10">
        <f>_xludf.IMAGE("https://raw.githubusercontent.com/sshibinthomass/Rosary-Plant-House/master/assets/img/salePlants/"&amp;A163&amp;".jpg")</f>
        <v/>
      </c>
      <c r="C163" s="9">
        <f>Products!B163</f>
        <v/>
      </c>
      <c r="D163" s="9" t="inlineStr">
        <is>
          <t>Top</t>
        </is>
      </c>
      <c r="E163" s="11" t="n">
        <v>39</v>
      </c>
      <c r="F163" s="11" t="inlineStr">
        <is>
          <t>Available</t>
        </is>
      </c>
      <c r="G163" s="11" t="inlineStr">
        <is>
          <t>High</t>
        </is>
      </c>
      <c r="H163" s="9">
        <f>IF(OR(Local!F163="NA",ISBLANK(Local!F163)),FALSE,TRUE)</f>
        <v/>
      </c>
      <c r="I163" s="9" t="b">
        <v>0</v>
      </c>
      <c r="J163" s="9" t="n"/>
      <c r="K163" s="5" t="n">
        <v>99</v>
      </c>
      <c r="L163" s="5" t="n">
        <v>99</v>
      </c>
      <c r="M163" s="12" t="n">
        <v>99</v>
      </c>
      <c r="N163" s="9" t="b">
        <v>0</v>
      </c>
    </row>
    <row r="164" ht="61.5" customHeight="1">
      <c r="A164" s="9" t="n">
        <v>163</v>
      </c>
      <c r="B164" s="10">
        <f>_xludf.IMAGE("https://raw.githubusercontent.com/sshibinthomass/Rosary-Plant-House/master/assets/img/salePlants/"&amp;A164&amp;".jpg")</f>
        <v/>
      </c>
      <c r="C164" s="9">
        <f>Products!B164</f>
        <v/>
      </c>
      <c r="D164" s="9" t="inlineStr">
        <is>
          <t>Top</t>
        </is>
      </c>
      <c r="E164" s="11" t="n">
        <v>149</v>
      </c>
      <c r="F164" s="13" t="inlineStr">
        <is>
          <t>Low</t>
        </is>
      </c>
      <c r="G164" s="11" t="inlineStr">
        <is>
          <t>High</t>
        </is>
      </c>
      <c r="H164" s="9">
        <f>IF(OR(Local!F164="NA",ISBLANK(Local!F164)),FALSE,TRUE)</f>
        <v/>
      </c>
      <c r="I164" s="9" t="b">
        <v>0</v>
      </c>
      <c r="J164" s="9" t="n"/>
      <c r="K164" s="5" t="n">
        <v>199</v>
      </c>
      <c r="L164" s="5" t="n">
        <v>199</v>
      </c>
      <c r="M164" s="12" t="n">
        <v>199</v>
      </c>
      <c r="N164" s="9" t="b">
        <v>0</v>
      </c>
    </row>
    <row r="165" ht="61.5" customHeight="1">
      <c r="A165" s="9" t="n">
        <v>164</v>
      </c>
      <c r="B165" s="10">
        <f>_xludf.IMAGE("https://raw.githubusercontent.com/sshibinthomass/Rosary-Plant-House/master/assets/img/salePlants/"&amp;A165&amp;".jpg")</f>
        <v/>
      </c>
      <c r="C165" s="9">
        <f>Products!B165</f>
        <v/>
      </c>
      <c r="D165" s="9" t="inlineStr">
        <is>
          <t>Both</t>
        </is>
      </c>
      <c r="E165" s="11" t="n">
        <v>89</v>
      </c>
      <c r="F165" s="11" t="inlineStr">
        <is>
          <t>Low</t>
        </is>
      </c>
      <c r="G165" s="11" t="inlineStr">
        <is>
          <t>High</t>
        </is>
      </c>
      <c r="H165" s="9">
        <f>IF(OR(Local!F165="NA",ISBLANK(Local!F165)),FALSE,TRUE)</f>
        <v/>
      </c>
      <c r="I165" s="9" t="b">
        <v>0</v>
      </c>
      <c r="J165" s="9" t="n"/>
      <c r="K165" s="5" t="n">
        <v>69</v>
      </c>
      <c r="L165" s="5" t="n">
        <v>59</v>
      </c>
      <c r="M165" s="12" t="n">
        <v>79</v>
      </c>
      <c r="N165" s="9" t="b">
        <v>1</v>
      </c>
    </row>
    <row r="166" ht="61.5" customHeight="1">
      <c r="A166" s="9" t="n">
        <v>165</v>
      </c>
      <c r="B166" s="10">
        <f>_xludf.IMAGE("https://raw.githubusercontent.com/sshibinthomass/Rosary-Plant-House/master/assets/img/salePlants/"&amp;A166&amp;".jpg")</f>
        <v/>
      </c>
      <c r="C166" s="9">
        <f>Products!B166</f>
        <v/>
      </c>
      <c r="D166" s="9" t="inlineStr">
        <is>
          <t>Down</t>
        </is>
      </c>
      <c r="E166" s="11" t="n">
        <v>69</v>
      </c>
      <c r="F166" s="11" t="inlineStr">
        <is>
          <t>Low</t>
        </is>
      </c>
      <c r="G166" s="11" t="inlineStr">
        <is>
          <t>High</t>
        </is>
      </c>
      <c r="H166" s="9">
        <f>IF(OR(Local!F166="NA",ISBLANK(Local!F166)),FALSE,TRUE)</f>
        <v/>
      </c>
      <c r="I166" s="9" t="b">
        <v>0</v>
      </c>
      <c r="J166" s="9" t="n"/>
      <c r="K166" s="5" t="n">
        <v>79</v>
      </c>
      <c r="L166" s="5" t="n">
        <v>79</v>
      </c>
      <c r="M166" s="12" t="n">
        <v>79</v>
      </c>
      <c r="N166" s="9" t="b">
        <v>1</v>
      </c>
    </row>
    <row r="167" ht="61.5" customHeight="1">
      <c r="A167" s="9" t="n">
        <v>166</v>
      </c>
      <c r="B167" s="10">
        <f>_xludf.IMAGE("https://raw.githubusercontent.com/sshibinthomass/Rosary-Plant-House/master/assets/img/salePlants/"&amp;A167&amp;".jpg")</f>
        <v/>
      </c>
      <c r="C167" s="9">
        <f>Products!B167</f>
        <v/>
      </c>
      <c r="D167" s="9" t="inlineStr">
        <is>
          <t>Top</t>
        </is>
      </c>
      <c r="E167" s="11" t="n">
        <v>89</v>
      </c>
      <c r="F167" s="11" t="inlineStr">
        <is>
          <t>Available</t>
        </is>
      </c>
      <c r="G167" s="11" t="inlineStr">
        <is>
          <t>High</t>
        </is>
      </c>
      <c r="H167" s="9">
        <f>IF(OR(Local!F167="NA",ISBLANK(Local!F167)),FALSE,TRUE)</f>
        <v/>
      </c>
      <c r="I167" s="9" t="b">
        <v>0</v>
      </c>
      <c r="J167" s="9" t="n"/>
      <c r="K167" s="5" t="n">
        <v>120</v>
      </c>
      <c r="L167" s="5" t="n">
        <v>120</v>
      </c>
      <c r="M167" s="12" t="n">
        <v>120</v>
      </c>
      <c r="N167" s="9" t="b">
        <v>0</v>
      </c>
    </row>
    <row r="168" ht="61.5" customHeight="1">
      <c r="A168" s="9" t="n">
        <v>167</v>
      </c>
      <c r="B168" s="10">
        <f>_xludf.IMAGE("https://raw.githubusercontent.com/sshibinthomass/Rosary-Plant-House/master/assets/img/salePlants/"&amp;A168&amp;".jpg")</f>
        <v/>
      </c>
      <c r="C168" s="9">
        <f>Products!B168</f>
        <v/>
      </c>
      <c r="D168" s="9" t="inlineStr">
        <is>
          <t>Top</t>
        </is>
      </c>
      <c r="E168" s="11" t="n">
        <v>69</v>
      </c>
      <c r="F168" s="11" t="inlineStr">
        <is>
          <t>NA</t>
        </is>
      </c>
      <c r="G168" s="11" t="inlineStr">
        <is>
          <t>VeryLow</t>
        </is>
      </c>
      <c r="H168" s="9">
        <f>IF(OR(Local!F168="NA",ISBLANK(Local!F168)),FALSE,TRUE)</f>
        <v/>
      </c>
      <c r="I168" s="9" t="b">
        <v>0</v>
      </c>
      <c r="J168" s="9" t="n"/>
      <c r="K168" s="5" t="n">
        <v>69</v>
      </c>
      <c r="L168" s="5" t="n">
        <v>69</v>
      </c>
      <c r="M168" s="12" t="n">
        <v>69</v>
      </c>
      <c r="N168" s="9" t="b">
        <v>0</v>
      </c>
    </row>
    <row r="169" ht="61.5" customHeight="1">
      <c r="A169" s="9" t="n">
        <v>168</v>
      </c>
      <c r="B169" s="10">
        <f>_xludf.IMAGE("https://raw.githubusercontent.com/sshibinthomass/Rosary-Plant-House/master/assets/img/salePlants/"&amp;A169&amp;".jpg")</f>
        <v/>
      </c>
      <c r="C169" s="9">
        <f>Products!B169</f>
        <v/>
      </c>
      <c r="D169" s="9" t="inlineStr">
        <is>
          <t>Top</t>
        </is>
      </c>
      <c r="E169" s="11" t="n">
        <v>99</v>
      </c>
      <c r="F169" s="11" t="inlineStr">
        <is>
          <t>Available</t>
        </is>
      </c>
      <c r="G169" s="11" t="inlineStr">
        <is>
          <t>Low</t>
        </is>
      </c>
      <c r="H169" s="9">
        <f>IF(OR(Local!F169="NA",ISBLANK(Local!F169)),FALSE,TRUE)</f>
        <v/>
      </c>
      <c r="I169" s="9" t="b">
        <v>0</v>
      </c>
      <c r="J169" s="9" t="n"/>
      <c r="K169" s="12" t="n">
        <v>79</v>
      </c>
      <c r="L169" s="12" t="n">
        <v>79</v>
      </c>
      <c r="M169" s="12" t="n">
        <v>79</v>
      </c>
      <c r="N169" s="9" t="b">
        <v>0</v>
      </c>
    </row>
    <row r="170" ht="61.5" customHeight="1">
      <c r="A170" s="9" t="n">
        <v>169</v>
      </c>
      <c r="B170" s="10">
        <f>_xludf.IMAGE("https://raw.githubusercontent.com/sshibinthomass/Rosary-Plant-House/master/assets/img/salePlants/"&amp;A170&amp;".jpg")</f>
        <v/>
      </c>
      <c r="C170" s="9">
        <f>Products!B170</f>
        <v/>
      </c>
      <c r="D170" s="9" t="inlineStr">
        <is>
          <t>Top</t>
        </is>
      </c>
      <c r="E170" s="11" t="n">
        <v>99</v>
      </c>
      <c r="F170" s="11" t="inlineStr">
        <is>
          <t>NA</t>
        </is>
      </c>
      <c r="G170" s="11" t="inlineStr">
        <is>
          <t>Low</t>
        </is>
      </c>
      <c r="H170" s="9">
        <f>IF(OR(Local!F170="NA",ISBLANK(Local!F170)),FALSE,TRUE)</f>
        <v/>
      </c>
      <c r="I170" s="9" t="b">
        <v>0</v>
      </c>
      <c r="J170" s="9" t="n"/>
      <c r="K170" s="12" t="n">
        <v>79</v>
      </c>
      <c r="L170" s="12" t="n">
        <v>79</v>
      </c>
      <c r="M170" s="12" t="n">
        <v>79</v>
      </c>
      <c r="N170" s="9" t="b">
        <v>0</v>
      </c>
    </row>
    <row r="171" ht="61.5" customHeight="1">
      <c r="A171" s="9" t="n">
        <v>170</v>
      </c>
      <c r="B171" s="10">
        <f>_xludf.IMAGE("https://raw.githubusercontent.com/sshibinthomass/Rosary-Plant-House/master/assets/img/salePlants/"&amp;A171&amp;".jpg")</f>
        <v/>
      </c>
      <c r="C171" s="9">
        <f>Products!B171</f>
        <v/>
      </c>
      <c r="D171" s="9" t="inlineStr">
        <is>
          <t>Top</t>
        </is>
      </c>
      <c r="E171" s="11" t="n">
        <v>59</v>
      </c>
      <c r="F171" s="11" t="inlineStr">
        <is>
          <t>NA</t>
        </is>
      </c>
      <c r="G171" s="11" t="inlineStr">
        <is>
          <t>High</t>
        </is>
      </c>
      <c r="H171" s="9">
        <f>IF(OR(Local!F171="NA",ISBLANK(Local!F171)),FALSE,TRUE)</f>
        <v/>
      </c>
      <c r="I171" s="9" t="b">
        <v>0</v>
      </c>
      <c r="J171" s="9" t="n"/>
      <c r="K171" s="12" t="n">
        <v>89</v>
      </c>
      <c r="L171" s="12" t="n">
        <v>89</v>
      </c>
      <c r="M171" s="12" t="n">
        <v>89</v>
      </c>
      <c r="N171" s="9" t="b">
        <v>0</v>
      </c>
    </row>
    <row r="172" ht="61.5" customHeight="1">
      <c r="A172" s="9" t="n">
        <v>171</v>
      </c>
      <c r="B172" s="10">
        <f>_xludf.IMAGE("https://raw.githubusercontent.com/sshibinthomass/Rosary-Plant-House/master/assets/img/salePlants/"&amp;A172&amp;".jpg")</f>
        <v/>
      </c>
      <c r="C172" s="9">
        <f>Products!B172</f>
        <v/>
      </c>
      <c r="D172" s="9" t="inlineStr">
        <is>
          <t>Down</t>
        </is>
      </c>
      <c r="E172" s="11" t="n">
        <v>99</v>
      </c>
      <c r="F172" s="11" t="inlineStr">
        <is>
          <t>Available</t>
        </is>
      </c>
      <c r="G172" s="11" t="inlineStr">
        <is>
          <t>High</t>
        </is>
      </c>
      <c r="H172" s="9">
        <f>IF(OR(Local!F172="NA",ISBLANK(Local!F172)),FALSE,TRUE)</f>
        <v/>
      </c>
      <c r="I172" s="9" t="b">
        <v>0</v>
      </c>
      <c r="J172" s="9" t="n"/>
      <c r="K172" s="5" t="n">
        <v>69</v>
      </c>
      <c r="L172" s="5" t="n">
        <v>59</v>
      </c>
      <c r="M172" s="12" t="n">
        <v>79</v>
      </c>
      <c r="N172" s="9" t="b">
        <v>1</v>
      </c>
    </row>
    <row r="173" ht="61.5" customHeight="1">
      <c r="A173" s="9" t="n">
        <v>172</v>
      </c>
      <c r="B173" s="10">
        <f>_xludf.IMAGE("https://raw.githubusercontent.com/sshibinthomass/Rosary-Plant-House/master/assets/img/salePlants/"&amp;A173&amp;".jpg")</f>
        <v/>
      </c>
      <c r="C173" s="9">
        <f>Products!B173</f>
        <v/>
      </c>
      <c r="D173" s="9" t="inlineStr">
        <is>
          <t>Top</t>
        </is>
      </c>
      <c r="E173" s="11" t="n">
        <v>69</v>
      </c>
      <c r="F173" s="11" t="inlineStr">
        <is>
          <t>NA</t>
        </is>
      </c>
      <c r="G173" s="11" t="inlineStr">
        <is>
          <t>Medium</t>
        </is>
      </c>
      <c r="H173" s="9">
        <f>IF(OR(Local!F173="NA",ISBLANK(Local!F173)),FALSE,TRUE)</f>
        <v/>
      </c>
      <c r="I173" s="9" t="b">
        <v>0</v>
      </c>
      <c r="J173" s="9" t="n"/>
      <c r="K173" s="5" t="n">
        <v>69</v>
      </c>
      <c r="L173" s="5" t="n">
        <v>69</v>
      </c>
      <c r="M173" s="12" t="n">
        <v>69</v>
      </c>
      <c r="N173" s="9" t="b">
        <v>0</v>
      </c>
    </row>
    <row r="174" ht="61.5" customHeight="1">
      <c r="A174" s="9" t="n">
        <v>173</v>
      </c>
      <c r="B174" s="10">
        <f>_xludf.IMAGE("https://raw.githubusercontent.com/sshibinthomass/Rosary-Plant-House/master/assets/img/salePlants/"&amp;A174&amp;".jpg")</f>
        <v/>
      </c>
      <c r="C174" s="9">
        <f>Products!B174</f>
        <v/>
      </c>
      <c r="D174" s="9" t="inlineStr">
        <is>
          <t>Top</t>
        </is>
      </c>
      <c r="E174" s="11" t="n">
        <v>59</v>
      </c>
      <c r="F174" s="11" t="inlineStr">
        <is>
          <t>NA</t>
        </is>
      </c>
      <c r="G174" s="11" t="inlineStr">
        <is>
          <t>Medium</t>
        </is>
      </c>
      <c r="H174" s="9">
        <f>IF(OR(Local!F174="NA",ISBLANK(Local!F174)),FALSE,TRUE)</f>
        <v/>
      </c>
      <c r="I174" s="9" t="b">
        <v>0</v>
      </c>
      <c r="J174" s="9" t="n"/>
      <c r="K174" s="5" t="n">
        <v>79</v>
      </c>
      <c r="L174" s="5" t="n">
        <v>79</v>
      </c>
      <c r="M174" s="12" t="n">
        <v>79</v>
      </c>
      <c r="N174" s="9" t="b">
        <v>0</v>
      </c>
    </row>
    <row r="175" ht="61.5" customHeight="1">
      <c r="A175" s="9" t="n">
        <v>174</v>
      </c>
      <c r="B175" s="10">
        <f>_xludf.IMAGE("https://raw.githubusercontent.com/sshibinthomass/Rosary-Plant-House/master/assets/img/salePlants/"&amp;A175&amp;".jpg")</f>
        <v/>
      </c>
      <c r="C175" s="9">
        <f>Products!B175</f>
        <v/>
      </c>
      <c r="D175" s="9" t="inlineStr">
        <is>
          <t>Top</t>
        </is>
      </c>
      <c r="E175" s="11" t="n">
        <v>79</v>
      </c>
      <c r="F175" s="11" t="inlineStr">
        <is>
          <t>Low</t>
        </is>
      </c>
      <c r="G175" s="11" t="inlineStr">
        <is>
          <t>NotStarted</t>
        </is>
      </c>
      <c r="H175" s="9">
        <f>IF(OR(Local!F175="NA",ISBLANK(Local!F175)),FALSE,TRUE)</f>
        <v/>
      </c>
      <c r="I175" s="9" t="b">
        <v>0</v>
      </c>
      <c r="J175" s="9" t="n"/>
      <c r="K175" s="5" t="n">
        <v>99</v>
      </c>
      <c r="L175" s="5" t="n">
        <v>99</v>
      </c>
      <c r="M175" s="12" t="n">
        <v>99</v>
      </c>
      <c r="N175" s="9" t="b">
        <v>0</v>
      </c>
    </row>
    <row r="176" ht="61.5" customHeight="1">
      <c r="A176" s="9" t="n">
        <v>175</v>
      </c>
      <c r="B176" s="10">
        <f>_xludf.IMAGE("https://raw.githubusercontent.com/sshibinthomass/Rosary-Plant-House/master/assets/img/salePlants/"&amp;A176&amp;".jpg")</f>
        <v/>
      </c>
      <c r="C176" s="9">
        <f>Products!B176</f>
        <v/>
      </c>
      <c r="D176" s="9" t="inlineStr">
        <is>
          <t>Top</t>
        </is>
      </c>
      <c r="E176" s="11" t="n">
        <v>99</v>
      </c>
      <c r="F176" s="11" t="inlineStr">
        <is>
          <t>NA</t>
        </is>
      </c>
      <c r="G176" s="11" t="inlineStr">
        <is>
          <t>Medium</t>
        </is>
      </c>
      <c r="H176" s="9">
        <f>IF(OR(Local!F176="NA",ISBLANK(Local!F176)),FALSE,TRUE)</f>
        <v/>
      </c>
      <c r="I176" s="9" t="b">
        <v>1</v>
      </c>
      <c r="J176" s="9" t="n"/>
      <c r="K176" s="5" t="n">
        <v>59</v>
      </c>
      <c r="L176" s="5" t="n">
        <v>59</v>
      </c>
      <c r="M176" s="12" t="n">
        <v>69</v>
      </c>
      <c r="N176" s="9" t="b">
        <v>1</v>
      </c>
    </row>
    <row r="177" ht="61.5" customHeight="1">
      <c r="A177" s="9" t="n">
        <v>176</v>
      </c>
      <c r="B177" s="10">
        <f>_xludf.IMAGE("https://raw.githubusercontent.com/sshibinthomass/Rosary-Plant-House/master/assets/img/salePlants/"&amp;A177&amp;".jpg")</f>
        <v/>
      </c>
      <c r="C177" s="9">
        <f>Products!B177</f>
        <v/>
      </c>
      <c r="D177" s="9" t="inlineStr">
        <is>
          <t>Down</t>
        </is>
      </c>
      <c r="E177" s="11" t="n">
        <v>69</v>
      </c>
      <c r="F177" s="11" t="inlineStr">
        <is>
          <t>Available</t>
        </is>
      </c>
      <c r="G177" s="11" t="inlineStr">
        <is>
          <t>NotStarted</t>
        </is>
      </c>
      <c r="H177" s="9">
        <f>IF(OR(Local!F177="NA",ISBLANK(Local!F177)),FALSE,TRUE)</f>
        <v/>
      </c>
      <c r="I177" s="9" t="b">
        <v>0</v>
      </c>
      <c r="J177" s="9" t="n"/>
      <c r="K177" s="5" t="n">
        <v>79</v>
      </c>
      <c r="L177" s="5" t="n">
        <v>69</v>
      </c>
      <c r="M177" s="15" t="n">
        <v>79</v>
      </c>
      <c r="N177" s="9" t="b">
        <v>1</v>
      </c>
    </row>
    <row r="178" ht="61.5" customHeight="1">
      <c r="A178" s="9" t="n">
        <v>177</v>
      </c>
      <c r="B178" s="10">
        <f>_xludf.IMAGE("https://raw.githubusercontent.com/sshibinthomass/Rosary-Plant-House/master/assets/img/salePlants/"&amp;A178&amp;".jpg")</f>
        <v/>
      </c>
      <c r="C178" s="9">
        <f>Products!B178</f>
        <v/>
      </c>
      <c r="D178" s="9" t="inlineStr">
        <is>
          <t>Top</t>
        </is>
      </c>
      <c r="E178" s="11" t="n">
        <v>49</v>
      </c>
      <c r="F178" s="11" t="inlineStr">
        <is>
          <t>NA</t>
        </is>
      </c>
      <c r="G178" s="11" t="inlineStr">
        <is>
          <t>VeryLow</t>
        </is>
      </c>
      <c r="H178" s="9">
        <f>IF(OR(Local!F178="NA",ISBLANK(Local!F178)),FALSE,TRUE)</f>
        <v/>
      </c>
      <c r="I178" s="9" t="b">
        <v>1</v>
      </c>
      <c r="J178" s="9" t="n"/>
      <c r="K178" s="5" t="n">
        <v>99</v>
      </c>
      <c r="L178" s="5" t="n">
        <v>69</v>
      </c>
      <c r="M178" s="12" t="n">
        <v>99</v>
      </c>
      <c r="N178" s="9" t="b">
        <v>0</v>
      </c>
    </row>
    <row r="179" ht="61.5" customHeight="1">
      <c r="A179" s="9" t="n">
        <v>178</v>
      </c>
      <c r="B179" s="10">
        <f>_xludf.IMAGE("https://raw.githubusercontent.com/sshibinthomass/Rosary-Plant-House/master/assets/img/salePlants/"&amp;A179&amp;".jpg")</f>
        <v/>
      </c>
      <c r="C179" s="9">
        <f>Products!B179</f>
        <v/>
      </c>
      <c r="D179" s="9" t="inlineStr">
        <is>
          <t>Top</t>
        </is>
      </c>
      <c r="E179" s="11" t="n">
        <v>99</v>
      </c>
      <c r="F179" s="11" t="inlineStr">
        <is>
          <t>Available</t>
        </is>
      </c>
      <c r="G179" s="11" t="inlineStr">
        <is>
          <t>Low</t>
        </is>
      </c>
      <c r="H179" s="9">
        <f>IF(OR(Local!F179="NA",ISBLANK(Local!F179)),FALSE,TRUE)</f>
        <v/>
      </c>
      <c r="I179" s="9" t="b">
        <v>0</v>
      </c>
      <c r="J179" s="9" t="n"/>
      <c r="K179" s="5" t="n">
        <v>99</v>
      </c>
      <c r="L179" s="5" t="n">
        <v>59</v>
      </c>
      <c r="M179" s="12" t="n">
        <v>99</v>
      </c>
      <c r="N179" s="9" t="b">
        <v>1</v>
      </c>
    </row>
    <row r="180" ht="61.5" customHeight="1">
      <c r="A180" s="9" t="n">
        <v>179</v>
      </c>
      <c r="B180" s="10">
        <f>_xludf.IMAGE("https://raw.githubusercontent.com/sshibinthomass/Rosary-Plant-House/master/assets/img/salePlants/"&amp;A180&amp;".jpg")</f>
        <v/>
      </c>
      <c r="C180" s="9">
        <f>Products!B180</f>
        <v/>
      </c>
      <c r="D180" s="9" t="inlineStr">
        <is>
          <t>Top</t>
        </is>
      </c>
      <c r="E180" s="11" t="n">
        <v>79</v>
      </c>
      <c r="F180" s="11" t="inlineStr">
        <is>
          <t>Available</t>
        </is>
      </c>
      <c r="G180" s="11" t="inlineStr">
        <is>
          <t>VeryLow</t>
        </is>
      </c>
      <c r="H180" s="9">
        <f>IF(OR(Local!F180="NA",ISBLANK(Local!F180)),FALSE,TRUE)</f>
        <v/>
      </c>
      <c r="I180" s="9" t="b">
        <v>1</v>
      </c>
      <c r="J180" s="9" t="n"/>
      <c r="K180" s="5" t="n">
        <v>69</v>
      </c>
      <c r="L180" s="5" t="n">
        <v>59</v>
      </c>
      <c r="M180" s="12" t="n">
        <v>99</v>
      </c>
      <c r="N180" s="9" t="b">
        <v>1</v>
      </c>
    </row>
    <row r="181" ht="61.5" customHeight="1">
      <c r="A181" s="9" t="n">
        <v>180</v>
      </c>
      <c r="B181" s="10">
        <f>_xludf.IMAGE("https://raw.githubusercontent.com/sshibinthomass/Rosary-Plant-House/master/assets/img/salePlants/"&amp;A181&amp;".jpg")</f>
        <v/>
      </c>
      <c r="C181" s="9">
        <f>Products!B181</f>
        <v/>
      </c>
      <c r="D181" s="9" t="inlineStr">
        <is>
          <t>Top</t>
        </is>
      </c>
      <c r="E181" s="11" t="n">
        <v>89</v>
      </c>
      <c r="F181" s="11" t="inlineStr">
        <is>
          <t>Available</t>
        </is>
      </c>
      <c r="G181" s="11" t="inlineStr">
        <is>
          <t>VeryLow</t>
        </is>
      </c>
      <c r="H181" s="9">
        <f>IF(OR(Local!F181="NA",ISBLANK(Local!F181)),FALSE,TRUE)</f>
        <v/>
      </c>
      <c r="I181" s="9" t="b">
        <v>0</v>
      </c>
      <c r="J181" s="9" t="n"/>
      <c r="K181" s="5" t="n">
        <v>99</v>
      </c>
      <c r="L181" s="5" t="n">
        <v>99</v>
      </c>
      <c r="M181" s="12" t="n">
        <v>99</v>
      </c>
      <c r="N181" s="9" t="b">
        <v>1</v>
      </c>
    </row>
    <row r="182" ht="61.5" customHeight="1">
      <c r="A182" s="9" t="n">
        <v>181</v>
      </c>
      <c r="B182" s="10">
        <f>_xludf.IMAGE("https://raw.githubusercontent.com/sshibinthomass/Rosary-Plant-House/master/assets/img/salePlants/"&amp;A182&amp;".jpg")</f>
        <v/>
      </c>
      <c r="C182" s="9">
        <f>Products!B182</f>
        <v/>
      </c>
      <c r="D182" s="9" t="inlineStr">
        <is>
          <t>Top</t>
        </is>
      </c>
      <c r="E182" s="11" t="n">
        <v>79</v>
      </c>
      <c r="F182" s="11" t="inlineStr">
        <is>
          <t>NA</t>
        </is>
      </c>
      <c r="G182" s="11" t="inlineStr">
        <is>
          <t>VeryLow</t>
        </is>
      </c>
      <c r="H182" s="9">
        <f>IF(OR(Local!F182="NA",ISBLANK(Local!F182)),FALSE,TRUE)</f>
        <v/>
      </c>
      <c r="I182" s="9" t="b">
        <v>0</v>
      </c>
      <c r="J182" s="9" t="n"/>
      <c r="K182" s="5" t="n">
        <v>99</v>
      </c>
      <c r="L182" s="5" t="n">
        <v>99</v>
      </c>
      <c r="M182" s="12" t="n">
        <v>99</v>
      </c>
      <c r="N182" s="9" t="b">
        <v>0</v>
      </c>
    </row>
    <row r="183" ht="61.5" customHeight="1">
      <c r="A183" s="9" t="n">
        <v>182</v>
      </c>
      <c r="B183" s="10">
        <f>_xludf.IMAGE("https://raw.githubusercontent.com/sshibinthomass/Rosary-Plant-House/master/assets/img/salePlants/"&amp;A183&amp;".jpg")</f>
        <v/>
      </c>
      <c r="C183" s="9">
        <f>Products!B183</f>
        <v/>
      </c>
      <c r="D183" s="9" t="inlineStr">
        <is>
          <t>Top</t>
        </is>
      </c>
      <c r="E183" s="11" t="n">
        <v>120</v>
      </c>
      <c r="F183" s="11" t="inlineStr">
        <is>
          <t>NA</t>
        </is>
      </c>
      <c r="G183" s="11" t="inlineStr">
        <is>
          <t>High</t>
        </is>
      </c>
      <c r="H183" s="9">
        <f>IF(OR(Local!F183="NA",ISBLANK(Local!F183)),FALSE,TRUE)</f>
        <v/>
      </c>
      <c r="I183" s="9" t="b">
        <v>0</v>
      </c>
      <c r="J183" s="9" t="n"/>
      <c r="K183" s="5" t="n">
        <v>99</v>
      </c>
      <c r="L183" s="5" t="n">
        <v>89</v>
      </c>
      <c r="M183" s="12" t="n">
        <v>99</v>
      </c>
      <c r="N183" s="9" t="b">
        <v>0</v>
      </c>
    </row>
    <row r="184" ht="61.5" customHeight="1">
      <c r="A184" s="9" t="n">
        <v>183</v>
      </c>
      <c r="B184" s="10">
        <f>_xludf.IMAGE("https://raw.githubusercontent.com/sshibinthomass/Rosary-Plant-House/master/assets/img/salePlants/"&amp;A184&amp;".jpg")</f>
        <v/>
      </c>
      <c r="C184" s="9">
        <f>Products!B184</f>
        <v/>
      </c>
      <c r="D184" s="9" t="inlineStr">
        <is>
          <t>Top</t>
        </is>
      </c>
      <c r="E184" s="11" t="n">
        <v>89</v>
      </c>
      <c r="F184" s="11" t="inlineStr">
        <is>
          <t>Low</t>
        </is>
      </c>
      <c r="G184" s="11" t="inlineStr">
        <is>
          <t>VeryLow</t>
        </is>
      </c>
      <c r="H184" s="9">
        <f>IF(OR(Local!F184="NA",ISBLANK(Local!F184)),FALSE,TRUE)</f>
        <v/>
      </c>
      <c r="I184" s="9" t="b">
        <v>0</v>
      </c>
      <c r="J184" s="9" t="n"/>
      <c r="K184" s="5" t="n">
        <v>99</v>
      </c>
      <c r="L184" s="5" t="n">
        <v>99</v>
      </c>
      <c r="M184" s="12" t="n">
        <v>99</v>
      </c>
      <c r="N184" s="9" t="b">
        <v>1</v>
      </c>
    </row>
    <row r="185" ht="61.5" customHeight="1">
      <c r="A185" s="9" t="n">
        <v>184</v>
      </c>
      <c r="B185" s="10">
        <f>_xludf.IMAGE("https://raw.githubusercontent.com/sshibinthomass/Rosary-Plant-House/master/assets/img/salePlants/"&amp;A185&amp;".jpg")</f>
        <v/>
      </c>
      <c r="C185" s="9">
        <f>Products!B185</f>
        <v/>
      </c>
      <c r="D185" s="9" t="inlineStr">
        <is>
          <t>Top</t>
        </is>
      </c>
      <c r="E185" s="11" t="n">
        <v>89</v>
      </c>
      <c r="F185" s="11" t="inlineStr">
        <is>
          <t>NA</t>
        </is>
      </c>
      <c r="G185" s="11" t="inlineStr">
        <is>
          <t>High</t>
        </is>
      </c>
      <c r="H185" s="9">
        <f>IF(OR(Local!F185="NA",ISBLANK(Local!F185)),FALSE,TRUE)</f>
        <v/>
      </c>
      <c r="I185" s="9" t="b">
        <v>0</v>
      </c>
      <c r="J185" s="9" t="n"/>
      <c r="K185" s="5" t="n">
        <v>199</v>
      </c>
      <c r="L185" s="5" t="n">
        <v>199</v>
      </c>
      <c r="M185" s="12" t="n">
        <v>199</v>
      </c>
      <c r="N185" s="9" t="b">
        <v>0</v>
      </c>
    </row>
    <row r="186" ht="61.5" customHeight="1">
      <c r="A186" s="9" t="n">
        <v>185</v>
      </c>
      <c r="B186" s="10">
        <f>_xludf.IMAGE("https://raw.githubusercontent.com/sshibinthomass/Rosary-Plant-House/master/assets/img/salePlants/"&amp;A186&amp;".jpg")</f>
        <v/>
      </c>
      <c r="C186" s="9">
        <f>Products!B186</f>
        <v/>
      </c>
      <c r="D186" s="9" t="inlineStr">
        <is>
          <t>Top</t>
        </is>
      </c>
      <c r="E186" s="11" t="n">
        <v>120</v>
      </c>
      <c r="F186" s="11" t="inlineStr">
        <is>
          <t>Available</t>
        </is>
      </c>
      <c r="G186" s="11" t="inlineStr">
        <is>
          <t>VeryLow</t>
        </is>
      </c>
      <c r="H186" s="9">
        <f>IF(OR(Local!F186="NA",ISBLANK(Local!F186)),FALSE,TRUE)</f>
        <v/>
      </c>
      <c r="I186" s="9" t="b">
        <v>0</v>
      </c>
      <c r="J186" s="9" t="n"/>
      <c r="K186" s="5" t="n">
        <v>99</v>
      </c>
      <c r="L186" s="5" t="n">
        <v>59</v>
      </c>
      <c r="M186" s="12" t="n">
        <v>99</v>
      </c>
      <c r="N186" s="9" t="b">
        <v>0</v>
      </c>
    </row>
    <row r="187" ht="61.5" customHeight="1">
      <c r="A187" s="9" t="n">
        <v>186</v>
      </c>
      <c r="B187" s="10">
        <f>_xludf.IMAGE("https://raw.githubusercontent.com/sshibinthomass/Rosary-Plant-House/master/assets/img/salePlants/"&amp;A187&amp;".jpg")</f>
        <v/>
      </c>
      <c r="C187" s="9">
        <f>Products!B187</f>
        <v/>
      </c>
      <c r="D187" s="9" t="inlineStr">
        <is>
          <t>Top</t>
        </is>
      </c>
      <c r="E187" s="11" t="n">
        <v>120</v>
      </c>
      <c r="F187" s="11" t="inlineStr">
        <is>
          <t>Available</t>
        </is>
      </c>
      <c r="G187" s="11" t="inlineStr">
        <is>
          <t>VeryLow</t>
        </is>
      </c>
      <c r="H187" s="9">
        <f>IF(OR(Local!E156="NA",ISBLANK(Local!E156)),FALSE,TRUE)</f>
        <v/>
      </c>
      <c r="I187" s="9" t="b">
        <v>1</v>
      </c>
      <c r="J187" s="9" t="n"/>
      <c r="K187" s="5" t="n">
        <v>89</v>
      </c>
      <c r="L187" s="5" t="n">
        <v>79</v>
      </c>
      <c r="M187" s="12" t="n">
        <v>99</v>
      </c>
      <c r="N187" s="9" t="b">
        <v>1</v>
      </c>
    </row>
    <row r="188" ht="61.5" customHeight="1">
      <c r="A188" s="9" t="n">
        <v>187</v>
      </c>
      <c r="B188" s="10">
        <f>_xludf.IMAGE("https://raw.githubusercontent.com/sshibinthomass/Rosary-Plant-House/master/assets/img/salePlants/"&amp;A188&amp;".jpg")</f>
        <v/>
      </c>
      <c r="C188" s="9">
        <f>Products!B188</f>
        <v/>
      </c>
      <c r="D188" s="9" t="inlineStr">
        <is>
          <t>Top</t>
        </is>
      </c>
      <c r="E188" s="11" t="n">
        <v>69</v>
      </c>
      <c r="F188" s="13" t="inlineStr">
        <is>
          <t>NA</t>
        </is>
      </c>
      <c r="G188" s="11" t="inlineStr">
        <is>
          <t>Low</t>
        </is>
      </c>
      <c r="H188" s="9">
        <f>IF(OR(Local!F188="NA",ISBLANK(Local!F188)),FALSE,TRUE)</f>
        <v/>
      </c>
      <c r="I188" s="9" t="b">
        <v>0</v>
      </c>
      <c r="J188" s="9" t="n"/>
      <c r="K188" s="5" t="n">
        <v>99</v>
      </c>
      <c r="L188" s="5" t="n">
        <v>99</v>
      </c>
      <c r="M188" s="12" t="n">
        <v>99</v>
      </c>
      <c r="N188" s="9" t="b">
        <v>0</v>
      </c>
    </row>
    <row r="189" ht="61.5" customHeight="1">
      <c r="A189" s="9" t="n">
        <v>188</v>
      </c>
      <c r="B189" s="10">
        <f>_xludf.IMAGE("https://raw.githubusercontent.com/sshibinthomass/Rosary-Plant-House/master/assets/img/salePlants/"&amp;A189&amp;".jpg")</f>
        <v/>
      </c>
      <c r="C189" s="9">
        <f>Products!B189</f>
        <v/>
      </c>
      <c r="D189" s="9" t="inlineStr">
        <is>
          <t>Top</t>
        </is>
      </c>
      <c r="E189" s="11" t="n">
        <v>99</v>
      </c>
      <c r="F189" s="11" t="inlineStr">
        <is>
          <t>Available</t>
        </is>
      </c>
      <c r="G189" s="11" t="inlineStr">
        <is>
          <t>Low</t>
        </is>
      </c>
      <c r="H189" s="9">
        <f>IF(OR(Local!F189="NA",ISBLANK(Local!F189)),FALSE,TRUE)</f>
        <v/>
      </c>
      <c r="I189" s="9" t="b">
        <v>1</v>
      </c>
      <c r="J189" s="9" t="n"/>
      <c r="K189" s="5" t="n">
        <v>89</v>
      </c>
      <c r="L189" s="5" t="n">
        <v>99</v>
      </c>
      <c r="M189" s="12" t="n">
        <v>99</v>
      </c>
      <c r="N189" s="9" t="b">
        <v>1</v>
      </c>
    </row>
    <row r="190" ht="61.5" customHeight="1">
      <c r="A190" s="9" t="n">
        <v>189</v>
      </c>
      <c r="B190" s="10">
        <f>_xludf.IMAGE("https://raw.githubusercontent.com/sshibinthomass/Rosary-Plant-House/master/assets/img/salePlants/"&amp;A190&amp;".jpg")</f>
        <v/>
      </c>
      <c r="C190" s="9">
        <f>Products!B190</f>
        <v/>
      </c>
      <c r="D190" s="9" t="inlineStr">
        <is>
          <t>Top</t>
        </is>
      </c>
      <c r="E190" s="11" t="n">
        <v>120</v>
      </c>
      <c r="F190" s="11" t="inlineStr">
        <is>
          <t>Low</t>
        </is>
      </c>
      <c r="G190" s="11" t="inlineStr">
        <is>
          <t>High</t>
        </is>
      </c>
      <c r="H190" s="9">
        <f>IF(OR(Local!F190="NA",ISBLANK(Local!F190)),FALSE,TRUE)</f>
        <v/>
      </c>
      <c r="I190" s="9" t="b">
        <v>0</v>
      </c>
      <c r="J190" s="9" t="n"/>
      <c r="K190" s="5" t="n">
        <v>99</v>
      </c>
      <c r="L190" s="5" t="n">
        <v>79</v>
      </c>
      <c r="M190" s="12" t="n">
        <v>99</v>
      </c>
      <c r="N190" s="9" t="b">
        <v>0</v>
      </c>
    </row>
    <row r="191" ht="61.5" customHeight="1">
      <c r="A191" s="9" t="n">
        <v>190</v>
      </c>
      <c r="B191" s="10">
        <f>_xludf.IMAGE("https://raw.githubusercontent.com/sshibinthomass/Rosary-Plant-House/master/assets/img/salePlants/"&amp;A191&amp;".jpg")</f>
        <v/>
      </c>
      <c r="C191" s="9">
        <f>Products!B191</f>
        <v/>
      </c>
      <c r="D191" s="9" t="inlineStr">
        <is>
          <t>Top</t>
        </is>
      </c>
      <c r="E191" s="11" t="n">
        <v>120</v>
      </c>
      <c r="F191" s="11" t="inlineStr">
        <is>
          <t>NA</t>
        </is>
      </c>
      <c r="G191" s="11" t="inlineStr">
        <is>
          <t>High</t>
        </is>
      </c>
      <c r="H191" s="9">
        <f>IF(OR(Local!F191="NA",ISBLANK(Local!F191)),FALSE,TRUE)</f>
        <v/>
      </c>
      <c r="I191" s="9" t="b">
        <v>1</v>
      </c>
      <c r="J191" s="9" t="n"/>
      <c r="K191" s="5" t="n">
        <v>99</v>
      </c>
      <c r="L191" s="5" t="n">
        <v>99</v>
      </c>
      <c r="M191" s="12" t="n">
        <v>99</v>
      </c>
      <c r="N191" s="9" t="b">
        <v>0</v>
      </c>
    </row>
    <row r="192" ht="61.5" customHeight="1">
      <c r="A192" s="9" t="n">
        <v>191</v>
      </c>
      <c r="B192" s="10">
        <f>_xludf.IMAGE("https://raw.githubusercontent.com/sshibinthomass/Rosary-Plant-House/master/assets/img/salePlants/"&amp;A192&amp;".jpg")</f>
        <v/>
      </c>
      <c r="C192" s="9">
        <f>Products!B192</f>
        <v/>
      </c>
      <c r="D192" s="9" t="inlineStr">
        <is>
          <t>Top</t>
        </is>
      </c>
      <c r="E192" s="11" t="n">
        <v>99</v>
      </c>
      <c r="F192" s="11" t="inlineStr">
        <is>
          <t>Available</t>
        </is>
      </c>
      <c r="G192" s="11" t="inlineStr">
        <is>
          <t>Medium</t>
        </is>
      </c>
      <c r="H192" s="9">
        <f>IF(OR(Local!F192="NA",ISBLANK(Local!F192)),FALSE,TRUE)</f>
        <v/>
      </c>
      <c r="I192" s="9" t="b">
        <v>1</v>
      </c>
      <c r="J192" s="9" t="n"/>
      <c r="K192" s="5" t="n">
        <v>89</v>
      </c>
      <c r="L192" s="5" t="n">
        <v>69</v>
      </c>
      <c r="M192" s="12" t="n">
        <v>99</v>
      </c>
      <c r="N192" s="9" t="b">
        <v>1</v>
      </c>
    </row>
    <row r="193" ht="61.5" customHeight="1">
      <c r="A193" s="9" t="n">
        <v>192</v>
      </c>
      <c r="B193" s="10">
        <f>_xludf.IMAGE("https://raw.githubusercontent.com/sshibinthomass/Rosary-Plant-House/master/assets/img/salePlants/"&amp;A193&amp;".jpg")</f>
        <v/>
      </c>
      <c r="C193" s="9">
        <f>Products!B193</f>
        <v/>
      </c>
      <c r="D193" s="9" t="inlineStr">
        <is>
          <t>Top</t>
        </is>
      </c>
      <c r="E193" s="11" t="n">
        <v>120</v>
      </c>
      <c r="F193" s="11" t="inlineStr">
        <is>
          <t>Available</t>
        </is>
      </c>
      <c r="G193" s="11" t="inlineStr">
        <is>
          <t>Medium</t>
        </is>
      </c>
      <c r="H193" s="9">
        <f>IF(OR(Local!F193="NA",ISBLANK(Local!F193)),FALSE,TRUE)</f>
        <v/>
      </c>
      <c r="I193" s="9" t="b">
        <v>1</v>
      </c>
      <c r="J193" s="9" t="n"/>
      <c r="K193" s="5" t="n">
        <v>89</v>
      </c>
      <c r="L193" s="5" t="n">
        <v>69</v>
      </c>
      <c r="M193" s="12" t="n">
        <v>99</v>
      </c>
      <c r="N193" s="9" t="b">
        <v>1</v>
      </c>
    </row>
    <row r="194" ht="61.5" customHeight="1">
      <c r="A194" s="9" t="n">
        <v>193</v>
      </c>
      <c r="B194" s="10">
        <f>_xludf.IMAGE("https://raw.githubusercontent.com/sshibinthomass/Rosary-Plant-House/master/assets/img/salePlants/"&amp;A194&amp;".jpg")</f>
        <v/>
      </c>
      <c r="C194" s="9">
        <f>Products!B194</f>
        <v/>
      </c>
      <c r="D194" s="9" t="inlineStr">
        <is>
          <t>Top</t>
        </is>
      </c>
      <c r="E194" s="11" t="n">
        <v>120</v>
      </c>
      <c r="F194" s="11" t="inlineStr">
        <is>
          <t>Available</t>
        </is>
      </c>
      <c r="G194" s="11" t="inlineStr">
        <is>
          <t>Medium</t>
        </is>
      </c>
      <c r="H194" s="9">
        <f>IF(OR(Local!F194="NA",ISBLANK(Local!F194)),FALSE,TRUE)</f>
        <v/>
      </c>
      <c r="I194" s="9" t="b">
        <v>0</v>
      </c>
      <c r="J194" s="9" t="n"/>
      <c r="K194" s="5" t="n">
        <v>99</v>
      </c>
      <c r="L194" s="5" t="n">
        <v>59</v>
      </c>
      <c r="M194" s="12" t="n">
        <v>99</v>
      </c>
      <c r="N194" s="9" t="b">
        <v>0</v>
      </c>
    </row>
    <row r="195" ht="61.5" customHeight="1">
      <c r="A195" s="9" t="n">
        <v>194</v>
      </c>
      <c r="B195" s="10">
        <f>_xludf.IMAGE("https://raw.githubusercontent.com/sshibinthomass/Rosary-Plant-House/master/assets/img/salePlants/"&amp;A195&amp;".jpg")</f>
        <v/>
      </c>
      <c r="C195" s="9">
        <f>Products!B195</f>
        <v/>
      </c>
      <c r="D195" s="9" t="inlineStr">
        <is>
          <t>Top</t>
        </is>
      </c>
      <c r="E195" s="11" t="n">
        <v>99</v>
      </c>
      <c r="F195" s="11" t="inlineStr">
        <is>
          <t>Low</t>
        </is>
      </c>
      <c r="G195" s="11" t="inlineStr">
        <is>
          <t>Medium</t>
        </is>
      </c>
      <c r="H195" s="9">
        <f>IF(OR(Local!F195="NA",ISBLANK(Local!F195)),FALSE,TRUE)</f>
        <v/>
      </c>
      <c r="I195" s="9" t="b">
        <v>1</v>
      </c>
      <c r="J195" s="9" t="n"/>
      <c r="K195" s="5" t="n">
        <v>199</v>
      </c>
      <c r="L195" s="5" t="n">
        <v>149</v>
      </c>
      <c r="M195" s="12" t="n">
        <v>199</v>
      </c>
      <c r="N195" s="9" t="b">
        <v>1</v>
      </c>
    </row>
    <row r="196" ht="61.5" customHeight="1">
      <c r="A196" s="9" t="n">
        <v>195</v>
      </c>
      <c r="B196" s="10">
        <f>_xludf.IMAGE("https://raw.githubusercontent.com/sshibinthomass/Rosary-Plant-House/master/assets/img/salePlants/"&amp;A196&amp;".jpg")</f>
        <v/>
      </c>
      <c r="C196" s="9">
        <f>Products!B196</f>
        <v/>
      </c>
      <c r="D196" s="9" t="inlineStr">
        <is>
          <t>Top</t>
        </is>
      </c>
      <c r="E196" s="11" t="n">
        <v>99</v>
      </c>
      <c r="F196" s="11" t="inlineStr">
        <is>
          <t>Low</t>
        </is>
      </c>
      <c r="G196" s="11" t="inlineStr">
        <is>
          <t>High</t>
        </is>
      </c>
      <c r="H196" s="9">
        <f>IF(OR(Local!F196="NA",ISBLANK(Local!F196)),FALSE,TRUE)</f>
        <v/>
      </c>
      <c r="I196" s="9" t="b">
        <v>1</v>
      </c>
      <c r="J196" s="9" t="n"/>
      <c r="K196" s="5" t="n">
        <v>249</v>
      </c>
      <c r="L196" s="5" t="n">
        <v>149</v>
      </c>
      <c r="M196" s="12" t="n">
        <v>249</v>
      </c>
      <c r="N196" s="9" t="b">
        <v>1</v>
      </c>
    </row>
    <row r="197" ht="61.5" customHeight="1">
      <c r="A197" s="9" t="n">
        <v>196</v>
      </c>
      <c r="B197" s="10">
        <f>_xludf.IMAGE("https://raw.githubusercontent.com/sshibinthomass/Rosary-Plant-House/master/assets/img/salePlants/"&amp;A197&amp;".jpg")</f>
        <v/>
      </c>
      <c r="C197" s="9">
        <f>Products!B197</f>
        <v/>
      </c>
      <c r="D197" s="9" t="inlineStr">
        <is>
          <t>Top</t>
        </is>
      </c>
      <c r="E197" s="11" t="n">
        <v>79</v>
      </c>
      <c r="F197" s="11" t="inlineStr">
        <is>
          <t>Available</t>
        </is>
      </c>
      <c r="G197" s="11" t="inlineStr">
        <is>
          <t>High</t>
        </is>
      </c>
      <c r="H197" s="9">
        <f>IF(OR(Local!F197="NA",ISBLANK(Local!F197)),FALSE,TRUE)</f>
        <v/>
      </c>
      <c r="I197" s="9" t="b">
        <v>1</v>
      </c>
      <c r="J197" s="9" t="n"/>
      <c r="K197" s="5" t="n">
        <v>199</v>
      </c>
      <c r="L197" s="5" t="n">
        <v>99</v>
      </c>
      <c r="M197" s="16" t="n">
        <v>199</v>
      </c>
      <c r="N197" s="9" t="b">
        <v>1</v>
      </c>
    </row>
    <row r="198" ht="61.5" customHeight="1">
      <c r="A198" s="9" t="n">
        <v>197</v>
      </c>
      <c r="B198" s="10">
        <f>_xludf.IMAGE("https://raw.githubusercontent.com/sshibinthomass/Rosary-Plant-House/master/assets/img/salePlants/"&amp;A198&amp;".jpg")</f>
        <v/>
      </c>
      <c r="C198" s="9">
        <f>Products!B198</f>
        <v/>
      </c>
      <c r="D198" s="9" t="inlineStr">
        <is>
          <t>Top</t>
        </is>
      </c>
      <c r="E198" s="11" t="n">
        <v>69</v>
      </c>
      <c r="F198" s="11" t="inlineStr">
        <is>
          <t>Low</t>
        </is>
      </c>
      <c r="G198" s="11" t="inlineStr">
        <is>
          <t>Medium</t>
        </is>
      </c>
      <c r="H198" s="9">
        <f>IF(OR(Local!F198="NA",ISBLANK(Local!F198)),FALSE,TRUE)</f>
        <v/>
      </c>
      <c r="I198" s="9" t="b">
        <v>0</v>
      </c>
      <c r="J198" s="9" t="n"/>
      <c r="K198" s="5" t="n">
        <v>59</v>
      </c>
      <c r="L198" s="5" t="n">
        <v>49</v>
      </c>
      <c r="M198" s="12" t="n">
        <v>59</v>
      </c>
      <c r="N198" s="9" t="b">
        <v>0</v>
      </c>
    </row>
    <row r="199" ht="61.5" customHeight="1">
      <c r="A199" s="9" t="n">
        <v>198</v>
      </c>
      <c r="B199" s="10">
        <f>_xludf.IMAGE("https://raw.githubusercontent.com/sshibinthomass/Rosary-Plant-House/master/assets/img/salePlants/"&amp;A199&amp;".jpg")</f>
        <v/>
      </c>
      <c r="C199" s="9">
        <f>Products!B199</f>
        <v/>
      </c>
      <c r="D199" s="9" t="inlineStr">
        <is>
          <t>Top</t>
        </is>
      </c>
      <c r="E199" s="11" t="n">
        <v>149</v>
      </c>
      <c r="F199" s="11" t="inlineStr">
        <is>
          <t>NA</t>
        </is>
      </c>
      <c r="G199" s="11" t="inlineStr">
        <is>
          <t>Low</t>
        </is>
      </c>
      <c r="H199" s="9">
        <f>IF(OR(Local!F199="NA",ISBLANK(Local!F199)),FALSE,TRUE)</f>
        <v/>
      </c>
      <c r="I199" s="9" t="b">
        <v>0</v>
      </c>
      <c r="J199" s="9" t="n"/>
      <c r="K199" s="5" t="n">
        <v>59</v>
      </c>
      <c r="L199" s="5" t="n">
        <v>49</v>
      </c>
      <c r="M199" s="12" t="n">
        <v>69</v>
      </c>
      <c r="N199" s="9" t="b">
        <v>0</v>
      </c>
    </row>
    <row r="200" ht="61.5" customHeight="1">
      <c r="A200" s="9" t="n">
        <v>199</v>
      </c>
      <c r="B200" s="10">
        <f>_xludf.IMAGE("https://raw.githubusercontent.com/sshibinthomass/Rosary-Plant-House/master/assets/img/salePlants/"&amp;A200&amp;".jpg")</f>
        <v/>
      </c>
      <c r="C200" s="9">
        <f>Products!B200</f>
        <v/>
      </c>
      <c r="D200" s="9" t="inlineStr">
        <is>
          <t>Top</t>
        </is>
      </c>
      <c r="E200" s="11" t="n">
        <v>149</v>
      </c>
      <c r="F200" s="11" t="inlineStr">
        <is>
          <t>NA</t>
        </is>
      </c>
      <c r="G200" s="11" t="inlineStr">
        <is>
          <t>VeryLow</t>
        </is>
      </c>
      <c r="H200" s="9">
        <f>IF(OR(Local!F200="NA",ISBLANK(Local!F200)),FALSE,TRUE)</f>
        <v/>
      </c>
      <c r="I200" s="9" t="b">
        <v>0</v>
      </c>
      <c r="J200" s="9" t="n"/>
      <c r="K200" s="5" t="n">
        <v>69</v>
      </c>
      <c r="L200" s="5" t="n">
        <v>69</v>
      </c>
      <c r="M200" s="12" t="n">
        <v>69</v>
      </c>
      <c r="N200" s="9" t="b">
        <v>0</v>
      </c>
    </row>
    <row r="201" ht="61.5" customHeight="1">
      <c r="A201" s="9" t="n">
        <v>200</v>
      </c>
      <c r="B201" s="10">
        <f>_xludf.IMAGE("https://raw.githubusercontent.com/sshibinthomass/Rosary-Plant-House/master/assets/img/salePlants/"&amp;A201&amp;".jpg")</f>
        <v/>
      </c>
      <c r="C201" s="9">
        <f>Products!B201</f>
        <v/>
      </c>
      <c r="D201" s="9" t="inlineStr">
        <is>
          <t>Top</t>
        </is>
      </c>
      <c r="E201" s="11" t="n">
        <v>120</v>
      </c>
      <c r="F201" s="11" t="inlineStr">
        <is>
          <t>NA</t>
        </is>
      </c>
      <c r="G201" s="11" t="inlineStr">
        <is>
          <t>VeryHigh</t>
        </is>
      </c>
      <c r="H201" s="9">
        <f>IF(OR(Local!F201="NA",ISBLANK(Local!F201)),FALSE,TRUE)</f>
        <v/>
      </c>
      <c r="I201" s="9" t="b">
        <v>1</v>
      </c>
      <c r="J201" s="9" t="n"/>
      <c r="K201" s="5" t="n">
        <v>49</v>
      </c>
      <c r="L201" s="5" t="n">
        <v>39</v>
      </c>
      <c r="M201" s="12" t="n">
        <v>49</v>
      </c>
      <c r="N201" s="9" t="b">
        <v>1</v>
      </c>
    </row>
    <row r="202" ht="61.5" customHeight="1">
      <c r="A202" s="9" t="n">
        <v>201</v>
      </c>
      <c r="B202" s="10">
        <f>_xludf.IMAGE("https://raw.githubusercontent.com/sshibinthomass/Rosary-Plant-House/master/assets/img/salePlants/"&amp;A202&amp;".jpg")</f>
        <v/>
      </c>
      <c r="C202" s="9">
        <f>Products!B202</f>
        <v/>
      </c>
      <c r="D202" s="9" t="inlineStr">
        <is>
          <t>Top</t>
        </is>
      </c>
      <c r="E202" s="11" t="n">
        <v>59</v>
      </c>
      <c r="F202" s="11" t="inlineStr">
        <is>
          <t>Available</t>
        </is>
      </c>
      <c r="G202" s="11" t="inlineStr">
        <is>
          <t>Medium</t>
        </is>
      </c>
      <c r="H202" s="9">
        <f>IF(OR(Local!F202="NA",ISBLANK(Local!F202)),FALSE,TRUE)</f>
        <v/>
      </c>
      <c r="I202" s="9" t="b">
        <v>0</v>
      </c>
      <c r="J202" s="9" t="n"/>
      <c r="K202" s="5" t="n">
        <v>69</v>
      </c>
      <c r="L202" s="5" t="n">
        <v>49</v>
      </c>
      <c r="M202" s="17" t="n">
        <v>69</v>
      </c>
      <c r="N202" s="9" t="b">
        <v>1</v>
      </c>
    </row>
    <row r="203" ht="61.5" customHeight="1">
      <c r="A203" s="9" t="n">
        <v>202</v>
      </c>
      <c r="B203" s="10">
        <f>_xludf.IMAGE("https://raw.githubusercontent.com/sshibinthomass/Rosary-Plant-House/master/assets/img/salePlants/"&amp;A203&amp;".jpg")</f>
        <v/>
      </c>
      <c r="C203" s="9">
        <f>Products!B203</f>
        <v/>
      </c>
      <c r="D203" s="9" t="inlineStr">
        <is>
          <t>Top</t>
        </is>
      </c>
      <c r="E203" s="11" t="n">
        <v>149</v>
      </c>
      <c r="F203" s="11" t="inlineStr">
        <is>
          <t>NA</t>
        </is>
      </c>
      <c r="G203" s="11" t="inlineStr">
        <is>
          <t>Medium</t>
        </is>
      </c>
      <c r="H203" s="9">
        <f>IF(OR(Local!F203="NA",ISBLANK(Local!F203)),FALSE,TRUE)</f>
        <v/>
      </c>
      <c r="I203" s="9" t="b">
        <v>0</v>
      </c>
      <c r="J203" s="9" t="n"/>
      <c r="K203" s="5" t="n">
        <v>69</v>
      </c>
      <c r="L203" s="5" t="n">
        <v>59</v>
      </c>
      <c r="M203" s="12" t="n">
        <v>79</v>
      </c>
      <c r="N203" s="9" t="b">
        <v>1</v>
      </c>
    </row>
    <row r="204" ht="61.5" customHeight="1">
      <c r="A204" s="9" t="n">
        <v>203</v>
      </c>
      <c r="B204" s="10">
        <f>_xludf.IMAGE("https://raw.githubusercontent.com/sshibinthomass/Rosary-Plant-House/master/assets/img/salePlants/"&amp;A204&amp;".jpg")</f>
        <v/>
      </c>
      <c r="C204" s="9">
        <f>Products!B204</f>
        <v/>
      </c>
      <c r="D204" s="9" t="inlineStr">
        <is>
          <t>Top</t>
        </is>
      </c>
      <c r="E204" s="12" t="n">
        <v>69</v>
      </c>
      <c r="F204" s="11" t="inlineStr">
        <is>
          <t>Available</t>
        </is>
      </c>
      <c r="G204" s="11" t="inlineStr">
        <is>
          <t>Medium</t>
        </is>
      </c>
      <c r="H204" s="9">
        <f>IF(OR(Local!F204="NA",ISBLANK(Local!F204)),FALSE,TRUE)</f>
        <v/>
      </c>
      <c r="I204" s="9" t="b">
        <v>0</v>
      </c>
      <c r="J204" s="9" t="n"/>
      <c r="K204" s="5" t="n">
        <v>120</v>
      </c>
      <c r="L204" s="5" t="n">
        <v>120</v>
      </c>
      <c r="M204" s="16" t="n">
        <v>120</v>
      </c>
      <c r="N204" s="9" t="b">
        <v>1</v>
      </c>
    </row>
    <row r="205" ht="61.5" customHeight="1">
      <c r="A205" s="9" t="n">
        <v>204</v>
      </c>
      <c r="B205" s="10">
        <f>_xludf.IMAGE("https://raw.githubusercontent.com/sshibinthomass/Rosary-Plant-House/master/assets/img/salePlants/"&amp;A205&amp;".jpg")</f>
        <v/>
      </c>
      <c r="C205" s="9">
        <f>Products!B205</f>
        <v/>
      </c>
      <c r="D205" s="9" t="inlineStr">
        <is>
          <t>Top</t>
        </is>
      </c>
      <c r="E205" s="12" t="n">
        <v>69</v>
      </c>
      <c r="F205" s="11" t="inlineStr">
        <is>
          <t>Available</t>
        </is>
      </c>
      <c r="G205" s="11" t="inlineStr">
        <is>
          <t>VeryHigh</t>
        </is>
      </c>
      <c r="H205" s="9">
        <f>IF(OR(Local!F205="NA",ISBLANK(Local!F205)),FALSE,TRUE)</f>
        <v/>
      </c>
      <c r="I205" s="9" t="b">
        <v>0</v>
      </c>
      <c r="J205" s="9" t="n"/>
      <c r="K205" s="5" t="n">
        <v>149</v>
      </c>
      <c r="L205" s="5" t="n">
        <v>149</v>
      </c>
      <c r="M205" s="12" t="n">
        <v>149</v>
      </c>
      <c r="N205" s="9" t="b">
        <v>1</v>
      </c>
    </row>
    <row r="206" ht="61.5" customHeight="1">
      <c r="A206" s="9" t="n">
        <v>205</v>
      </c>
      <c r="B206" s="10">
        <f>_xludf.IMAGE("https://raw.githubusercontent.com/sshibinthomass/Rosary-Plant-House/master/assets/img/salePlants/"&amp;A206&amp;".jpg")</f>
        <v/>
      </c>
      <c r="C206" s="9">
        <f>Products!B206</f>
        <v/>
      </c>
      <c r="D206" s="9" t="inlineStr">
        <is>
          <t>Top</t>
        </is>
      </c>
      <c r="E206" s="12" t="n">
        <v>69</v>
      </c>
      <c r="F206" s="11" t="inlineStr">
        <is>
          <t>Available</t>
        </is>
      </c>
      <c r="G206" s="11" t="inlineStr">
        <is>
          <t>VeryHigh</t>
        </is>
      </c>
      <c r="H206" s="9">
        <f>IF(OR(Local!F206="NA",ISBLANK(Local!F206)),FALSE,TRUE)</f>
        <v/>
      </c>
      <c r="I206" s="9" t="b">
        <v>0</v>
      </c>
      <c r="J206" s="9" t="n"/>
      <c r="K206" s="5" t="n">
        <v>149</v>
      </c>
      <c r="L206" s="5" t="n">
        <v>99</v>
      </c>
      <c r="M206" s="12" t="n">
        <v>149</v>
      </c>
      <c r="N206" s="9" t="b">
        <v>1</v>
      </c>
    </row>
    <row r="207" ht="61.5" customHeight="1">
      <c r="A207" s="9" t="n">
        <v>206</v>
      </c>
      <c r="B207" s="10">
        <f>_xludf.IMAGE("https://raw.githubusercontent.com/sshibinthomass/Rosary-Plant-House/master/assets/img/salePlants/"&amp;A207&amp;".jpg")</f>
        <v/>
      </c>
      <c r="C207" s="9">
        <f>Products!B207</f>
        <v/>
      </c>
      <c r="D207" s="9" t="inlineStr">
        <is>
          <t>Top</t>
        </is>
      </c>
      <c r="E207" s="11" t="n">
        <v>69</v>
      </c>
      <c r="F207" s="11" t="inlineStr">
        <is>
          <t>Available</t>
        </is>
      </c>
      <c r="G207" s="11" t="inlineStr">
        <is>
          <t>NotStarted</t>
        </is>
      </c>
      <c r="H207" s="9">
        <f>IF(OR(Local!F207="NA",ISBLANK(Local!F207)),FALSE,TRUE)</f>
        <v/>
      </c>
      <c r="I207" s="9" t="b">
        <v>1</v>
      </c>
      <c r="J207" s="9" t="n"/>
      <c r="K207" s="5" t="n">
        <v>149</v>
      </c>
      <c r="L207" s="5" t="n">
        <v>79</v>
      </c>
      <c r="M207" s="12" t="n">
        <v>149</v>
      </c>
      <c r="N207" s="9" t="b">
        <v>1</v>
      </c>
    </row>
    <row r="208" ht="61.5" customHeight="1">
      <c r="A208" s="9" t="n">
        <v>207</v>
      </c>
      <c r="B208" s="10">
        <f>_xludf.IMAGE("https://raw.githubusercontent.com/sshibinthomass/Rosary-Plant-House/master/assets/img/salePlants/"&amp;A208&amp;".jpg")</f>
        <v/>
      </c>
      <c r="C208" s="9">
        <f>Products!B208</f>
        <v/>
      </c>
      <c r="D208" s="9" t="inlineStr">
        <is>
          <t>Top</t>
        </is>
      </c>
      <c r="E208" s="11" t="n">
        <v>69</v>
      </c>
      <c r="F208" s="11" t="inlineStr">
        <is>
          <t>Available</t>
        </is>
      </c>
      <c r="G208" s="11" t="inlineStr">
        <is>
          <t>Medium</t>
        </is>
      </c>
      <c r="H208" s="9">
        <f>IF(OR(Local!F208="NA",ISBLANK(Local!F208)),FALSE,TRUE)</f>
        <v/>
      </c>
      <c r="I208" s="9" t="b">
        <v>1</v>
      </c>
      <c r="J208" s="9" t="n"/>
      <c r="K208" s="5" t="n">
        <v>79</v>
      </c>
      <c r="L208" s="5" t="n">
        <v>59</v>
      </c>
      <c r="M208" s="12" t="n">
        <v>99</v>
      </c>
      <c r="N208" s="9" t="b">
        <v>1</v>
      </c>
    </row>
    <row r="209" ht="61.5" customHeight="1">
      <c r="A209" s="9" t="n">
        <v>208</v>
      </c>
      <c r="B209" s="10">
        <f>_xludf.IMAGE("https://raw.githubusercontent.com/sshibinthomass/Rosary-Plant-House/master/assets/img/salePlants/"&amp;A209&amp;".jpg")</f>
        <v/>
      </c>
      <c r="C209" s="9">
        <f>Products!B209</f>
        <v/>
      </c>
      <c r="D209" s="9" t="inlineStr">
        <is>
          <t>Top</t>
        </is>
      </c>
      <c r="E209" s="11" t="n">
        <v>69</v>
      </c>
      <c r="F209" s="11" t="inlineStr">
        <is>
          <t>Available</t>
        </is>
      </c>
      <c r="G209" s="11" t="inlineStr">
        <is>
          <t>Medium</t>
        </is>
      </c>
      <c r="H209" s="9">
        <f>IF(OR(Local!F209="NA",ISBLANK(Local!F209)),FALSE,TRUE)</f>
        <v/>
      </c>
      <c r="I209" s="9" t="b">
        <v>1</v>
      </c>
      <c r="J209" s="9" t="n"/>
      <c r="K209" s="5" t="n">
        <v>59</v>
      </c>
      <c r="L209" s="5" t="n">
        <v>59</v>
      </c>
      <c r="M209" s="12" t="n">
        <v>59</v>
      </c>
      <c r="N209" s="9" t="b">
        <v>0</v>
      </c>
    </row>
    <row r="210" ht="61.5" customHeight="1">
      <c r="A210" s="9" t="n">
        <v>209</v>
      </c>
      <c r="B210" s="10">
        <f>_xludf.IMAGE("https://raw.githubusercontent.com/sshibinthomass/Rosary-Plant-House/master/assets/img/salePlants/"&amp;A210&amp;".jpg")</f>
        <v/>
      </c>
      <c r="C210" s="9">
        <f>Products!B210</f>
        <v/>
      </c>
      <c r="D210" s="9" t="inlineStr">
        <is>
          <t>Top</t>
        </is>
      </c>
      <c r="E210" s="11" t="n">
        <v>69</v>
      </c>
      <c r="F210" s="11" t="inlineStr">
        <is>
          <t>Low</t>
        </is>
      </c>
      <c r="G210" s="11" t="inlineStr">
        <is>
          <t>VeryLow</t>
        </is>
      </c>
      <c r="H210" s="9">
        <f>IF(OR(Local!F210="NA",ISBLANK(Local!F210)),FALSE,TRUE)</f>
        <v/>
      </c>
      <c r="I210" s="9" t="b">
        <v>0</v>
      </c>
      <c r="J210" s="9" t="n"/>
      <c r="K210" s="5" t="n">
        <v>59</v>
      </c>
      <c r="L210" s="5" t="n">
        <v>49</v>
      </c>
      <c r="M210" s="12" t="n">
        <v>99</v>
      </c>
      <c r="N210" s="9" t="b">
        <v>0</v>
      </c>
    </row>
    <row r="211" ht="61.5" customHeight="1">
      <c r="A211" s="9" t="n">
        <v>210</v>
      </c>
      <c r="B211" s="10">
        <f>_xludf.IMAGE("https://raw.githubusercontent.com/sshibinthomass/Rosary-Plant-House/master/assets/img/salePlants/"&amp;A211&amp;".jpg")</f>
        <v/>
      </c>
      <c r="C211" s="9">
        <f>Products!B211</f>
        <v/>
      </c>
      <c r="D211" s="9" t="inlineStr">
        <is>
          <t>Top</t>
        </is>
      </c>
      <c r="E211" s="11" t="n">
        <v>99</v>
      </c>
      <c r="F211" s="11" t="inlineStr">
        <is>
          <t>Low</t>
        </is>
      </c>
      <c r="G211" s="11" t="inlineStr">
        <is>
          <t>NotStarted</t>
        </is>
      </c>
      <c r="H211" s="9">
        <f>IF(OR(Local!F211="NA",ISBLANK(Local!F211)),FALSE,TRUE)</f>
        <v/>
      </c>
      <c r="I211" s="9" t="b">
        <v>0</v>
      </c>
      <c r="J211" s="9" t="n"/>
      <c r="K211" s="5" t="n">
        <v>199</v>
      </c>
      <c r="L211" s="5" t="n">
        <v>199</v>
      </c>
      <c r="M211" s="12" t="n">
        <v>199</v>
      </c>
      <c r="N211" s="9" t="b">
        <v>0</v>
      </c>
    </row>
    <row r="212" ht="61.5" customHeight="1">
      <c r="A212" s="9" t="n">
        <v>211</v>
      </c>
      <c r="B212" s="10">
        <f>_xludf.IMAGE("https://raw.githubusercontent.com/sshibinthomass/Rosary-Plant-House/master/assets/img/salePlants/"&amp;A212&amp;".jpg")</f>
        <v/>
      </c>
      <c r="C212" s="9">
        <f>Products!B212</f>
        <v/>
      </c>
      <c r="D212" s="9" t="inlineStr">
        <is>
          <t>Top</t>
        </is>
      </c>
      <c r="E212" s="11" t="n">
        <v>149</v>
      </c>
      <c r="F212" s="11" t="inlineStr">
        <is>
          <t>Low</t>
        </is>
      </c>
      <c r="G212" s="11" t="inlineStr">
        <is>
          <t>NotStarted</t>
        </is>
      </c>
      <c r="H212" s="9">
        <f>IF(OR(Local!F212="NA",ISBLANK(Local!F212)),FALSE,TRUE)</f>
        <v/>
      </c>
      <c r="I212" s="9" t="b">
        <v>1</v>
      </c>
      <c r="J212" s="9" t="n"/>
      <c r="K212" s="5" t="n">
        <v>149</v>
      </c>
      <c r="L212" s="5" t="n">
        <v>69</v>
      </c>
      <c r="M212" s="12" t="n">
        <v>149</v>
      </c>
      <c r="N212" s="9" t="b">
        <v>1</v>
      </c>
    </row>
    <row r="213" ht="61.5" customHeight="1">
      <c r="A213" s="9" t="n">
        <v>212</v>
      </c>
      <c r="B213" s="10">
        <f>_xludf.IMAGE("https://raw.githubusercontent.com/sshibinthomass/Rosary-Plant-House/master/assets/img/salePlants/"&amp;A213&amp;".jpg")</f>
        <v/>
      </c>
      <c r="C213" s="9">
        <f>Products!B213</f>
        <v/>
      </c>
      <c r="D213" s="9" t="inlineStr">
        <is>
          <t>Top</t>
        </is>
      </c>
      <c r="E213" s="11" t="n">
        <v>139</v>
      </c>
      <c r="F213" s="11" t="inlineStr">
        <is>
          <t>Low</t>
        </is>
      </c>
      <c r="G213" s="11" t="inlineStr">
        <is>
          <t>NotStarted</t>
        </is>
      </c>
      <c r="H213" s="9">
        <f>IF(OR(Local!F213="NA",ISBLANK(Local!F213)),FALSE,TRUE)</f>
        <v/>
      </c>
      <c r="I213" s="9" t="b">
        <v>0</v>
      </c>
      <c r="J213" s="9" t="n"/>
      <c r="K213" s="5" t="n">
        <v>199</v>
      </c>
      <c r="L213" s="5" t="n">
        <v>199</v>
      </c>
      <c r="M213" s="12" t="n">
        <v>199</v>
      </c>
      <c r="N213" s="9" t="b">
        <v>0</v>
      </c>
    </row>
    <row r="214" ht="61.5" customHeight="1">
      <c r="A214" s="9" t="n">
        <v>213</v>
      </c>
      <c r="B214" s="10">
        <f>_xludf.IMAGE("https://raw.githubusercontent.com/sshibinthomass/Rosary-Plant-House/master/assets/img/salePlants/"&amp;A214&amp;".jpg")</f>
        <v/>
      </c>
      <c r="C214" s="9">
        <f>Products!B214</f>
        <v/>
      </c>
      <c r="D214" s="9" t="inlineStr">
        <is>
          <t>Top</t>
        </is>
      </c>
      <c r="E214" s="11" t="n">
        <v>69</v>
      </c>
      <c r="F214" s="11" t="inlineStr">
        <is>
          <t>Available</t>
        </is>
      </c>
      <c r="G214" s="11" t="inlineStr">
        <is>
          <t>Medium</t>
        </is>
      </c>
      <c r="H214" s="9">
        <f>IF(OR(Local!F214="NA",ISBLANK(Local!F214)),FALSE,TRUE)</f>
        <v/>
      </c>
      <c r="I214" s="9" t="b">
        <v>1</v>
      </c>
      <c r="J214" s="9" t="n"/>
      <c r="K214" s="5" t="n">
        <v>99</v>
      </c>
      <c r="L214" s="5" t="n">
        <v>59</v>
      </c>
      <c r="M214" s="12" t="n">
        <v>120</v>
      </c>
      <c r="N214" s="9" t="b">
        <v>1</v>
      </c>
    </row>
    <row r="215" ht="61.5" customHeight="1">
      <c r="A215" s="9" t="n">
        <v>214</v>
      </c>
      <c r="B215" s="10">
        <f>_xludf.IMAGE("https://raw.githubusercontent.com/sshibinthomass/Rosary-Plant-House/master/assets/img/salePlants/"&amp;A215&amp;".jpg")</f>
        <v/>
      </c>
      <c r="C215" s="9" t="inlineStr">
        <is>
          <t>dragan bone (big)</t>
        </is>
      </c>
      <c r="D215" s="9" t="inlineStr">
        <is>
          <t>Top</t>
        </is>
      </c>
      <c r="E215" s="11" t="n">
        <v>69</v>
      </c>
      <c r="F215" s="11" t="inlineStr">
        <is>
          <t>NA</t>
        </is>
      </c>
      <c r="G215" s="11" t="inlineStr">
        <is>
          <t>NotStarted</t>
        </is>
      </c>
      <c r="H215" s="9">
        <f>IF(OR(Local!F215="NA",ISBLANK(Local!F215)),FALSE,TRUE)</f>
        <v/>
      </c>
      <c r="I215" s="9" t="b">
        <v>0</v>
      </c>
      <c r="J215" s="9" t="n"/>
      <c r="K215" s="5" t="n">
        <v>99</v>
      </c>
      <c r="L215" s="5" t="n">
        <v>99</v>
      </c>
      <c r="M215" s="12" t="n">
        <v>120</v>
      </c>
      <c r="N215" s="9" t="b">
        <v>0</v>
      </c>
    </row>
    <row r="216" ht="61.5" customHeight="1">
      <c r="A216" s="9" t="n">
        <v>215</v>
      </c>
      <c r="B216" s="10">
        <f>_xludf.IMAGE("https://raw.githubusercontent.com/sshibinthomass/Rosary-Plant-House/master/assets/img/salePlants/"&amp;A216&amp;".jpg")</f>
        <v/>
      </c>
      <c r="C216" s="9">
        <f>Products!B216</f>
        <v/>
      </c>
      <c r="D216" s="9" t="inlineStr">
        <is>
          <t>Top</t>
        </is>
      </c>
      <c r="E216" s="12" t="n">
        <v>99</v>
      </c>
      <c r="F216" s="11" t="inlineStr">
        <is>
          <t>NA</t>
        </is>
      </c>
      <c r="G216" s="11" t="inlineStr">
        <is>
          <t>NotStarted</t>
        </is>
      </c>
      <c r="H216" s="9">
        <f>IF(OR(Local!F216="NA",ISBLANK(Local!F216)),FALSE,TRUE)</f>
        <v/>
      </c>
      <c r="I216" s="9" t="b">
        <v>0</v>
      </c>
      <c r="J216" s="9" t="n"/>
      <c r="K216" s="5" t="n">
        <v>120</v>
      </c>
      <c r="L216" s="5" t="n">
        <v>120</v>
      </c>
      <c r="M216" s="12" t="n">
        <v>120</v>
      </c>
      <c r="N216" s="9" t="b">
        <v>0</v>
      </c>
    </row>
    <row r="217" ht="61.5" customHeight="1">
      <c r="A217" s="9" t="n">
        <v>216</v>
      </c>
      <c r="B217" s="10">
        <f>_xludf.IMAGE("https://raw.githubusercontent.com/sshibinthomass/Rosary-Plant-House/master/assets/img/salePlants/"&amp;A217&amp;".jpg")</f>
        <v/>
      </c>
      <c r="C217" s="9">
        <f>Products!B217</f>
        <v/>
      </c>
      <c r="D217" s="9" t="inlineStr">
        <is>
          <t>Top</t>
        </is>
      </c>
      <c r="E217" s="12" t="n">
        <v>99</v>
      </c>
      <c r="F217" s="11" t="inlineStr">
        <is>
          <t>NA</t>
        </is>
      </c>
      <c r="G217" s="11" t="inlineStr">
        <is>
          <t>NotStarted</t>
        </is>
      </c>
      <c r="H217" s="9">
        <f>IF(OR(Local!F217="NA",ISBLANK(Local!F217)),FALSE,TRUE)</f>
        <v/>
      </c>
      <c r="I217" s="9" t="b">
        <v>0</v>
      </c>
      <c r="J217" s="9" t="n"/>
      <c r="K217" s="5" t="n">
        <v>199</v>
      </c>
      <c r="L217" s="5" t="n">
        <v>199</v>
      </c>
      <c r="M217" s="12" t="n">
        <v>199</v>
      </c>
      <c r="N217" s="9" t="b">
        <v>0</v>
      </c>
    </row>
    <row r="218" ht="61.5" customHeight="1">
      <c r="A218" s="9" t="n">
        <v>217</v>
      </c>
      <c r="B218" s="10">
        <f>_xludf.IMAGE("https://raw.githubusercontent.com/sshibinthomass/Rosary-Plant-House/master/assets/img/salePlants/"&amp;A218&amp;".jpg")</f>
        <v/>
      </c>
      <c r="C218" s="9">
        <f>Products!B218</f>
        <v/>
      </c>
      <c r="D218" s="9" t="inlineStr">
        <is>
          <t>Top</t>
        </is>
      </c>
      <c r="E218" s="11" t="n">
        <v>69</v>
      </c>
      <c r="F218" s="11" t="inlineStr">
        <is>
          <t>Low</t>
        </is>
      </c>
      <c r="G218" s="11" t="inlineStr">
        <is>
          <t>High</t>
        </is>
      </c>
      <c r="H218" s="9">
        <f>IF(OR(Local!F218="NA",ISBLANK(Local!F218)),FALSE,TRUE)</f>
        <v/>
      </c>
      <c r="I218" s="9" t="b">
        <v>1</v>
      </c>
      <c r="J218" s="9" t="n"/>
      <c r="K218" s="5" t="n">
        <v>149</v>
      </c>
      <c r="L218" s="5" t="n">
        <v>99</v>
      </c>
      <c r="M218" s="12" t="n">
        <v>149</v>
      </c>
      <c r="N218" s="9" t="b">
        <v>1</v>
      </c>
    </row>
    <row r="219" ht="61.5" customHeight="1">
      <c r="A219" s="9" t="n">
        <v>218</v>
      </c>
      <c r="B219" s="10">
        <f>_xludf.IMAGE("https://raw.githubusercontent.com/sshibinthomass/Rosary-Plant-House/master/assets/img/salePlants/"&amp;A219&amp;".jpg")</f>
        <v/>
      </c>
      <c r="C219" s="9">
        <f>Products!B219</f>
        <v/>
      </c>
      <c r="D219" s="9" t="inlineStr">
        <is>
          <t>Top</t>
        </is>
      </c>
      <c r="E219" s="11" t="n">
        <v>120</v>
      </c>
      <c r="F219" s="11" t="inlineStr">
        <is>
          <t>NA</t>
        </is>
      </c>
      <c r="G219" s="11" t="inlineStr">
        <is>
          <t>NotStarted</t>
        </is>
      </c>
      <c r="H219" s="9">
        <f>IF(OR(Local!F219="NA",ISBLANK(Local!F219)),FALSE,TRUE)</f>
        <v/>
      </c>
      <c r="I219" s="9" t="b">
        <v>0</v>
      </c>
      <c r="J219" s="9" t="n"/>
      <c r="K219" s="5" t="n">
        <v>149</v>
      </c>
      <c r="L219" s="5" t="n">
        <v>149</v>
      </c>
      <c r="M219" s="12" t="n">
        <v>149</v>
      </c>
      <c r="N219" s="9" t="b">
        <v>0</v>
      </c>
    </row>
    <row r="220" ht="61.5" customHeight="1">
      <c r="A220" s="9" t="n">
        <v>219</v>
      </c>
      <c r="B220" s="10">
        <f>_xludf.IMAGE("https://raw.githubusercontent.com/sshibinthomass/Rosary-Plant-House/master/assets/img/salePlants/"&amp;A220&amp;".jpg")</f>
        <v/>
      </c>
      <c r="C220" s="9">
        <f>Products!B220</f>
        <v/>
      </c>
      <c r="D220" s="9" t="inlineStr">
        <is>
          <t>Top</t>
        </is>
      </c>
      <c r="E220" s="11" t="n">
        <v>149</v>
      </c>
      <c r="F220" s="11" t="inlineStr">
        <is>
          <t>Low</t>
        </is>
      </c>
      <c r="G220" s="11" t="inlineStr">
        <is>
          <t>NotStarted</t>
        </is>
      </c>
      <c r="H220" s="9">
        <f>IF(OR(Local!F220="NA",ISBLANK(Local!F220)),FALSE,TRUE)</f>
        <v/>
      </c>
      <c r="I220" s="9" t="b">
        <v>1</v>
      </c>
      <c r="J220" s="9" t="n"/>
      <c r="K220" s="5" t="n">
        <v>120</v>
      </c>
      <c r="L220" s="5" t="n">
        <v>39</v>
      </c>
      <c r="M220" s="12" t="n">
        <v>120</v>
      </c>
      <c r="N220" s="9" t="b">
        <v>1</v>
      </c>
    </row>
    <row r="221" ht="61.5" customHeight="1">
      <c r="A221" s="9" t="n">
        <v>220</v>
      </c>
      <c r="B221" s="10">
        <f>_xludf.IMAGE("https://raw.githubusercontent.com/sshibinthomass/Rosary-Plant-House/master/assets/img/salePlants/"&amp;A221&amp;".jpg")</f>
        <v/>
      </c>
      <c r="C221" s="9">
        <f>Products!B221</f>
        <v/>
      </c>
      <c r="D221" s="9" t="inlineStr">
        <is>
          <t>Top</t>
        </is>
      </c>
      <c r="E221" s="11" t="n">
        <v>149</v>
      </c>
      <c r="F221" s="11" t="inlineStr">
        <is>
          <t>NA</t>
        </is>
      </c>
      <c r="G221" s="11" t="inlineStr">
        <is>
          <t>VeryHigh</t>
        </is>
      </c>
      <c r="H221" s="9">
        <f>IF(OR(Local!F221="NA",ISBLANK(Local!F221)),FALSE,TRUE)</f>
        <v/>
      </c>
      <c r="I221" s="9" t="b">
        <v>0</v>
      </c>
      <c r="J221" s="9" t="n"/>
      <c r="K221" s="5" t="n">
        <v>149</v>
      </c>
      <c r="L221" s="5" t="n">
        <v>149</v>
      </c>
      <c r="M221" s="12" t="n">
        <v>149</v>
      </c>
      <c r="N221" s="9" t="b">
        <v>0</v>
      </c>
    </row>
    <row r="222" ht="61.5" customHeight="1">
      <c r="A222" s="9" t="n">
        <v>221</v>
      </c>
      <c r="B222" s="10">
        <f>_xludf.IMAGE("https://raw.githubusercontent.com/sshibinthomass/Rosary-Plant-House/master/assets/img/salePlants/"&amp;A222&amp;".jpg")</f>
        <v/>
      </c>
      <c r="C222" s="9">
        <f>Products!B222</f>
        <v/>
      </c>
      <c r="D222" s="9" t="inlineStr">
        <is>
          <t>Top</t>
        </is>
      </c>
      <c r="E222" s="11" t="n">
        <v>79</v>
      </c>
      <c r="F222" s="11" t="inlineStr">
        <is>
          <t>NA</t>
        </is>
      </c>
      <c r="G222" s="11" t="inlineStr">
        <is>
          <t>NotStarted</t>
        </is>
      </c>
      <c r="H222" s="9">
        <f>IF(OR(Local!F222="NA",ISBLANK(Local!F222)),FALSE,TRUE)</f>
        <v/>
      </c>
      <c r="I222" s="9" t="b">
        <v>0</v>
      </c>
      <c r="J222" s="9" t="n"/>
      <c r="K222" s="5" t="n">
        <v>120</v>
      </c>
      <c r="L222" s="5" t="n">
        <v>120</v>
      </c>
      <c r="M222" s="12" t="n">
        <v>120</v>
      </c>
      <c r="N222" s="9" t="b">
        <v>1</v>
      </c>
    </row>
    <row r="223" ht="61.5" customHeight="1">
      <c r="A223" s="9" t="n">
        <v>222</v>
      </c>
      <c r="B223" s="10">
        <f>_xludf.IMAGE("https://raw.githubusercontent.com/sshibinthomass/Rosary-Plant-House/master/assets/img/salePlants/"&amp;A223&amp;".jpg")</f>
        <v/>
      </c>
      <c r="C223" s="9">
        <f>Products!B223</f>
        <v/>
      </c>
      <c r="D223" s="9" t="inlineStr">
        <is>
          <t>Top</t>
        </is>
      </c>
      <c r="E223" s="11" t="n">
        <v>59</v>
      </c>
      <c r="F223" s="11" t="inlineStr">
        <is>
          <t>Available</t>
        </is>
      </c>
      <c r="G223" s="11" t="inlineStr">
        <is>
          <t>High</t>
        </is>
      </c>
      <c r="H223" s="9">
        <f>IF(OR(Local!F223="NA",ISBLANK(Local!F223)),FALSE,TRUE)</f>
        <v/>
      </c>
      <c r="I223" s="9" t="b">
        <v>1</v>
      </c>
      <c r="J223" s="9" t="n"/>
      <c r="K223" s="5" t="n">
        <v>99</v>
      </c>
      <c r="L223" s="5" t="n">
        <v>89</v>
      </c>
      <c r="M223" s="12" t="n">
        <v>99</v>
      </c>
      <c r="N223" s="9" t="b">
        <v>1</v>
      </c>
    </row>
    <row r="224" ht="61.5" customHeight="1">
      <c r="A224" s="9" t="n">
        <v>223</v>
      </c>
      <c r="B224" s="10">
        <f>_xludf.IMAGE("https://raw.githubusercontent.com/sshibinthomass/Rosary-Plant-House/master/assets/img/salePlants/"&amp;A224&amp;".jpg")</f>
        <v/>
      </c>
      <c r="C224" s="9">
        <f>Products!B224</f>
        <v/>
      </c>
      <c r="D224" s="9" t="inlineStr">
        <is>
          <t>Top</t>
        </is>
      </c>
      <c r="E224" s="5" t="n"/>
      <c r="F224" s="11" t="inlineStr">
        <is>
          <t>Available</t>
        </is>
      </c>
      <c r="G224" s="11" t="inlineStr">
        <is>
          <t>Medium</t>
        </is>
      </c>
      <c r="H224" s="9">
        <f>IF(OR(Local!F224="NA",ISBLANK(Local!F224)),FALSE,TRUE)</f>
        <v/>
      </c>
      <c r="I224" s="9" t="b">
        <v>0</v>
      </c>
      <c r="J224" s="9" t="n"/>
      <c r="K224" s="5" t="n">
        <v>120</v>
      </c>
      <c r="L224" s="5" t="n">
        <v>120</v>
      </c>
      <c r="M224" s="12" t="n">
        <v>120</v>
      </c>
      <c r="N224" s="9" t="b">
        <v>1</v>
      </c>
    </row>
    <row r="225" ht="61.5" customHeight="1">
      <c r="A225" s="9" t="n">
        <v>224</v>
      </c>
      <c r="B225" s="10">
        <f>_xludf.IMAGE("https://raw.githubusercontent.com/sshibinthomass/Rosary-Plant-House/master/assets/img/salePlants/"&amp;A225&amp;".jpg")</f>
        <v/>
      </c>
      <c r="C225" s="9">
        <f>Products!B225</f>
        <v/>
      </c>
      <c r="D225" s="9" t="inlineStr">
        <is>
          <t>Top</t>
        </is>
      </c>
      <c r="E225" s="11" t="n">
        <v>69</v>
      </c>
      <c r="F225" s="11" t="inlineStr">
        <is>
          <t>NA</t>
        </is>
      </c>
      <c r="G225" s="11" t="inlineStr">
        <is>
          <t>VeryLow</t>
        </is>
      </c>
      <c r="H225" s="9">
        <f>IF(OR(Local!F225="NA",ISBLANK(Local!F225)),FALSE,TRUE)</f>
        <v/>
      </c>
      <c r="I225" s="9" t="b">
        <v>0</v>
      </c>
      <c r="J225" s="9" t="n"/>
      <c r="K225" s="5" t="n">
        <v>69</v>
      </c>
      <c r="L225" s="5" t="n">
        <v>69</v>
      </c>
      <c r="M225" s="12" t="n">
        <v>69</v>
      </c>
      <c r="N225" s="9" t="b">
        <v>0</v>
      </c>
    </row>
    <row r="226" ht="61.5" customHeight="1">
      <c r="A226" s="9" t="n">
        <v>225</v>
      </c>
      <c r="B226" s="10">
        <f>_xludf.IMAGE("https://raw.githubusercontent.com/sshibinthomass/Rosary-Plant-House/master/assets/img/salePlants/"&amp;A226&amp;".jpg")</f>
        <v/>
      </c>
      <c r="C226" s="9">
        <f>Products!B226</f>
        <v/>
      </c>
      <c r="D226" s="9" t="inlineStr">
        <is>
          <t>Top</t>
        </is>
      </c>
      <c r="E226" s="18" t="n">
        <v>69</v>
      </c>
      <c r="F226" s="11" t="inlineStr">
        <is>
          <t>Low</t>
        </is>
      </c>
      <c r="G226" s="11" t="inlineStr">
        <is>
          <t>NotStarted</t>
        </is>
      </c>
      <c r="H226" s="9">
        <f>IF(OR(Local!F226="NA",ISBLANK(Local!F226)),FALSE,TRUE)</f>
        <v/>
      </c>
      <c r="I226" s="9" t="b">
        <v>1</v>
      </c>
      <c r="J226" s="9" t="n"/>
      <c r="K226" s="5" t="n">
        <v>99</v>
      </c>
      <c r="L226" s="5" t="n">
        <v>99</v>
      </c>
      <c r="M226" s="12" t="n">
        <v>99</v>
      </c>
      <c r="N226" s="9" t="b">
        <v>1</v>
      </c>
    </row>
    <row r="227" ht="61.5" customHeight="1">
      <c r="A227" s="9" t="n">
        <v>226</v>
      </c>
      <c r="B227" s="10">
        <f>_xludf.IMAGE("https://raw.githubusercontent.com/sshibinthomass/Rosary-Plant-House/master/assets/img/salePlants/"&amp;A227&amp;".jpg")</f>
        <v/>
      </c>
      <c r="C227" s="9">
        <f>Products!B227</f>
        <v/>
      </c>
      <c r="D227" s="9" t="inlineStr">
        <is>
          <t>Top</t>
        </is>
      </c>
      <c r="E227" s="11" t="n">
        <v>120</v>
      </c>
      <c r="F227" s="11" t="inlineStr">
        <is>
          <t>Low</t>
        </is>
      </c>
      <c r="G227" s="11" t="inlineStr">
        <is>
          <t>NotStarted</t>
        </is>
      </c>
      <c r="H227" s="9">
        <f>IF(OR(Local!F227="NA",ISBLANK(Local!F227)),FALSE,TRUE)</f>
        <v/>
      </c>
      <c r="I227" s="9" t="b">
        <v>0</v>
      </c>
      <c r="J227" s="9" t="n"/>
      <c r="K227" s="5" t="n">
        <v>99</v>
      </c>
      <c r="L227" s="5" t="n">
        <v>99</v>
      </c>
      <c r="M227" s="12" t="n">
        <v>99</v>
      </c>
      <c r="N227" s="9" t="b">
        <v>0</v>
      </c>
    </row>
    <row r="228" ht="61.5" customHeight="1">
      <c r="A228" s="9" t="n">
        <v>227</v>
      </c>
      <c r="B228" s="10">
        <f>_xludf.IMAGE("https://raw.githubusercontent.com/sshibinthomass/Rosary-Plant-House/master/assets/img/salePlants/"&amp;A228&amp;".jpg")</f>
        <v/>
      </c>
      <c r="C228" s="9">
        <f>Products!B228</f>
        <v/>
      </c>
      <c r="D228" s="9" t="inlineStr">
        <is>
          <t>Top</t>
        </is>
      </c>
      <c r="E228" s="11" t="n">
        <v>59</v>
      </c>
      <c r="F228" s="11" t="inlineStr">
        <is>
          <t>NA</t>
        </is>
      </c>
      <c r="G228" s="11" t="inlineStr">
        <is>
          <t>High</t>
        </is>
      </c>
      <c r="H228" s="9">
        <f>IF(OR(Local!F228="NA",ISBLANK(Local!F228)),FALSE,TRUE)</f>
        <v/>
      </c>
      <c r="I228" s="9" t="b">
        <v>1</v>
      </c>
      <c r="J228" s="9" t="n"/>
      <c r="K228" s="5" t="n">
        <v>79</v>
      </c>
      <c r="L228" s="5" t="n">
        <v>59</v>
      </c>
      <c r="M228" s="12" t="n">
        <v>79</v>
      </c>
      <c r="N228" s="9" t="b">
        <v>1</v>
      </c>
    </row>
    <row r="229" ht="61.5" customHeight="1">
      <c r="A229" s="9" t="n">
        <v>228</v>
      </c>
      <c r="B229" s="10">
        <f>_xludf.IMAGE("https://raw.githubusercontent.com/sshibinthomass/Rosary-Plant-House/master/assets/img/salePlants/"&amp;A229&amp;".jpg")</f>
        <v/>
      </c>
      <c r="C229" s="9">
        <f>Products!B229</f>
        <v/>
      </c>
      <c r="D229" s="9" t="inlineStr">
        <is>
          <t>Top</t>
        </is>
      </c>
      <c r="E229" s="11" t="n">
        <v>59</v>
      </c>
      <c r="F229" s="11" t="inlineStr">
        <is>
          <t>Low</t>
        </is>
      </c>
      <c r="G229" s="11" t="inlineStr">
        <is>
          <t>High</t>
        </is>
      </c>
      <c r="H229" s="9">
        <f>IF(OR(Local!F229="NA",ISBLANK(Local!F229)),FALSE,TRUE)</f>
        <v/>
      </c>
      <c r="I229" s="9" t="b">
        <v>1</v>
      </c>
      <c r="J229" s="9" t="n"/>
      <c r="K229" s="5" t="n">
        <v>149</v>
      </c>
      <c r="L229" s="5" t="n">
        <v>99</v>
      </c>
      <c r="M229" s="12" t="n">
        <v>149</v>
      </c>
      <c r="N229" s="9" t="b">
        <v>0</v>
      </c>
    </row>
    <row r="230" ht="61.5" customHeight="1">
      <c r="A230" s="9" t="n">
        <v>229</v>
      </c>
      <c r="B230" s="10">
        <f>_xludf.IMAGE("https://raw.githubusercontent.com/sshibinthomass/Rosary-Plant-House/master/assets/img/salePlants/"&amp;A230&amp;".jpg")</f>
        <v/>
      </c>
      <c r="C230" s="9">
        <f>Products!B230</f>
        <v/>
      </c>
      <c r="D230" s="9" t="inlineStr">
        <is>
          <t>Top</t>
        </is>
      </c>
      <c r="E230" s="11" t="n">
        <v>59</v>
      </c>
      <c r="F230" s="11" t="inlineStr">
        <is>
          <t>Low</t>
        </is>
      </c>
      <c r="G230" s="11" t="inlineStr">
        <is>
          <t>NotStarted</t>
        </is>
      </c>
      <c r="H230" s="9">
        <f>IF(OR(Local!F230="NA",ISBLANK(Local!F230)),FALSE,TRUE)</f>
        <v/>
      </c>
      <c r="I230" s="9" t="b">
        <v>0</v>
      </c>
      <c r="J230" s="9" t="n"/>
      <c r="K230" s="5" t="n">
        <v>99</v>
      </c>
      <c r="L230" s="5" t="n">
        <v>69</v>
      </c>
      <c r="M230" s="12" t="n">
        <v>99</v>
      </c>
      <c r="N230" s="9" t="b">
        <v>1</v>
      </c>
    </row>
    <row r="231" ht="61.5" customHeight="1">
      <c r="A231" s="9" t="n">
        <v>230</v>
      </c>
      <c r="B231" s="10">
        <f>_xludf.IMAGE("https://raw.githubusercontent.com/sshibinthomass/Rosary-Plant-House/master/assets/img/salePlants/"&amp;A231&amp;".jpg")</f>
        <v/>
      </c>
      <c r="C231" s="9">
        <f>Products!B231</f>
        <v/>
      </c>
      <c r="D231" s="9" t="inlineStr">
        <is>
          <t>Top</t>
        </is>
      </c>
      <c r="E231" s="11" t="n">
        <v>49</v>
      </c>
      <c r="F231" s="11" t="inlineStr">
        <is>
          <t>Available</t>
        </is>
      </c>
      <c r="G231" s="11" t="inlineStr">
        <is>
          <t>High</t>
        </is>
      </c>
      <c r="H231" s="9">
        <f>IF(OR(Local!F231="NA",ISBLANK(Local!F231)),FALSE,TRUE)</f>
        <v/>
      </c>
      <c r="I231" s="9" t="b">
        <v>0</v>
      </c>
      <c r="J231" s="9" t="n"/>
      <c r="K231" s="5" t="n">
        <v>99</v>
      </c>
      <c r="L231" s="5" t="n">
        <v>59</v>
      </c>
      <c r="M231" s="12" t="n">
        <v>120</v>
      </c>
      <c r="N231" s="9" t="b">
        <v>1</v>
      </c>
    </row>
    <row r="232" ht="61.5" customHeight="1">
      <c r="A232" s="9" t="n">
        <v>231</v>
      </c>
      <c r="B232" s="10">
        <f>_xludf.IMAGE("https://raw.githubusercontent.com/sshibinthomass/Rosary-Plant-House/master/assets/img/salePlants/"&amp;A232&amp;".jpg")</f>
        <v/>
      </c>
      <c r="C232" s="9">
        <f>Products!B232</f>
        <v/>
      </c>
      <c r="D232" s="9" t="inlineStr">
        <is>
          <t>Top</t>
        </is>
      </c>
      <c r="E232" s="11" t="n">
        <v>89</v>
      </c>
      <c r="F232" s="11" t="inlineStr">
        <is>
          <t>Low</t>
        </is>
      </c>
      <c r="G232" s="11" t="inlineStr">
        <is>
          <t>High</t>
        </is>
      </c>
      <c r="H232" s="9">
        <f>IF(OR(Local!F232="NA",ISBLANK(Local!F232)),FALSE,TRUE)</f>
        <v/>
      </c>
      <c r="I232" s="9" t="b">
        <v>0</v>
      </c>
      <c r="J232" s="9" t="n"/>
      <c r="K232" s="5" t="n">
        <v>79</v>
      </c>
      <c r="L232" s="5" t="n">
        <v>69</v>
      </c>
      <c r="M232" s="12" t="n">
        <v>89</v>
      </c>
      <c r="N232" s="9" t="b">
        <v>0</v>
      </c>
    </row>
    <row r="233" ht="61.5" customHeight="1">
      <c r="A233" s="9" t="n">
        <v>232</v>
      </c>
      <c r="B233" s="10">
        <f>_xludf.IMAGE("https://raw.githubusercontent.com/sshibinthomass/Rosary-Plant-House/master/assets/img/salePlants/"&amp;A233&amp;".jpg")</f>
        <v/>
      </c>
      <c r="C233" s="9">
        <f>Products!B233</f>
        <v/>
      </c>
      <c r="D233" s="9" t="inlineStr">
        <is>
          <t>Top</t>
        </is>
      </c>
      <c r="E233" s="11" t="n">
        <v>79</v>
      </c>
      <c r="F233" s="11" t="inlineStr">
        <is>
          <t>Low</t>
        </is>
      </c>
      <c r="G233" s="11" t="inlineStr">
        <is>
          <t>NotStarted</t>
        </is>
      </c>
      <c r="H233" s="9">
        <f>IF(OR(Local!F233="NA",ISBLANK(Local!F233)),FALSE,TRUE)</f>
        <v/>
      </c>
      <c r="I233" s="9" t="b">
        <v>0</v>
      </c>
      <c r="J233" s="9" t="n"/>
      <c r="K233" s="5" t="n">
        <v>99</v>
      </c>
      <c r="L233" s="5" t="n">
        <v>99</v>
      </c>
      <c r="M233" s="12" t="n">
        <v>99</v>
      </c>
      <c r="N233" s="9" t="b">
        <v>0</v>
      </c>
    </row>
    <row r="234" ht="61.5" customHeight="1">
      <c r="A234" s="9" t="n">
        <v>233</v>
      </c>
      <c r="B234" s="10">
        <f>_xludf.IMAGE("https://raw.githubusercontent.com/sshibinthomass/Rosary-Plant-House/master/assets/img/salePlants/"&amp;A234&amp;".jpg")</f>
        <v/>
      </c>
      <c r="C234" s="9">
        <f>Products!B234</f>
        <v/>
      </c>
      <c r="D234" s="9" t="inlineStr">
        <is>
          <t>Both</t>
        </is>
      </c>
      <c r="E234" s="11" t="n">
        <v>79</v>
      </c>
      <c r="F234" s="11" t="inlineStr">
        <is>
          <t>NA</t>
        </is>
      </c>
      <c r="G234" s="11" t="inlineStr">
        <is>
          <t>Medium</t>
        </is>
      </c>
      <c r="H234" s="9">
        <f>IF(OR(Local!F234="NA",ISBLANK(Local!F234)),FALSE,TRUE)</f>
        <v/>
      </c>
      <c r="I234" s="9" t="b">
        <v>0</v>
      </c>
      <c r="J234" s="9" t="n"/>
      <c r="K234" s="5" t="n">
        <v>69</v>
      </c>
      <c r="L234" s="5" t="n">
        <v>69</v>
      </c>
      <c r="M234" s="12" t="n">
        <v>69</v>
      </c>
      <c r="N234" s="9" t="b">
        <v>1</v>
      </c>
    </row>
    <row r="235" ht="61.5" customHeight="1">
      <c r="A235" s="9" t="n">
        <v>234</v>
      </c>
      <c r="B235" s="10">
        <f>_xludf.IMAGE("https://raw.githubusercontent.com/sshibinthomass/Rosary-Plant-House/master/assets/img/salePlants/"&amp;A235&amp;".jpg")</f>
        <v/>
      </c>
      <c r="C235" s="9">
        <f>Products!B235</f>
        <v/>
      </c>
      <c r="D235" s="9" t="inlineStr">
        <is>
          <t>Top</t>
        </is>
      </c>
      <c r="E235" s="11" t="n">
        <v>69</v>
      </c>
      <c r="F235" s="11" t="inlineStr">
        <is>
          <t>Available</t>
        </is>
      </c>
      <c r="G235" s="11" t="inlineStr">
        <is>
          <t>High</t>
        </is>
      </c>
      <c r="H235" s="9">
        <f>IF(OR(Local!F235="NA",ISBLANK(Local!F235)),FALSE,TRUE)</f>
        <v/>
      </c>
      <c r="I235" s="9" t="b">
        <v>1</v>
      </c>
      <c r="J235" s="9" t="n"/>
      <c r="K235" s="5" t="n">
        <v>79</v>
      </c>
      <c r="L235" s="5" t="n">
        <v>49</v>
      </c>
      <c r="M235" s="12" t="n">
        <v>79</v>
      </c>
      <c r="N235" s="9" t="b">
        <v>1</v>
      </c>
    </row>
    <row r="236" ht="61.5" customHeight="1">
      <c r="A236" s="9" t="n">
        <v>235</v>
      </c>
      <c r="B236" s="10">
        <f>_xludf.IMAGE("https://raw.githubusercontent.com/sshibinthomass/Rosary-Plant-House/master/assets/img/salePlants/"&amp;A236&amp;".jpg")</f>
        <v/>
      </c>
      <c r="C236" s="9">
        <f>Products!B236</f>
        <v/>
      </c>
      <c r="D236" s="9" t="inlineStr">
        <is>
          <t>Top</t>
        </is>
      </c>
      <c r="E236" s="11" t="n">
        <v>79</v>
      </c>
      <c r="F236" s="11" t="inlineStr">
        <is>
          <t>Low</t>
        </is>
      </c>
      <c r="G236" s="11" t="inlineStr">
        <is>
          <t>High</t>
        </is>
      </c>
      <c r="H236" s="9">
        <f>IF(OR(Local!F236="NA",ISBLANK(Local!F236)),FALSE,TRUE)</f>
        <v/>
      </c>
      <c r="I236" s="9" t="b">
        <v>0</v>
      </c>
      <c r="J236" s="9" t="n"/>
      <c r="K236" s="5" t="n">
        <v>149</v>
      </c>
      <c r="L236" s="5" t="n">
        <v>149</v>
      </c>
      <c r="M236" s="12" t="n">
        <v>149</v>
      </c>
      <c r="N236" s="9" t="b">
        <v>1</v>
      </c>
    </row>
    <row r="237" ht="61.5" customHeight="1">
      <c r="A237" s="9" t="n">
        <v>236</v>
      </c>
      <c r="B237" s="10">
        <f>_xludf.IMAGE("https://raw.githubusercontent.com/sshibinthomass/Rosary-Plant-House/master/assets/img/salePlants/"&amp;A237&amp;".jpg")</f>
        <v/>
      </c>
      <c r="C237" s="9">
        <f>Products!B237</f>
        <v/>
      </c>
      <c r="D237" s="9" t="inlineStr">
        <is>
          <t>Top</t>
        </is>
      </c>
      <c r="E237" s="11" t="n">
        <v>59</v>
      </c>
      <c r="F237" s="11" t="inlineStr">
        <is>
          <t>Available</t>
        </is>
      </c>
      <c r="G237" s="11" t="inlineStr">
        <is>
          <t>Medium</t>
        </is>
      </c>
      <c r="H237" s="9">
        <f>IF(OR(Local!F237="NA",ISBLANK(Local!F237)),FALSE,TRUE)</f>
        <v/>
      </c>
      <c r="I237" s="9" t="b">
        <v>1</v>
      </c>
      <c r="J237" s="9" t="n"/>
      <c r="K237" s="5" t="n">
        <v>99</v>
      </c>
      <c r="L237" s="5" t="n">
        <v>39</v>
      </c>
      <c r="M237" s="12" t="n">
        <v>120</v>
      </c>
      <c r="N237" s="9" t="b">
        <v>1</v>
      </c>
    </row>
    <row r="238" ht="61.5" customHeight="1">
      <c r="A238" s="9" t="n">
        <v>237</v>
      </c>
      <c r="B238" s="10">
        <f>_xludf.IMAGE("https://raw.githubusercontent.com/sshibinthomass/Rosary-Plant-House/master/assets/img/salePlants/"&amp;A238&amp;".jpg")</f>
        <v/>
      </c>
      <c r="C238" s="9">
        <f>Products!B238</f>
        <v/>
      </c>
      <c r="D238" s="9" t="inlineStr">
        <is>
          <t>Top</t>
        </is>
      </c>
      <c r="E238" s="11" t="n">
        <v>79</v>
      </c>
      <c r="F238" s="11" t="inlineStr">
        <is>
          <t>NA</t>
        </is>
      </c>
      <c r="G238" s="11" t="inlineStr">
        <is>
          <t>NotStarted</t>
        </is>
      </c>
      <c r="H238" s="9">
        <f>IF(OR(Local!F238="NA",ISBLANK(Local!F238)),FALSE,TRUE)</f>
        <v/>
      </c>
      <c r="I238" s="9" t="b">
        <v>0</v>
      </c>
      <c r="J238" s="9" t="n"/>
      <c r="K238" s="5" t="n">
        <v>120</v>
      </c>
      <c r="L238" s="5" t="n">
        <v>120</v>
      </c>
      <c r="M238" s="12" t="n">
        <v>120</v>
      </c>
      <c r="N238" s="9" t="b">
        <v>0</v>
      </c>
    </row>
    <row r="239" ht="61.5" customHeight="1">
      <c r="A239" s="9" t="n">
        <v>238</v>
      </c>
      <c r="B239" s="10">
        <f>_xludf.IMAGE("https://raw.githubusercontent.com/sshibinthomass/Rosary-Plant-House/master/assets/img/salePlants/"&amp;A239&amp;".jpg")</f>
        <v/>
      </c>
      <c r="C239" s="9">
        <f>Products!B239</f>
        <v/>
      </c>
      <c r="D239" s="9" t="inlineStr">
        <is>
          <t>Top</t>
        </is>
      </c>
      <c r="E239" s="11" t="n">
        <v>79</v>
      </c>
      <c r="F239" s="11" t="inlineStr">
        <is>
          <t>NA</t>
        </is>
      </c>
      <c r="G239" s="11" t="inlineStr">
        <is>
          <t>NotStarted</t>
        </is>
      </c>
      <c r="H239" s="9">
        <f>IF(OR(Local!F239="NA",ISBLANK(Local!F239)),FALSE,TRUE)</f>
        <v/>
      </c>
      <c r="I239" s="9" t="b">
        <v>1</v>
      </c>
      <c r="J239" s="9" t="n"/>
      <c r="K239" s="5" t="n">
        <v>120</v>
      </c>
      <c r="L239" s="5" t="n">
        <v>79</v>
      </c>
      <c r="M239" s="12" t="n">
        <v>120</v>
      </c>
      <c r="N239" s="9" t="b">
        <v>1</v>
      </c>
    </row>
    <row r="240" ht="61.5" customHeight="1">
      <c r="A240" s="9" t="n">
        <v>239</v>
      </c>
      <c r="B240" s="10">
        <f>_xludf.IMAGE("https://raw.githubusercontent.com/sshibinthomass/Rosary-Plant-House/master/assets/img/salePlants/"&amp;A240&amp;".jpg")</f>
        <v/>
      </c>
      <c r="C240" s="9">
        <f>Products!B240</f>
        <v/>
      </c>
      <c r="D240" s="9" t="inlineStr">
        <is>
          <t>Top</t>
        </is>
      </c>
      <c r="E240" s="11" t="n">
        <v>79</v>
      </c>
      <c r="F240" s="11" t="inlineStr">
        <is>
          <t>NA</t>
        </is>
      </c>
      <c r="G240" s="11" t="inlineStr">
        <is>
          <t>NotStarted</t>
        </is>
      </c>
      <c r="H240" s="9">
        <f>IF(OR(Local!F240="NA",ISBLANK(Local!F240)),FALSE,TRUE)</f>
        <v/>
      </c>
      <c r="I240" s="9" t="b">
        <v>0</v>
      </c>
      <c r="J240" s="19" t="n"/>
      <c r="K240" s="5" t="n">
        <v>120</v>
      </c>
      <c r="L240" s="5" t="n">
        <v>120</v>
      </c>
      <c r="M240" s="12" t="n">
        <v>120</v>
      </c>
      <c r="N240" s="9" t="b">
        <v>0</v>
      </c>
    </row>
    <row r="241" ht="61.5" customHeight="1">
      <c r="A241" s="9" t="n">
        <v>240</v>
      </c>
      <c r="B241" s="10">
        <f>_xludf.IMAGE("https://raw.githubusercontent.com/sshibinthomass/Rosary-Plant-House/master/assets/img/salePlants/"&amp;A241&amp;".jpg")</f>
        <v/>
      </c>
      <c r="C241" s="9">
        <f>Products!B241</f>
        <v/>
      </c>
      <c r="D241" s="9" t="inlineStr">
        <is>
          <t>Top</t>
        </is>
      </c>
      <c r="E241" s="11" t="n">
        <v>79</v>
      </c>
      <c r="F241" s="11" t="inlineStr">
        <is>
          <t>NA</t>
        </is>
      </c>
      <c r="G241" s="11" t="inlineStr">
        <is>
          <t>NotStarted</t>
        </is>
      </c>
      <c r="H241" s="9">
        <f>IF(OR(Local!F241="NA",ISBLANK(Local!F241)),FALSE,TRUE)</f>
        <v/>
      </c>
      <c r="I241" s="9" t="b">
        <v>1</v>
      </c>
      <c r="J241" s="19" t="n"/>
      <c r="K241" s="5" t="n">
        <v>89</v>
      </c>
      <c r="L241" s="5" t="n">
        <v>89</v>
      </c>
      <c r="M241" s="12" t="n">
        <v>89</v>
      </c>
      <c r="N241" s="9" t="b">
        <v>0</v>
      </c>
    </row>
    <row r="242" ht="61.5" customHeight="1">
      <c r="A242" s="9" t="n">
        <v>241</v>
      </c>
      <c r="B242" s="10">
        <f>_xludf.IMAGE("https://raw.githubusercontent.com/sshibinthomass/Rosary-Plant-House/master/assets/img/salePlants/"&amp;A242&amp;".jpg")</f>
        <v/>
      </c>
      <c r="C242" s="9">
        <f>Products!B242</f>
        <v/>
      </c>
      <c r="D242" s="9" t="inlineStr">
        <is>
          <t>Top</t>
        </is>
      </c>
      <c r="E242" s="11" t="n">
        <v>79</v>
      </c>
      <c r="F242" s="11" t="inlineStr">
        <is>
          <t>NA</t>
        </is>
      </c>
      <c r="G242" s="11" t="inlineStr">
        <is>
          <t>NotStarted</t>
        </is>
      </c>
      <c r="H242" s="9">
        <f>IF(OR(Local!F242="NA",ISBLANK(Local!F242)),FALSE,TRUE)</f>
        <v/>
      </c>
      <c r="I242" s="9" t="b">
        <v>0</v>
      </c>
      <c r="J242" s="20" t="n"/>
      <c r="K242" s="5" t="n">
        <v>89</v>
      </c>
      <c r="L242" s="5" t="n">
        <v>89</v>
      </c>
      <c r="M242" s="12" t="n">
        <v>120</v>
      </c>
      <c r="N242" s="9" t="b">
        <v>0</v>
      </c>
    </row>
    <row r="243" ht="61.5" customHeight="1">
      <c r="A243" s="9" t="n">
        <v>242</v>
      </c>
      <c r="B243" s="10">
        <f>_xludf.IMAGE("https://raw.githubusercontent.com/sshibinthomass/Rosary-Plant-House/master/assets/img/salePlants/"&amp;A243&amp;".jpg")</f>
        <v/>
      </c>
      <c r="C243" s="9">
        <f>Products!B243</f>
        <v/>
      </c>
      <c r="D243" s="9" t="inlineStr">
        <is>
          <t>Top</t>
        </is>
      </c>
      <c r="E243" s="11" t="n">
        <v>79</v>
      </c>
      <c r="F243" s="11" t="inlineStr">
        <is>
          <t>Low</t>
        </is>
      </c>
      <c r="G243" s="11" t="inlineStr">
        <is>
          <t>NotStarted</t>
        </is>
      </c>
      <c r="H243" s="9">
        <f>IF(OR(Local!F243="NA",ISBLANK(Local!F243)),FALSE,TRUE)</f>
        <v/>
      </c>
      <c r="I243" s="9" t="b">
        <v>1</v>
      </c>
      <c r="J243" s="9" t="n"/>
      <c r="K243" s="5" t="n">
        <v>99</v>
      </c>
      <c r="L243" s="5" t="n">
        <v>59</v>
      </c>
      <c r="M243" s="12" t="n">
        <v>120</v>
      </c>
      <c r="N243" s="9" t="b">
        <v>1</v>
      </c>
    </row>
    <row r="244" ht="61.5" customHeight="1">
      <c r="A244" s="9" t="n">
        <v>243</v>
      </c>
      <c r="B244" s="10">
        <f>_xludf.IMAGE("https://raw.githubusercontent.com/sshibinthomass/Rosary-Plant-House/master/assets/img/salePlants/"&amp;A244&amp;".jpg")</f>
        <v/>
      </c>
      <c r="C244" s="9">
        <f>Products!B244</f>
        <v/>
      </c>
      <c r="D244" s="9" t="inlineStr">
        <is>
          <t>Top</t>
        </is>
      </c>
      <c r="E244" s="11" t="n">
        <v>79</v>
      </c>
      <c r="F244" s="11" t="inlineStr">
        <is>
          <t>Low</t>
        </is>
      </c>
      <c r="G244" s="11" t="inlineStr">
        <is>
          <t>NotStarted</t>
        </is>
      </c>
      <c r="H244" s="9">
        <f>IF(OR(Local!F244="NA",ISBLANK(Local!F244)),FALSE,TRUE)</f>
        <v/>
      </c>
      <c r="I244" s="9" t="b">
        <v>1</v>
      </c>
      <c r="J244" s="9" t="n"/>
      <c r="K244" s="5" t="n">
        <v>120</v>
      </c>
      <c r="L244" s="5" t="n">
        <v>120</v>
      </c>
      <c r="M244" s="12" t="n">
        <v>120</v>
      </c>
      <c r="N244" s="9" t="b">
        <v>1</v>
      </c>
    </row>
    <row r="245" ht="61.5" customHeight="1">
      <c r="A245" s="9" t="n">
        <v>244</v>
      </c>
      <c r="B245" s="10">
        <f>_xludf.IMAGE("https://raw.githubusercontent.com/sshibinthomass/Rosary-Plant-House/master/assets/img/salePlants/"&amp;A245&amp;".jpg")</f>
        <v/>
      </c>
      <c r="C245" s="9">
        <f>Products!B245</f>
        <v/>
      </c>
      <c r="D245" s="9" t="inlineStr">
        <is>
          <t>Top</t>
        </is>
      </c>
      <c r="E245" s="11" t="n">
        <v>69</v>
      </c>
      <c r="F245" s="11" t="inlineStr">
        <is>
          <t>Low</t>
        </is>
      </c>
      <c r="G245" s="11" t="inlineStr">
        <is>
          <t>NotStarted</t>
        </is>
      </c>
      <c r="H245" s="9">
        <f>IF(OR(Local!F245="NA",ISBLANK(Local!F245)),FALSE,TRUE)</f>
        <v/>
      </c>
      <c r="I245" s="9" t="b">
        <v>1</v>
      </c>
      <c r="J245" s="9" t="n"/>
      <c r="K245" s="5" t="n">
        <v>120</v>
      </c>
      <c r="L245" s="5" t="n">
        <v>69</v>
      </c>
      <c r="M245" s="12" t="n">
        <v>120</v>
      </c>
      <c r="N245" s="9" t="b">
        <v>1</v>
      </c>
    </row>
    <row r="246" ht="61.5" customHeight="1">
      <c r="A246" s="9" t="n">
        <v>245</v>
      </c>
      <c r="B246" s="10">
        <f>_xludf.IMAGE("https://raw.githubusercontent.com/sshibinthomass/Rosary-Plant-House/master/assets/img/salePlants/"&amp;A246&amp;".jpg")</f>
        <v/>
      </c>
      <c r="C246" s="9">
        <f>Products!B246</f>
        <v/>
      </c>
      <c r="D246" s="9" t="inlineStr">
        <is>
          <t>Top</t>
        </is>
      </c>
      <c r="E246" s="11" t="n">
        <v>79</v>
      </c>
      <c r="F246" s="11" t="inlineStr">
        <is>
          <t>NA</t>
        </is>
      </c>
      <c r="G246" s="11" t="inlineStr">
        <is>
          <t>NotStarted</t>
        </is>
      </c>
      <c r="H246" s="9">
        <f>IF(OR(Local!F246="NA",ISBLANK(Local!F246)),FALSE,TRUE)</f>
        <v/>
      </c>
      <c r="I246" s="9" t="b">
        <v>1</v>
      </c>
      <c r="J246" s="9" t="n"/>
      <c r="K246" s="5" t="n">
        <v>120</v>
      </c>
      <c r="L246" s="5" t="n">
        <v>120</v>
      </c>
      <c r="M246" s="12" t="n">
        <v>120</v>
      </c>
      <c r="N246" s="9" t="b">
        <v>0</v>
      </c>
    </row>
    <row r="247" ht="61.5" customHeight="1">
      <c r="A247" s="9" t="n">
        <v>246</v>
      </c>
      <c r="B247" s="10">
        <f>_xludf.IMAGE("https://raw.githubusercontent.com/sshibinthomass/Rosary-Plant-House/master/assets/img/salePlants/"&amp;A247&amp;".jpg")</f>
        <v/>
      </c>
      <c r="C247" s="9">
        <f>Local!C247</f>
        <v/>
      </c>
      <c r="D247" s="9" t="inlineStr">
        <is>
          <t>Top</t>
        </is>
      </c>
      <c r="E247" s="11" t="n">
        <v>79</v>
      </c>
      <c r="F247" s="11" t="inlineStr">
        <is>
          <t>Low</t>
        </is>
      </c>
      <c r="G247" s="11" t="inlineStr">
        <is>
          <t>NotStarted</t>
        </is>
      </c>
      <c r="H247" s="9">
        <f>IF(OR(Local!F247="NA",ISBLANK(Local!F247)),FALSE,TRUE)</f>
        <v/>
      </c>
      <c r="I247" s="9" t="b">
        <v>1</v>
      </c>
      <c r="J247" s="9" t="n"/>
      <c r="K247" s="5" t="n">
        <v>120</v>
      </c>
      <c r="L247" s="5" t="n">
        <v>120</v>
      </c>
      <c r="M247" s="12" t="n">
        <v>120</v>
      </c>
      <c r="N247" s="9" t="b">
        <v>0</v>
      </c>
    </row>
    <row r="248" ht="61.5" customHeight="1">
      <c r="A248" s="9" t="n">
        <v>247</v>
      </c>
      <c r="B248" s="10">
        <f>_xludf.IMAGE("https://raw.githubusercontent.com/sshibinthomass/Rosary-Plant-House/master/assets/img/salePlants/"&amp;A248&amp;".jpg")</f>
        <v/>
      </c>
      <c r="C248" s="9">
        <f>Products!B248</f>
        <v/>
      </c>
      <c r="D248" s="9" t="inlineStr">
        <is>
          <t>Top</t>
        </is>
      </c>
      <c r="E248" s="11" t="n">
        <v>79</v>
      </c>
      <c r="F248" s="11" t="inlineStr">
        <is>
          <t>NA</t>
        </is>
      </c>
      <c r="G248" s="11" t="inlineStr">
        <is>
          <t>NotStarted</t>
        </is>
      </c>
      <c r="H248" s="9">
        <f>IF(OR(Local!F248="NA",ISBLANK(Local!F248)),FALSE,TRUE)</f>
        <v/>
      </c>
      <c r="I248" s="9" t="b">
        <v>1</v>
      </c>
      <c r="J248" s="9" t="n"/>
      <c r="K248" s="5" t="n">
        <v>120</v>
      </c>
      <c r="L248" s="5" t="n">
        <v>120</v>
      </c>
      <c r="M248" s="12" t="n">
        <v>120</v>
      </c>
      <c r="N248" s="9" t="b">
        <v>0</v>
      </c>
    </row>
    <row r="249" ht="61.5" customHeight="1">
      <c r="A249" s="9" t="n">
        <v>248</v>
      </c>
      <c r="B249" s="10">
        <f>_xludf.IMAGE("https://raw.githubusercontent.com/sshibinthomass/Rosary-Plant-House/master/assets/img/salePlants/"&amp;A249&amp;".jpg")</f>
        <v/>
      </c>
      <c r="C249" s="9">
        <f>Products!B249</f>
        <v/>
      </c>
      <c r="D249" s="9" t="inlineStr">
        <is>
          <t>Top</t>
        </is>
      </c>
      <c r="E249" s="11" t="n">
        <v>79</v>
      </c>
      <c r="F249" s="11" t="inlineStr">
        <is>
          <t>Low</t>
        </is>
      </c>
      <c r="G249" s="11" t="inlineStr">
        <is>
          <t>NotStarted</t>
        </is>
      </c>
      <c r="H249" s="9">
        <f>IF(OR(Local!F249="NA",ISBLANK(Local!F249)),FALSE,TRUE)</f>
        <v/>
      </c>
      <c r="I249" s="9" t="b">
        <v>1</v>
      </c>
      <c r="J249" s="9" t="n"/>
      <c r="K249" s="5" t="n">
        <v>120</v>
      </c>
      <c r="L249" s="5" t="n">
        <v>120</v>
      </c>
      <c r="M249" s="12" t="n">
        <v>120</v>
      </c>
      <c r="N249" s="9" t="b">
        <v>0</v>
      </c>
    </row>
    <row r="250" ht="61.5" customHeight="1">
      <c r="A250" s="9" t="n">
        <v>249</v>
      </c>
      <c r="B250" s="10">
        <f>_xludf.IMAGE("https://raw.githubusercontent.com/sshibinthomass/Rosary-Plant-House/master/assets/img/salePlants/"&amp;A250&amp;".jpg")</f>
        <v/>
      </c>
      <c r="C250" s="9">
        <f>Products!B250</f>
        <v/>
      </c>
      <c r="D250" s="9" t="inlineStr">
        <is>
          <t>Top</t>
        </is>
      </c>
      <c r="E250" s="11" t="n">
        <v>79</v>
      </c>
      <c r="F250" s="11" t="inlineStr">
        <is>
          <t>Low</t>
        </is>
      </c>
      <c r="G250" s="11" t="inlineStr">
        <is>
          <t>NotStarted</t>
        </is>
      </c>
      <c r="H250" s="9">
        <f>IF(OR(Local!F250="NA",ISBLANK(Local!F250)),FALSE,TRUE)</f>
        <v/>
      </c>
      <c r="I250" s="9" t="b">
        <v>1</v>
      </c>
      <c r="J250" s="9" t="n"/>
      <c r="K250" s="5" t="n">
        <v>120</v>
      </c>
      <c r="L250" s="5" t="n">
        <v>120</v>
      </c>
      <c r="M250" s="12" t="n">
        <v>120</v>
      </c>
      <c r="N250" s="9" t="b">
        <v>0</v>
      </c>
    </row>
    <row r="251" ht="61.5" customHeight="1">
      <c r="A251" s="9" t="n">
        <v>250</v>
      </c>
      <c r="B251" s="10">
        <f>_xludf.IMAGE("https://raw.githubusercontent.com/sshibinthomass/Rosary-Plant-House/master/assets/img/salePlants/"&amp;A251&amp;".jpg")</f>
        <v/>
      </c>
      <c r="C251" s="9">
        <f>Products!B251</f>
        <v/>
      </c>
      <c r="D251" s="9" t="inlineStr">
        <is>
          <t>Top</t>
        </is>
      </c>
      <c r="E251" s="11" t="n">
        <v>79</v>
      </c>
      <c r="F251" s="11" t="inlineStr">
        <is>
          <t>Low</t>
        </is>
      </c>
      <c r="G251" s="11" t="inlineStr">
        <is>
          <t>NotStarted</t>
        </is>
      </c>
      <c r="H251" s="9">
        <f>IF(OR(Local!F251="NA",ISBLANK(Local!F251)),FALSE,TRUE)</f>
        <v/>
      </c>
      <c r="I251" s="9" t="b">
        <v>1</v>
      </c>
      <c r="J251" s="9" t="n"/>
      <c r="K251" s="5" t="n">
        <v>120</v>
      </c>
      <c r="L251" s="5" t="n">
        <v>120</v>
      </c>
      <c r="M251" s="12" t="n">
        <v>120</v>
      </c>
      <c r="N251" s="9" t="b">
        <v>0</v>
      </c>
    </row>
    <row r="252" ht="61.5" customHeight="1">
      <c r="A252" s="9" t="n">
        <v>251</v>
      </c>
      <c r="B252" s="10">
        <f>_xludf.IMAGE("https://raw.githubusercontent.com/sshibinthomass/Rosary-Plant-House/master/assets/img/salePlants/"&amp;A252&amp;".jpg")</f>
        <v/>
      </c>
      <c r="C252" s="9">
        <f>Products!B252</f>
        <v/>
      </c>
      <c r="D252" s="9" t="inlineStr">
        <is>
          <t>Top</t>
        </is>
      </c>
      <c r="E252" s="11" t="n">
        <v>69</v>
      </c>
      <c r="F252" s="11" t="inlineStr">
        <is>
          <t>Low</t>
        </is>
      </c>
      <c r="G252" s="11" t="inlineStr">
        <is>
          <t>NotStarted</t>
        </is>
      </c>
      <c r="H252" s="9">
        <f>IF(OR(Local!F252="NA",ISBLANK(Local!F252)),FALSE,TRUE)</f>
        <v/>
      </c>
      <c r="I252" s="9" t="b">
        <v>1</v>
      </c>
      <c r="J252" s="9" t="n"/>
      <c r="K252" s="5" t="n">
        <v>89</v>
      </c>
      <c r="L252" s="5" t="n">
        <v>29</v>
      </c>
      <c r="M252" s="12" t="n">
        <v>99</v>
      </c>
      <c r="N252" s="9" t="b">
        <v>1</v>
      </c>
    </row>
    <row r="253" ht="61.5" customHeight="1">
      <c r="A253" s="9" t="n">
        <v>252</v>
      </c>
      <c r="B253" s="10">
        <f>_xludf.IMAGE("https://raw.githubusercontent.com/sshibinthomass/Rosary-Plant-House/master/assets/img/salePlants/"&amp;A253&amp;".jpg")</f>
        <v/>
      </c>
      <c r="C253" s="9">
        <f>Products!B253</f>
        <v/>
      </c>
      <c r="D253" s="9" t="inlineStr">
        <is>
          <t>Top</t>
        </is>
      </c>
      <c r="E253" s="11" t="n">
        <v>79</v>
      </c>
      <c r="F253" s="11" t="inlineStr">
        <is>
          <t>Available</t>
        </is>
      </c>
      <c r="G253" s="11" t="inlineStr">
        <is>
          <t>NotStarted</t>
        </is>
      </c>
      <c r="H253" s="9">
        <f>IF(OR(Local!F253="NA",ISBLANK(Local!F253)),FALSE,TRUE)</f>
        <v/>
      </c>
      <c r="I253" s="9" t="b">
        <v>1</v>
      </c>
      <c r="J253" s="9" t="n"/>
      <c r="K253" s="5" t="n">
        <v>120</v>
      </c>
      <c r="L253" s="5" t="n">
        <v>49</v>
      </c>
      <c r="M253" s="12" t="n">
        <v>120</v>
      </c>
      <c r="N253" s="9" t="b">
        <v>1</v>
      </c>
    </row>
    <row r="254" ht="61.5" customHeight="1">
      <c r="A254" s="9" t="n">
        <v>253</v>
      </c>
      <c r="B254" s="10">
        <f>_xludf.IMAGE("https://raw.githubusercontent.com/sshibinthomass/Rosary-Plant-House/master/assets/img/salePlants/"&amp;A254&amp;".jpg")</f>
        <v/>
      </c>
      <c r="C254" s="9">
        <f>Products!B254</f>
        <v/>
      </c>
      <c r="D254" s="9" t="inlineStr">
        <is>
          <t>Top</t>
        </is>
      </c>
      <c r="E254" s="11" t="n">
        <v>59</v>
      </c>
      <c r="F254" s="11" t="inlineStr">
        <is>
          <t>Available</t>
        </is>
      </c>
      <c r="G254" s="11" t="inlineStr">
        <is>
          <t>Medium</t>
        </is>
      </c>
      <c r="H254" s="9">
        <f>IF(OR(Local!F254="NA",ISBLANK(Local!F254)),FALSE,TRUE)</f>
        <v/>
      </c>
      <c r="I254" s="9" t="b">
        <v>1</v>
      </c>
      <c r="J254" s="9" t="n"/>
      <c r="K254" s="5" t="n">
        <v>59</v>
      </c>
      <c r="L254" s="5" t="n">
        <v>35</v>
      </c>
      <c r="M254" s="12" t="n">
        <v>99</v>
      </c>
      <c r="N254" s="9" t="b">
        <v>1</v>
      </c>
    </row>
    <row r="255" ht="61.5" customHeight="1">
      <c r="A255" s="9" t="n">
        <v>254</v>
      </c>
      <c r="B255" s="10">
        <f>_xludf.IMAGE("https://raw.githubusercontent.com/sshibinthomass/Rosary-Plant-House/master/assets/img/salePlants/"&amp;A255&amp;".jpg")</f>
        <v/>
      </c>
      <c r="C255" s="9">
        <f>Products!B255</f>
        <v/>
      </c>
      <c r="D255" s="9" t="inlineStr">
        <is>
          <t>Top</t>
        </is>
      </c>
      <c r="E255" s="11" t="n">
        <v>59</v>
      </c>
      <c r="F255" s="11" t="inlineStr">
        <is>
          <t>Low</t>
        </is>
      </c>
      <c r="G255" s="11" t="inlineStr">
        <is>
          <t>High</t>
        </is>
      </c>
      <c r="H255" s="9">
        <f>IF(OR(Local!F255="NA",ISBLANK(Local!F255)),FALSE,TRUE)</f>
        <v/>
      </c>
      <c r="I255" s="9" t="b">
        <v>1</v>
      </c>
      <c r="J255" s="9" t="n"/>
      <c r="K255" s="5" t="n">
        <v>59</v>
      </c>
      <c r="L255" s="5" t="n">
        <v>35</v>
      </c>
      <c r="M255" s="12" t="n">
        <v>69</v>
      </c>
      <c r="N255" s="9" t="b">
        <v>1</v>
      </c>
    </row>
    <row r="256" ht="61.5" customHeight="1">
      <c r="A256" s="9" t="n">
        <v>255</v>
      </c>
      <c r="B256" s="10">
        <f>_xludf.IMAGE("https://raw.githubusercontent.com/sshibinthomass/Rosary-Plant-House/master/assets/img/salePlants/"&amp;A256&amp;".jpg")</f>
        <v/>
      </c>
      <c r="C256" s="9">
        <f>Products!B256</f>
        <v/>
      </c>
      <c r="D256" s="9" t="inlineStr">
        <is>
          <t>Top</t>
        </is>
      </c>
      <c r="E256" s="11" t="n">
        <v>79</v>
      </c>
      <c r="F256" s="11" t="inlineStr">
        <is>
          <t>Available</t>
        </is>
      </c>
      <c r="G256" s="11" t="inlineStr">
        <is>
          <t>Low</t>
        </is>
      </c>
      <c r="H256" s="9">
        <f>IF(OR(Local!F256="NA",ISBLANK(Local!F256)),FALSE,TRUE)</f>
        <v/>
      </c>
      <c r="I256" s="9" t="b">
        <v>1</v>
      </c>
      <c r="J256" s="9" t="n"/>
      <c r="K256" s="5" t="n">
        <v>199</v>
      </c>
      <c r="L256" s="5" t="n">
        <v>149</v>
      </c>
      <c r="M256" s="12" t="n">
        <v>199</v>
      </c>
      <c r="N256" s="9" t="b">
        <v>1</v>
      </c>
    </row>
    <row r="257" ht="61.5" customHeight="1">
      <c r="A257" s="9" t="n">
        <v>256</v>
      </c>
      <c r="B257" s="10">
        <f>_xludf.IMAGE("https://raw.githubusercontent.com/sshibinthomass/Rosary-Plant-House/master/assets/img/salePlants/"&amp;A257&amp;".jpg")</f>
        <v/>
      </c>
      <c r="C257" s="9">
        <f>Products!B257</f>
        <v/>
      </c>
      <c r="D257" s="9" t="inlineStr">
        <is>
          <t>Top</t>
        </is>
      </c>
      <c r="E257" s="11" t="n">
        <v>79</v>
      </c>
      <c r="F257" s="11" t="inlineStr">
        <is>
          <t>Available</t>
        </is>
      </c>
      <c r="G257" s="11" t="inlineStr">
        <is>
          <t>Low</t>
        </is>
      </c>
      <c r="H257" s="9">
        <f>IF(OR(Local!F257="NA",ISBLANK(Local!F257)),FALSE,TRUE)</f>
        <v/>
      </c>
      <c r="I257" s="9" t="b">
        <v>1</v>
      </c>
      <c r="J257" s="9" t="n"/>
      <c r="K257" s="5" t="n">
        <v>149</v>
      </c>
      <c r="L257" s="5" t="n">
        <v>149</v>
      </c>
      <c r="M257" s="12" t="n">
        <v>199</v>
      </c>
      <c r="N257" s="9" t="b">
        <v>1</v>
      </c>
    </row>
    <row r="258" ht="61.5" customHeight="1">
      <c r="A258" s="9" t="n">
        <v>257</v>
      </c>
      <c r="B258" s="10">
        <f>_xludf.IMAGE("https://raw.githubusercontent.com/sshibinthomass/Rosary-Plant-House/master/assets/img/salePlants/"&amp;A258&amp;".jpg")</f>
        <v/>
      </c>
      <c r="C258" s="9">
        <f>Products!B258</f>
        <v/>
      </c>
      <c r="D258" s="9" t="inlineStr">
        <is>
          <t>Top</t>
        </is>
      </c>
      <c r="E258" s="11" t="n">
        <v>120</v>
      </c>
      <c r="F258" s="11" t="inlineStr">
        <is>
          <t>Available</t>
        </is>
      </c>
      <c r="G258" s="11" t="inlineStr">
        <is>
          <t>NotStarted</t>
        </is>
      </c>
      <c r="H258" s="9">
        <f>IF(OR(Local!F258="NA",ISBLANK(Local!F258)),FALSE,TRUE)</f>
        <v/>
      </c>
      <c r="I258" s="9" t="b">
        <v>1</v>
      </c>
      <c r="J258" s="9" t="n"/>
      <c r="K258" s="5" t="n">
        <v>120</v>
      </c>
      <c r="L258" s="5" t="n">
        <v>120</v>
      </c>
      <c r="M258" s="12" t="n">
        <v>120</v>
      </c>
      <c r="N258" s="9" t="b">
        <v>0</v>
      </c>
    </row>
    <row r="259" ht="61.5" customHeight="1">
      <c r="A259" s="9" t="n">
        <v>258</v>
      </c>
      <c r="B259" s="10">
        <f>_xludf.IMAGE("https://raw.githubusercontent.com/sshibinthomass/Rosary-Plant-House/master/assets/img/salePlants/"&amp;A259&amp;".jpg")</f>
        <v/>
      </c>
      <c r="C259" s="9">
        <f>Products!B259</f>
        <v/>
      </c>
      <c r="D259" s="9" t="inlineStr">
        <is>
          <t>Top</t>
        </is>
      </c>
      <c r="E259" s="11" t="n">
        <v>79</v>
      </c>
      <c r="F259" s="11" t="inlineStr">
        <is>
          <t>Low</t>
        </is>
      </c>
      <c r="G259" s="11" t="inlineStr">
        <is>
          <t>NotStarted</t>
        </is>
      </c>
      <c r="H259" s="9">
        <f>IF(OR(Local!F259="NA",ISBLANK(Local!F259)),FALSE,TRUE)</f>
        <v/>
      </c>
      <c r="I259" s="9" t="b">
        <v>1</v>
      </c>
      <c r="J259" s="9" t="n"/>
      <c r="K259" s="5" t="n">
        <v>149</v>
      </c>
      <c r="L259" s="5" t="n">
        <v>149</v>
      </c>
      <c r="M259" s="12" t="n">
        <v>149</v>
      </c>
      <c r="N259" s="9" t="b">
        <v>0</v>
      </c>
    </row>
    <row r="260" ht="61.5" customHeight="1">
      <c r="A260" s="9" t="n">
        <v>259</v>
      </c>
      <c r="B260" s="10">
        <f>_xludf.IMAGE("https://raw.githubusercontent.com/sshibinthomass/Rosary-Plant-House/master/assets/img/salePlants/"&amp;A260&amp;".jpg")</f>
        <v/>
      </c>
      <c r="C260" s="9">
        <f>Products!B260</f>
        <v/>
      </c>
      <c r="D260" s="9" t="inlineStr">
        <is>
          <t>Top</t>
        </is>
      </c>
      <c r="E260" s="11" t="n">
        <v>79</v>
      </c>
      <c r="F260" s="11" t="inlineStr">
        <is>
          <t>Low</t>
        </is>
      </c>
      <c r="G260" s="11" t="inlineStr">
        <is>
          <t>NotStarted</t>
        </is>
      </c>
      <c r="H260" s="9">
        <f>IF(OR(Local!F260="NA",ISBLANK(Local!F260)),FALSE,TRUE)</f>
        <v/>
      </c>
      <c r="I260" s="9" t="b">
        <v>1</v>
      </c>
      <c r="J260" s="9" t="n"/>
      <c r="K260" s="5" t="n">
        <v>199</v>
      </c>
      <c r="L260" s="5" t="n">
        <v>149</v>
      </c>
      <c r="M260" s="12" t="n">
        <v>199</v>
      </c>
      <c r="N260" s="9" t="b">
        <v>0</v>
      </c>
    </row>
    <row r="261" ht="61.5" customHeight="1">
      <c r="A261" s="9" t="n">
        <v>260</v>
      </c>
      <c r="B261" s="10">
        <f>_xludf.IMAGE("https://raw.githubusercontent.com/sshibinthomass/Rosary-Plant-House/master/assets/img/salePlants/"&amp;A261&amp;".jpg")</f>
        <v/>
      </c>
      <c r="C261" s="9">
        <f>Products!B261</f>
        <v/>
      </c>
      <c r="D261" s="9" t="inlineStr">
        <is>
          <t>Top</t>
        </is>
      </c>
      <c r="E261" s="12" t="n">
        <v>79</v>
      </c>
      <c r="F261" s="11" t="inlineStr">
        <is>
          <t>Low</t>
        </is>
      </c>
      <c r="G261" s="11" t="inlineStr">
        <is>
          <t>NotStarted</t>
        </is>
      </c>
      <c r="H261" s="9">
        <f>IF(OR(Local!F261="NA",ISBLANK(Local!F261)),FALSE,TRUE)</f>
        <v/>
      </c>
      <c r="I261" s="9" t="b">
        <v>1</v>
      </c>
      <c r="J261" s="9" t="n"/>
      <c r="K261" s="12" t="n">
        <v>99</v>
      </c>
      <c r="L261" s="12" t="n">
        <v>99</v>
      </c>
      <c r="M261" s="12" t="n">
        <v>99</v>
      </c>
      <c r="N261" s="9" t="b">
        <v>0</v>
      </c>
    </row>
    <row r="262" ht="61.5" customHeight="1">
      <c r="A262" s="9" t="n">
        <v>261</v>
      </c>
      <c r="B262" s="10">
        <f>_xludf.IMAGE("https://raw.githubusercontent.com/sshibinthomass/Rosary-Plant-House/master/assets/img/salePlants/"&amp;A262&amp;".jpg")</f>
        <v/>
      </c>
      <c r="C262" s="9">
        <f>Products!B262</f>
        <v/>
      </c>
      <c r="D262" s="9" t="inlineStr">
        <is>
          <t>Top</t>
        </is>
      </c>
      <c r="E262" s="12" t="n">
        <v>79</v>
      </c>
      <c r="F262" s="11" t="inlineStr">
        <is>
          <t>Low</t>
        </is>
      </c>
      <c r="G262" s="11" t="inlineStr">
        <is>
          <t>NotStarted</t>
        </is>
      </c>
      <c r="H262" s="9">
        <f>IF(OR(Local!F262="NA",ISBLANK(Local!F262)),FALSE,TRUE)</f>
        <v/>
      </c>
      <c r="I262" s="9" t="b">
        <v>1</v>
      </c>
      <c r="J262" s="9" t="n"/>
      <c r="K262" s="12" t="n">
        <v>120</v>
      </c>
      <c r="L262" s="12" t="n">
        <v>99</v>
      </c>
      <c r="M262" s="12" t="n">
        <v>120</v>
      </c>
      <c r="N262" s="9" t="b">
        <v>1</v>
      </c>
    </row>
    <row r="263" ht="61.5" customHeight="1">
      <c r="A263" s="9" t="n">
        <v>262</v>
      </c>
      <c r="B263" s="10">
        <f>_xludf.IMAGE("https://raw.githubusercontent.com/sshibinthomass/Rosary-Plant-House/master/assets/img/salePlants/"&amp;A263&amp;".jpg")</f>
        <v/>
      </c>
      <c r="C263" s="9">
        <f>Products!B263</f>
        <v/>
      </c>
      <c r="D263" s="9" t="inlineStr">
        <is>
          <t>Top</t>
        </is>
      </c>
      <c r="E263" s="12" t="n">
        <v>79</v>
      </c>
      <c r="F263" s="11" t="inlineStr">
        <is>
          <t>Available</t>
        </is>
      </c>
      <c r="G263" s="11" t="inlineStr">
        <is>
          <t>NotStarted</t>
        </is>
      </c>
      <c r="H263" s="9">
        <f>IF(OR(Local!F263="NA",ISBLANK(Local!F263)),FALSE,TRUE)</f>
        <v/>
      </c>
      <c r="I263" s="9" t="b">
        <v>1</v>
      </c>
      <c r="J263" s="9" t="n"/>
      <c r="K263" s="12" t="n">
        <v>120</v>
      </c>
      <c r="L263" s="12" t="n">
        <v>99</v>
      </c>
      <c r="M263" s="12" t="n">
        <v>120</v>
      </c>
      <c r="N263" s="9" t="b">
        <v>1</v>
      </c>
    </row>
    <row r="264" ht="61.5" customHeight="1">
      <c r="A264" s="9" t="n">
        <v>263</v>
      </c>
      <c r="B264" s="10">
        <f>_xludf.IMAGE("https://raw.githubusercontent.com/sshibinthomass/Rosary-Plant-House/master/assets/img/salePlants/"&amp;A264&amp;".jpg")</f>
        <v/>
      </c>
      <c r="C264" s="9">
        <f>Products!B264</f>
        <v/>
      </c>
      <c r="D264" s="9" t="inlineStr">
        <is>
          <t>Top</t>
        </is>
      </c>
      <c r="E264" s="11" t="n">
        <v>99</v>
      </c>
      <c r="F264" s="11" t="inlineStr">
        <is>
          <t>Low</t>
        </is>
      </c>
      <c r="G264" s="11" t="inlineStr">
        <is>
          <t>Low</t>
        </is>
      </c>
      <c r="H264" s="9">
        <f>IF(OR(Local!F264="NA",ISBLANK(Local!F264)),FALSE,TRUE)</f>
        <v/>
      </c>
      <c r="I264" s="9" t="b">
        <v>1</v>
      </c>
      <c r="J264" s="9" t="n"/>
      <c r="K264" s="5" t="n">
        <v>149</v>
      </c>
      <c r="L264" s="5" t="n">
        <v>149</v>
      </c>
      <c r="M264" s="12" t="n">
        <v>199</v>
      </c>
      <c r="N264" s="9" t="b">
        <v>1</v>
      </c>
    </row>
    <row r="265" ht="61.5" customHeight="1">
      <c r="A265" s="9" t="n">
        <v>264</v>
      </c>
      <c r="B265" s="10">
        <f>_xludf.IMAGE("https://raw.githubusercontent.com/sshibinthomass/Rosary-Plant-House/master/assets/img/salePlants/"&amp;A265&amp;".jpg")</f>
        <v/>
      </c>
      <c r="C265" s="9">
        <f>Products!B265</f>
        <v/>
      </c>
      <c r="D265" s="9" t="inlineStr">
        <is>
          <t>Top</t>
        </is>
      </c>
      <c r="E265" s="11" t="n">
        <v>89</v>
      </c>
      <c r="F265" s="11" t="inlineStr">
        <is>
          <t>Low</t>
        </is>
      </c>
      <c r="G265" s="11" t="inlineStr">
        <is>
          <t>Low</t>
        </is>
      </c>
      <c r="H265" s="9">
        <f>IF(OR(Local!F265="NA",ISBLANK(Local!F265)),FALSE,TRUE)</f>
        <v/>
      </c>
      <c r="I265" s="9" t="b">
        <v>1</v>
      </c>
      <c r="J265" s="9" t="n"/>
      <c r="K265" s="5" t="n">
        <v>149</v>
      </c>
      <c r="L265" s="5" t="n">
        <v>149</v>
      </c>
      <c r="M265" s="12" t="n">
        <v>199</v>
      </c>
      <c r="N265" s="9" t="b">
        <v>1</v>
      </c>
    </row>
    <row r="266" ht="61.5" customHeight="1">
      <c r="A266" s="9" t="n">
        <v>265</v>
      </c>
      <c r="B266" s="10">
        <f>_xludf.IMAGE("https://raw.githubusercontent.com/sshibinthomass/Rosary-Plant-House/master/assets/img/salePlants/"&amp;A266&amp;".jpg")</f>
        <v/>
      </c>
      <c r="C266" s="9">
        <f>Products!B266</f>
        <v/>
      </c>
      <c r="D266" s="9" t="inlineStr">
        <is>
          <t>Top</t>
        </is>
      </c>
      <c r="E266" s="11" t="n">
        <v>99</v>
      </c>
      <c r="F266" s="11" t="inlineStr">
        <is>
          <t>Low</t>
        </is>
      </c>
      <c r="G266" s="11" t="inlineStr">
        <is>
          <t>NotStarted</t>
        </is>
      </c>
      <c r="H266" s="9">
        <f>IF(OR(Local!F266="NA",ISBLANK(Local!F266)),FALSE,TRUE)</f>
        <v/>
      </c>
      <c r="I266" s="9" t="b">
        <v>1</v>
      </c>
      <c r="J266" s="9" t="n"/>
      <c r="K266" s="5" t="n">
        <v>89</v>
      </c>
      <c r="L266" s="5" t="n">
        <v>89</v>
      </c>
      <c r="M266" s="12" t="n">
        <v>99</v>
      </c>
      <c r="N266" s="9" t="b">
        <v>1</v>
      </c>
    </row>
    <row r="267" ht="61.5" customHeight="1">
      <c r="A267" s="9" t="n">
        <v>266</v>
      </c>
      <c r="B267" s="10">
        <f>_xludf.IMAGE("https://raw.githubusercontent.com/sshibinthomass/Rosary-Plant-House/master/assets/img/salePlants/"&amp;A267&amp;".jpg")</f>
        <v/>
      </c>
      <c r="C267" s="9">
        <f>Products!B267</f>
        <v/>
      </c>
      <c r="D267" s="9" t="inlineStr">
        <is>
          <t>Top</t>
        </is>
      </c>
      <c r="E267" s="11" t="n">
        <v>69</v>
      </c>
      <c r="F267" s="11" t="inlineStr">
        <is>
          <t>Available</t>
        </is>
      </c>
      <c r="G267" s="11" t="inlineStr">
        <is>
          <t>NotStarted</t>
        </is>
      </c>
      <c r="H267" s="9">
        <f>IF(OR(Local!F267="NA",ISBLANK(Local!F267)),FALSE,TRUE)</f>
        <v/>
      </c>
      <c r="I267" s="9" t="b">
        <v>1</v>
      </c>
      <c r="J267" s="9" t="n"/>
      <c r="K267" s="5" t="n">
        <v>89</v>
      </c>
      <c r="L267" s="5" t="n">
        <v>69</v>
      </c>
      <c r="M267" s="12" t="n">
        <v>99</v>
      </c>
      <c r="N267" s="9" t="b">
        <v>1</v>
      </c>
    </row>
    <row r="268" ht="61.5" customHeight="1">
      <c r="A268" s="9" t="n">
        <v>267</v>
      </c>
      <c r="B268" s="10">
        <f>_xludf.IMAGE("https://raw.githubusercontent.com/sshibinthomass/Rosary-Plant-House/master/assets/img/salePlants/"&amp;A268&amp;".jpg")</f>
        <v/>
      </c>
      <c r="C268" s="9">
        <f>Products!B268</f>
        <v/>
      </c>
      <c r="D268" s="9" t="inlineStr">
        <is>
          <t>Top</t>
        </is>
      </c>
      <c r="E268" s="11" t="n">
        <v>79</v>
      </c>
      <c r="F268" s="11" t="inlineStr">
        <is>
          <t>Available</t>
        </is>
      </c>
      <c r="G268" s="11" t="inlineStr">
        <is>
          <t>NotStarted</t>
        </is>
      </c>
      <c r="H268" s="9">
        <f>IF(OR(Local!F268="NA",ISBLANK(Local!F268)),FALSE,TRUE)</f>
        <v/>
      </c>
      <c r="I268" s="9" t="b">
        <v>1</v>
      </c>
      <c r="J268" s="9" t="n"/>
      <c r="K268" s="5" t="n">
        <v>99</v>
      </c>
      <c r="L268" s="5" t="n">
        <v>99</v>
      </c>
      <c r="M268" s="12" t="n">
        <v>99</v>
      </c>
      <c r="N268" s="9" t="b">
        <v>1</v>
      </c>
    </row>
    <row r="269" ht="61.5" customHeight="1">
      <c r="A269" s="9" t="n">
        <v>268</v>
      </c>
      <c r="B269" s="10">
        <f>_xludf.IMAGE("https://raw.githubusercontent.com/sshibinthomass/Rosary-Plant-House/master/assets/img/salePlants/"&amp;A269&amp;".jpg")</f>
        <v/>
      </c>
      <c r="C269" s="9">
        <f>Products!B269</f>
        <v/>
      </c>
      <c r="D269" s="9" t="inlineStr">
        <is>
          <t>Top</t>
        </is>
      </c>
      <c r="E269" s="11" t="n">
        <v>99</v>
      </c>
      <c r="F269" s="11" t="inlineStr">
        <is>
          <t>Available</t>
        </is>
      </c>
      <c r="G269" s="11" t="inlineStr">
        <is>
          <t>NotStarted</t>
        </is>
      </c>
      <c r="H269" s="9">
        <f>IF(OR(Local!F269="NA",ISBLANK(Local!F269)),FALSE,TRUE)</f>
        <v/>
      </c>
      <c r="I269" s="9" t="b">
        <v>1</v>
      </c>
      <c r="J269" s="9" t="n"/>
      <c r="K269" s="5" t="n">
        <v>249</v>
      </c>
      <c r="L269" s="5" t="n">
        <v>149</v>
      </c>
      <c r="M269" s="12" t="n">
        <v>249</v>
      </c>
      <c r="N269" s="9" t="b">
        <v>1</v>
      </c>
    </row>
    <row r="270" ht="61.5" customHeight="1">
      <c r="A270" s="9" t="n">
        <v>269</v>
      </c>
      <c r="B270" s="10">
        <f>_xludf.IMAGE("https://raw.githubusercontent.com/sshibinthomass/Rosary-Plant-House/master/assets/img/salePlants/"&amp;A270&amp;".jpg")</f>
        <v/>
      </c>
      <c r="C270" s="9">
        <f>Products!B270</f>
        <v/>
      </c>
      <c r="D270" s="9" t="inlineStr">
        <is>
          <t>Top</t>
        </is>
      </c>
      <c r="E270" s="11" t="n">
        <v>99</v>
      </c>
      <c r="F270" s="11" t="inlineStr">
        <is>
          <t>Available</t>
        </is>
      </c>
      <c r="G270" s="11" t="inlineStr">
        <is>
          <t>NotStarted</t>
        </is>
      </c>
      <c r="H270" s="9">
        <f>IF(OR(Local!F270="NA",ISBLANK(Local!F270)),FALSE,TRUE)</f>
        <v/>
      </c>
      <c r="I270" s="9" t="b">
        <v>1</v>
      </c>
      <c r="J270" s="9" t="n"/>
      <c r="K270" s="5" t="n">
        <v>249</v>
      </c>
      <c r="L270" s="5" t="n">
        <v>199</v>
      </c>
      <c r="M270" s="12" t="n">
        <v>249</v>
      </c>
      <c r="N270" s="9" t="b">
        <v>1</v>
      </c>
    </row>
    <row r="271" ht="61.5" customHeight="1">
      <c r="A271" s="9" t="n">
        <v>270</v>
      </c>
      <c r="B271" s="10">
        <f>_xludf.IMAGE("https://raw.githubusercontent.com/sshibinthomass/Rosary-Plant-House/master/assets/img/salePlants/"&amp;A271&amp;".jpg")</f>
        <v/>
      </c>
      <c r="C271" s="9">
        <f>Products!B271</f>
        <v/>
      </c>
      <c r="D271" s="9" t="inlineStr">
        <is>
          <t>Top</t>
        </is>
      </c>
      <c r="E271" s="11" t="n">
        <v>99</v>
      </c>
      <c r="F271" s="11" t="inlineStr">
        <is>
          <t>Available</t>
        </is>
      </c>
      <c r="G271" s="11" t="inlineStr">
        <is>
          <t>NotStarted</t>
        </is>
      </c>
      <c r="H271" s="9">
        <f>IF(OR(Local!F271="NA",ISBLANK(Local!F271)),FALSE,TRUE)</f>
        <v/>
      </c>
      <c r="I271" s="9" t="b">
        <v>1</v>
      </c>
      <c r="J271" s="9" t="n"/>
      <c r="K271" s="5" t="n">
        <v>149</v>
      </c>
      <c r="L271" s="5" t="n">
        <v>149</v>
      </c>
      <c r="M271" s="12" t="n">
        <v>199</v>
      </c>
      <c r="N271" s="9" t="b">
        <v>1</v>
      </c>
    </row>
    <row r="272" ht="61.5" customHeight="1">
      <c r="A272" s="9" t="n">
        <v>271</v>
      </c>
      <c r="B272" s="10">
        <f>_xludf.IMAGE("https://raw.githubusercontent.com/sshibinthomass/Rosary-Plant-House/master/assets/img/salePlants/"&amp;A272&amp;".jpg")</f>
        <v/>
      </c>
      <c r="C272" s="9">
        <f>Products!B272</f>
        <v/>
      </c>
      <c r="D272" s="9" t="inlineStr">
        <is>
          <t>Top</t>
        </is>
      </c>
      <c r="E272" s="11" t="n">
        <v>69</v>
      </c>
      <c r="F272" s="11" t="inlineStr">
        <is>
          <t>Available</t>
        </is>
      </c>
      <c r="G272" s="11" t="inlineStr">
        <is>
          <t>NotStarted</t>
        </is>
      </c>
      <c r="H272" s="9">
        <f>IF(OR(Local!F272="NA",ISBLANK(Local!F272)),FALSE,TRUE)</f>
        <v/>
      </c>
      <c r="I272" s="9" t="b">
        <v>1</v>
      </c>
      <c r="J272" s="9" t="n"/>
      <c r="K272" s="5" t="n">
        <v>69</v>
      </c>
      <c r="L272" s="5" t="n">
        <v>69</v>
      </c>
      <c r="M272" s="12" t="n">
        <v>99</v>
      </c>
      <c r="N272" s="9" t="b">
        <v>0</v>
      </c>
    </row>
    <row r="273" ht="61.5" customHeight="1">
      <c r="A273" s="9" t="n">
        <v>272</v>
      </c>
      <c r="B273" s="10">
        <f>_xludf.IMAGE("https://raw.githubusercontent.com/sshibinthomass/Rosary-Plant-House/master/assets/img/salePlants/"&amp;A273&amp;".jpg")</f>
        <v/>
      </c>
      <c r="C273" s="9">
        <f>Products!B273</f>
        <v/>
      </c>
      <c r="D273" s="9" t="inlineStr">
        <is>
          <t>Down</t>
        </is>
      </c>
      <c r="E273" s="12" t="n">
        <v>129</v>
      </c>
      <c r="F273" s="11" t="inlineStr">
        <is>
          <t>NA</t>
        </is>
      </c>
      <c r="G273" s="11" t="inlineStr">
        <is>
          <t>NotStarted</t>
        </is>
      </c>
      <c r="H273" s="9">
        <f>IF(OR(Local!F273="NA",ISBLANK(Local!F273)),FALSE,TRUE)</f>
        <v/>
      </c>
      <c r="I273" s="9" t="b">
        <v>1</v>
      </c>
      <c r="J273" s="9" t="n"/>
      <c r="K273" s="12" t="n">
        <v>149</v>
      </c>
      <c r="L273" s="12" t="n">
        <v>99</v>
      </c>
      <c r="M273" s="12" t="n">
        <v>149</v>
      </c>
      <c r="N273" s="9" t="b">
        <v>1</v>
      </c>
    </row>
    <row r="274" ht="61.5" customHeight="1">
      <c r="A274" s="9" t="n">
        <v>273</v>
      </c>
      <c r="B274" s="10">
        <f>_xludf.IMAGE("https://raw.githubusercontent.com/sshibinthomass/Rosary-Plant-House/master/assets/img/salePlants/"&amp;A274&amp;".jpg")</f>
        <v/>
      </c>
      <c r="C274" s="9">
        <f>Products!B274</f>
        <v/>
      </c>
      <c r="D274" s="9" t="inlineStr">
        <is>
          <t>Top</t>
        </is>
      </c>
      <c r="E274" s="12" t="n">
        <v>99</v>
      </c>
      <c r="F274" s="11" t="inlineStr">
        <is>
          <t>NA</t>
        </is>
      </c>
      <c r="G274" s="11" t="inlineStr">
        <is>
          <t>NotStarted</t>
        </is>
      </c>
      <c r="H274" s="9">
        <f>IF(OR(Local!F274="NA",ISBLANK(Local!F274)),FALSE,TRUE)</f>
        <v/>
      </c>
      <c r="I274" s="9" t="b">
        <v>1</v>
      </c>
      <c r="J274" s="9" t="n"/>
      <c r="K274" s="12" t="n">
        <v>99</v>
      </c>
      <c r="L274" s="12" t="n">
        <v>99</v>
      </c>
      <c r="M274" s="12" t="n">
        <v>99</v>
      </c>
      <c r="N274" s="9" t="b">
        <v>0</v>
      </c>
    </row>
    <row r="275" ht="61.5" customHeight="1">
      <c r="A275" s="9" t="n">
        <v>274</v>
      </c>
      <c r="B275" s="10">
        <f>_xludf.IMAGE("https://raw.githubusercontent.com/sshibinthomass/Rosary-Plant-House/master/assets/img/salePlants/"&amp;A275&amp;".jpg")</f>
        <v/>
      </c>
      <c r="C275" s="9">
        <f>Products!B275</f>
        <v/>
      </c>
      <c r="D275" s="9" t="inlineStr">
        <is>
          <t>Top</t>
        </is>
      </c>
      <c r="E275" s="11" t="n">
        <v>89</v>
      </c>
      <c r="F275" s="11" t="inlineStr">
        <is>
          <t>Available</t>
        </is>
      </c>
      <c r="G275" s="11" t="inlineStr">
        <is>
          <t>NotStarted</t>
        </is>
      </c>
      <c r="H275" s="9">
        <f>IF(OR(Local!F275="NA",ISBLANK(Local!F275)),FALSE,TRUE)</f>
        <v/>
      </c>
      <c r="I275" s="9" t="b">
        <v>1</v>
      </c>
      <c r="J275" s="9" t="n"/>
      <c r="K275" s="5" t="n">
        <v>89</v>
      </c>
      <c r="L275" s="5" t="n">
        <v>69</v>
      </c>
      <c r="M275" s="12" t="n">
        <v>99</v>
      </c>
      <c r="N275" s="9" t="b">
        <v>1</v>
      </c>
    </row>
    <row r="276" ht="61.5" customHeight="1">
      <c r="A276" s="9" t="n">
        <v>275</v>
      </c>
      <c r="B276" s="10">
        <f>_xludf.IMAGE("https://raw.githubusercontent.com/sshibinthomass/Rosary-Plant-House/master/assets/img/salePlants/"&amp;A276&amp;".jpg")</f>
        <v/>
      </c>
      <c r="C276" s="9">
        <f>Products!B276</f>
        <v/>
      </c>
      <c r="D276" s="9" t="inlineStr">
        <is>
          <t>Top</t>
        </is>
      </c>
      <c r="E276" s="11" t="n">
        <v>69</v>
      </c>
      <c r="F276" s="11" t="inlineStr">
        <is>
          <t>Available</t>
        </is>
      </c>
      <c r="G276" s="11" t="inlineStr">
        <is>
          <t>NotStarted</t>
        </is>
      </c>
      <c r="H276" s="9">
        <f>IF(OR(Local!F276="NA",ISBLANK(Local!F276)),FALSE,TRUE)</f>
        <v/>
      </c>
      <c r="I276" s="9" t="b">
        <v>1</v>
      </c>
      <c r="J276" s="9" t="n"/>
      <c r="K276" s="5" t="n">
        <v>120</v>
      </c>
      <c r="L276" s="5" t="n">
        <v>120</v>
      </c>
      <c r="M276" s="12" t="n">
        <v>120</v>
      </c>
      <c r="N276" s="9" t="b">
        <v>0</v>
      </c>
    </row>
    <row r="277" ht="61.5" customHeight="1">
      <c r="A277" s="9" t="n">
        <v>276</v>
      </c>
      <c r="B277" s="10">
        <f>_xludf.IMAGE("https://raw.githubusercontent.com/sshibinthomass/Rosary-Plant-House/master/assets/img/salePlants/"&amp;A277&amp;".jpg")</f>
        <v/>
      </c>
      <c r="C277" s="9">
        <f>Products!B277</f>
        <v/>
      </c>
      <c r="D277" s="9" t="inlineStr">
        <is>
          <t>Top</t>
        </is>
      </c>
      <c r="E277" s="11" t="n">
        <v>79</v>
      </c>
      <c r="F277" s="11" t="inlineStr">
        <is>
          <t>Available</t>
        </is>
      </c>
      <c r="G277" s="11" t="inlineStr">
        <is>
          <t>NotStarted</t>
        </is>
      </c>
      <c r="H277" s="9">
        <f>IF(OR(Local!F277="NA",ISBLANK(Local!F277)),FALSE,TRUE)</f>
        <v/>
      </c>
      <c r="I277" s="9" t="b">
        <v>1</v>
      </c>
      <c r="J277" s="9" t="n"/>
      <c r="K277" s="5" t="n">
        <v>250</v>
      </c>
      <c r="L277" s="5" t="n">
        <v>149</v>
      </c>
      <c r="M277" s="12" t="n">
        <v>250</v>
      </c>
      <c r="N277" s="9" t="b">
        <v>1</v>
      </c>
    </row>
    <row r="278" ht="61.5" customHeight="1">
      <c r="A278" s="9" t="n">
        <v>277</v>
      </c>
      <c r="B278" s="10">
        <f>_xludf.IMAGE("https://raw.githubusercontent.com/sshibinthomass/Rosary-Plant-House/master/assets/img/salePlants/"&amp;A278&amp;".jpg")</f>
        <v/>
      </c>
      <c r="C278" s="9">
        <f>Products!B278</f>
        <v/>
      </c>
      <c r="D278" s="9" t="inlineStr">
        <is>
          <t>Top</t>
        </is>
      </c>
      <c r="E278" s="11" t="n">
        <v>49</v>
      </c>
      <c r="F278" s="11" t="inlineStr">
        <is>
          <t>Low</t>
        </is>
      </c>
      <c r="G278" s="11" t="inlineStr">
        <is>
          <t>NotStarted</t>
        </is>
      </c>
      <c r="H278" s="9">
        <f>IF(OR(Local!F278="NA",ISBLANK(Local!F278)),FALSE,TRUE)</f>
        <v/>
      </c>
      <c r="I278" s="9" t="b">
        <v>1</v>
      </c>
      <c r="J278" s="9" t="n"/>
      <c r="K278" s="5" t="n">
        <v>79</v>
      </c>
      <c r="L278" s="5" t="n">
        <v>49</v>
      </c>
      <c r="M278" s="5" t="n">
        <v>79</v>
      </c>
      <c r="N278" s="9" t="b">
        <v>1</v>
      </c>
    </row>
    <row r="279" ht="61.5" customHeight="1">
      <c r="A279" s="9" t="n">
        <v>278</v>
      </c>
      <c r="B279" s="10">
        <f>_xludf.IMAGE("https://raw.githubusercontent.com/sshibinthomass/Rosary-Plant-House/master/assets/img/salePlants/"&amp;A279&amp;".jpg")</f>
        <v/>
      </c>
      <c r="C279" s="9">
        <f>Products!B279</f>
        <v/>
      </c>
      <c r="D279" s="9" t="inlineStr">
        <is>
          <t>Top</t>
        </is>
      </c>
      <c r="E279" s="11" t="n">
        <v>79</v>
      </c>
      <c r="F279" s="11" t="inlineStr">
        <is>
          <t>NA</t>
        </is>
      </c>
      <c r="G279" s="11" t="inlineStr">
        <is>
          <t>NotStarted</t>
        </is>
      </c>
      <c r="H279" s="9">
        <f>IF(OR(Local!F279="NA",ISBLANK(Local!F279)),FALSE,TRUE)</f>
        <v/>
      </c>
      <c r="I279" s="9" t="b">
        <v>1</v>
      </c>
      <c r="J279" s="9" t="n"/>
      <c r="K279" s="5" t="n">
        <v>79</v>
      </c>
      <c r="L279" s="5" t="n">
        <v>79</v>
      </c>
      <c r="M279" s="5" t="n">
        <v>79</v>
      </c>
      <c r="N279" s="9" t="b">
        <v>0</v>
      </c>
    </row>
    <row r="280" ht="61.5" customHeight="1">
      <c r="A280" s="9" t="n">
        <v>279</v>
      </c>
      <c r="B280" s="10">
        <f>_xludf.IMAGE("https://raw.githubusercontent.com/sshibinthomass/Rosary-Plant-House/master/assets/img/salePlants/"&amp;A280&amp;".jpg")</f>
        <v/>
      </c>
      <c r="C280" s="9">
        <f>Products!B280</f>
        <v/>
      </c>
      <c r="D280" s="9" t="inlineStr">
        <is>
          <t>Top</t>
        </is>
      </c>
      <c r="E280" s="11" t="n">
        <v>79</v>
      </c>
      <c r="F280" s="11" t="inlineStr">
        <is>
          <t>NA</t>
        </is>
      </c>
      <c r="G280" s="11" t="inlineStr">
        <is>
          <t>NotStarted</t>
        </is>
      </c>
      <c r="H280" s="9">
        <f>IF(OR(Local!F280="NA",ISBLANK(Local!F280)),FALSE,TRUE)</f>
        <v/>
      </c>
      <c r="I280" s="9" t="b">
        <v>1</v>
      </c>
      <c r="J280" s="9" t="n"/>
      <c r="K280" s="5" t="n">
        <v>79</v>
      </c>
      <c r="L280" s="5" t="n">
        <v>79</v>
      </c>
      <c r="M280" s="5" t="n">
        <v>79</v>
      </c>
      <c r="N280" s="9" t="b">
        <v>0</v>
      </c>
    </row>
    <row r="281" ht="61.5" customHeight="1">
      <c r="A281" s="9" t="n">
        <v>280</v>
      </c>
      <c r="B281" s="10">
        <f>_xludf.IMAGE("https://raw.githubusercontent.com/sshibinthomass/Rosary-Plant-House/master/assets/img/salePlants/"&amp;A281&amp;".jpg")</f>
        <v/>
      </c>
      <c r="C281" s="9">
        <f>Products!B281</f>
        <v/>
      </c>
      <c r="D281" s="9" t="inlineStr">
        <is>
          <t>Top</t>
        </is>
      </c>
      <c r="E281" s="11" t="n">
        <v>89</v>
      </c>
      <c r="F281" s="11" t="inlineStr">
        <is>
          <t>Low</t>
        </is>
      </c>
      <c r="G281" s="11" t="inlineStr">
        <is>
          <t>NotStarted</t>
        </is>
      </c>
      <c r="H281" s="9">
        <f>IF(OR(Local!F281="NA",ISBLANK(Local!F281)),FALSE,TRUE)</f>
        <v/>
      </c>
      <c r="I281" s="9" t="b">
        <v>1</v>
      </c>
      <c r="J281" s="9" t="n"/>
      <c r="K281" s="5" t="n">
        <v>89</v>
      </c>
      <c r="L281" s="5" t="n">
        <v>89</v>
      </c>
      <c r="M281" s="5" t="n">
        <v>89</v>
      </c>
      <c r="N281" s="9" t="b">
        <v>0</v>
      </c>
    </row>
    <row r="282" ht="61.5" customHeight="1">
      <c r="A282" s="21" t="n">
        <v>281</v>
      </c>
      <c r="B282" s="22">
        <f>_xludf.IMAGE("https://raw.githubusercontent.com/sshibinthomass/Rosary-Plant-House/master/assets/img/salePlants/"&amp;A282&amp;".jpg")</f>
        <v/>
      </c>
      <c r="C282" s="21">
        <f>Products!B282</f>
        <v/>
      </c>
      <c r="D282" s="9" t="inlineStr">
        <is>
          <t>Top</t>
        </is>
      </c>
      <c r="E282" s="18" t="n">
        <v>69</v>
      </c>
      <c r="F282" s="11" t="inlineStr">
        <is>
          <t>Low</t>
        </is>
      </c>
      <c r="G282" s="18" t="inlineStr">
        <is>
          <t>NotStarted</t>
        </is>
      </c>
      <c r="H282" s="9">
        <f>IF(OR(Local!F282="NA",ISBLANK(Local!F282)),FALSE,TRUE)</f>
        <v/>
      </c>
      <c r="I282" s="21" t="b">
        <v>1</v>
      </c>
      <c r="J282" s="21" t="n"/>
      <c r="K282" s="23" t="n">
        <v>79</v>
      </c>
      <c r="L282" s="23" t="n">
        <v>49</v>
      </c>
      <c r="M282" s="23" t="n">
        <v>79</v>
      </c>
      <c r="N282" s="21" t="b">
        <v>0</v>
      </c>
      <c r="O282" s="24" t="n"/>
      <c r="P282" s="24" t="n"/>
      <c r="Q282" s="24" t="n"/>
      <c r="R282" s="24" t="n"/>
      <c r="S282" s="24" t="n"/>
      <c r="T282" s="24" t="n"/>
      <c r="U282" s="24" t="n"/>
      <c r="V282" s="24" t="n"/>
      <c r="W282" s="24" t="n"/>
    </row>
    <row r="283" ht="61.5" customHeight="1">
      <c r="A283" s="9" t="n">
        <v>282</v>
      </c>
      <c r="B283" s="10">
        <f>_xludf.IMAGE("https://raw.githubusercontent.com/sshibinthomass/Rosary-Plant-House/master/assets/img/salePlants/"&amp;A283&amp;".jpg")</f>
        <v/>
      </c>
      <c r="C283" s="9">
        <f>Products!B283</f>
        <v/>
      </c>
      <c r="D283" s="9" t="inlineStr">
        <is>
          <t>Top</t>
        </is>
      </c>
      <c r="E283" s="11" t="n">
        <v>120</v>
      </c>
      <c r="F283" s="18" t="inlineStr">
        <is>
          <t>NA</t>
        </is>
      </c>
      <c r="G283" s="11" t="inlineStr">
        <is>
          <t>NotStarted</t>
        </is>
      </c>
      <c r="H283" s="9">
        <f>IF(OR(Local!F283="NA",ISBLANK(Local!F283)),FALSE,TRUE)</f>
        <v/>
      </c>
      <c r="I283" s="9" t="b">
        <v>1</v>
      </c>
      <c r="J283" s="9" t="n"/>
      <c r="K283" s="5" t="n">
        <v>120</v>
      </c>
      <c r="L283" s="5" t="n">
        <v>120</v>
      </c>
      <c r="M283" s="5" t="n">
        <v>120</v>
      </c>
      <c r="N283" s="9" t="b">
        <v>0</v>
      </c>
    </row>
    <row r="284" ht="61.5" customHeight="1">
      <c r="A284" s="9" t="n">
        <v>283</v>
      </c>
      <c r="B284" s="10">
        <f>_xludf.IMAGE("https://raw.githubusercontent.com/sshibinthomass/Rosary-Plant-House/master/assets/img/salePlants/"&amp;A284&amp;".jpg")</f>
        <v/>
      </c>
      <c r="C284" s="9">
        <f>Products!B284</f>
        <v/>
      </c>
      <c r="D284" s="9" t="inlineStr">
        <is>
          <t>Both</t>
        </is>
      </c>
      <c r="E284" s="11" t="n">
        <v>49</v>
      </c>
      <c r="F284" s="11" t="inlineStr">
        <is>
          <t>Available</t>
        </is>
      </c>
      <c r="G284" s="11" t="inlineStr">
        <is>
          <t>NotStarted</t>
        </is>
      </c>
      <c r="H284" s="9">
        <f>IF(OR(Local!F284="NA",ISBLANK(Local!F284)),FALSE,TRUE)</f>
        <v/>
      </c>
      <c r="I284" s="9" t="b">
        <v>1</v>
      </c>
      <c r="J284" s="9" t="n"/>
      <c r="K284" s="5" t="n">
        <v>120</v>
      </c>
      <c r="L284" s="5" t="n">
        <v>59</v>
      </c>
      <c r="M284" s="5" t="n">
        <v>120</v>
      </c>
      <c r="N284" s="9" t="b">
        <v>1</v>
      </c>
    </row>
    <row r="285" ht="61.5" customHeight="1">
      <c r="A285" s="9" t="n">
        <v>284</v>
      </c>
      <c r="B285" s="10">
        <f>_xludf.IMAGE("https://raw.githubusercontent.com/sshibinthomass/Rosary-Plant-House/master/assets/img/salePlants/"&amp;A285&amp;".jpg")</f>
        <v/>
      </c>
      <c r="C285" s="9">
        <f>Products!B285</f>
        <v/>
      </c>
      <c r="D285" s="9" t="inlineStr">
        <is>
          <t>Top</t>
        </is>
      </c>
      <c r="E285" s="11" t="n">
        <v>120</v>
      </c>
      <c r="F285" s="11" t="inlineStr">
        <is>
          <t>Low</t>
        </is>
      </c>
      <c r="G285" s="11" t="inlineStr">
        <is>
          <t>NotStarted</t>
        </is>
      </c>
      <c r="H285" s="9">
        <f>IF(OR(Local!F285="NA",ISBLANK(Local!F285)),FALSE,TRUE)</f>
        <v/>
      </c>
      <c r="I285" s="9" t="b">
        <v>1</v>
      </c>
      <c r="J285" s="9" t="n"/>
      <c r="K285" s="5" t="n">
        <v>120</v>
      </c>
      <c r="L285" s="5" t="n">
        <v>120</v>
      </c>
      <c r="M285" s="5" t="n">
        <v>120</v>
      </c>
      <c r="N285" s="9" t="b">
        <v>0</v>
      </c>
    </row>
    <row r="286" ht="61.5" customHeight="1">
      <c r="A286" s="9" t="n">
        <v>285</v>
      </c>
      <c r="B286" s="10">
        <f>_xludf.IMAGE("https://raw.githubusercontent.com/sshibinthomass/Rosary-Plant-House/master/assets/img/salePlants/"&amp;A286&amp;".jpg")</f>
        <v/>
      </c>
      <c r="C286" s="9">
        <f>Products!B286</f>
        <v/>
      </c>
      <c r="D286" s="9" t="inlineStr">
        <is>
          <t>Top</t>
        </is>
      </c>
      <c r="E286" s="11" t="n">
        <v>120</v>
      </c>
      <c r="F286" s="11" t="inlineStr">
        <is>
          <t>Low</t>
        </is>
      </c>
      <c r="G286" s="11" t="inlineStr">
        <is>
          <t>NotStarted</t>
        </is>
      </c>
      <c r="H286" s="9">
        <f>IF(OR(Local!F286="NA",ISBLANK(Local!F286)),FALSE,TRUE)</f>
        <v/>
      </c>
      <c r="I286" s="9" t="b">
        <v>1</v>
      </c>
      <c r="J286" s="9" t="n"/>
      <c r="K286" s="5" t="n">
        <v>149</v>
      </c>
      <c r="L286" s="5" t="n">
        <v>149</v>
      </c>
      <c r="M286" s="5" t="n">
        <v>199</v>
      </c>
      <c r="N286" s="9" t="b">
        <v>1</v>
      </c>
    </row>
    <row r="287" ht="61.5" customHeight="1">
      <c r="A287" s="9" t="n">
        <v>286</v>
      </c>
      <c r="B287" s="10">
        <f>_xludf.IMAGE("https://raw.githubusercontent.com/sshibinthomass/Rosary-Plant-House/master/assets/img/salePlants/"&amp;A287&amp;".jpg")</f>
        <v/>
      </c>
      <c r="C287" s="9">
        <f>Products!B287</f>
        <v/>
      </c>
      <c r="D287" s="9" t="inlineStr">
        <is>
          <t>Top</t>
        </is>
      </c>
      <c r="E287" s="11" t="n">
        <v>59</v>
      </c>
      <c r="F287" s="11" t="inlineStr">
        <is>
          <t>Available</t>
        </is>
      </c>
      <c r="G287" s="11" t="inlineStr">
        <is>
          <t>NotStarted</t>
        </is>
      </c>
      <c r="H287" s="9">
        <f>IF(OR(Local!F287="NA",ISBLANK(Local!F287)),FALSE,TRUE)</f>
        <v/>
      </c>
      <c r="I287" s="9" t="b">
        <v>1</v>
      </c>
      <c r="J287" s="9" t="n"/>
      <c r="K287" s="5" t="n">
        <v>99</v>
      </c>
      <c r="L287" s="5" t="n">
        <v>59</v>
      </c>
      <c r="M287" s="5" t="n">
        <v>99</v>
      </c>
      <c r="N287" s="9" t="b">
        <v>1</v>
      </c>
    </row>
    <row r="288" ht="61.5" customHeight="1">
      <c r="A288" s="9" t="n">
        <v>287</v>
      </c>
      <c r="B288" s="10">
        <f>_xludf.IMAGE("https://raw.githubusercontent.com/sshibinthomass/Rosary-Plant-House/master/assets/img/salePlants/"&amp;A288&amp;".jpg")</f>
        <v/>
      </c>
      <c r="C288" s="9">
        <f>Products!B288</f>
        <v/>
      </c>
      <c r="D288" s="9" t="inlineStr">
        <is>
          <t>Top</t>
        </is>
      </c>
      <c r="E288" s="11" t="n">
        <v>120</v>
      </c>
      <c r="F288" s="11" t="inlineStr">
        <is>
          <t>Low</t>
        </is>
      </c>
      <c r="G288" s="11" t="inlineStr">
        <is>
          <t>NotStarted</t>
        </is>
      </c>
      <c r="H288" s="9">
        <f>IF(OR(Local!F288="NA",ISBLANK(Local!F288)),FALSE,TRUE)</f>
        <v/>
      </c>
      <c r="I288" s="9" t="b">
        <v>1</v>
      </c>
      <c r="J288" s="9" t="n"/>
      <c r="K288" s="5" t="n">
        <v>120</v>
      </c>
      <c r="L288" s="5" t="n">
        <v>120</v>
      </c>
      <c r="M288" s="5" t="n">
        <v>120</v>
      </c>
      <c r="N288" s="9" t="b">
        <v>1</v>
      </c>
    </row>
    <row r="289" ht="61.5" customHeight="1">
      <c r="A289" s="9" t="n">
        <v>288</v>
      </c>
      <c r="B289" s="10">
        <f>_xludf.IMAGE("https://raw.githubusercontent.com/sshibinthomass/Rosary-Plant-House/master/assets/img/salePlants/"&amp;A289&amp;".jpg")</f>
        <v/>
      </c>
      <c r="C289" s="9">
        <f>Products!B289</f>
        <v/>
      </c>
      <c r="D289" s="9" t="inlineStr">
        <is>
          <t>Top</t>
        </is>
      </c>
      <c r="E289" s="11" t="n">
        <v>120</v>
      </c>
      <c r="F289" s="11" t="inlineStr">
        <is>
          <t>Low</t>
        </is>
      </c>
      <c r="G289" s="11" t="inlineStr">
        <is>
          <t>NotStarted</t>
        </is>
      </c>
      <c r="H289" s="9">
        <f>IF(OR(Local!F289="NA",ISBLANK(Local!F289)),FALSE,TRUE)</f>
        <v/>
      </c>
      <c r="I289" s="9" t="b">
        <v>1</v>
      </c>
      <c r="J289" s="9" t="n"/>
      <c r="K289" s="5" t="n">
        <v>120</v>
      </c>
      <c r="L289" s="5" t="n">
        <v>59</v>
      </c>
      <c r="M289" s="5" t="n">
        <v>120</v>
      </c>
      <c r="N289" s="9" t="b">
        <v>1</v>
      </c>
    </row>
    <row r="290" ht="61.5" customHeight="1">
      <c r="A290" s="9" t="n">
        <v>289</v>
      </c>
      <c r="B290" s="10">
        <f>_xludf.IMAGE("https://raw.githubusercontent.com/sshibinthomass/Rosary-Plant-House/master/assets/img/salePlants/"&amp;A290&amp;".jpg")</f>
        <v/>
      </c>
      <c r="C290" s="25" t="inlineStr">
        <is>
          <t>Baby sun rose green</t>
        </is>
      </c>
      <c r="D290" s="9" t="inlineStr">
        <is>
          <t>Top</t>
        </is>
      </c>
      <c r="E290" s="11" t="n">
        <v>79</v>
      </c>
      <c r="F290" s="11" t="inlineStr">
        <is>
          <t>NA</t>
        </is>
      </c>
      <c r="G290" s="11" t="inlineStr">
        <is>
          <t>NotStarted</t>
        </is>
      </c>
      <c r="H290" s="9">
        <f>IF(OR(Local!F290="NA",ISBLANK(Local!F290)),FALSE,TRUE)</f>
        <v/>
      </c>
      <c r="I290" s="9" t="b">
        <v>1</v>
      </c>
      <c r="J290" s="9" t="n"/>
      <c r="K290" s="5" t="n">
        <v>120</v>
      </c>
      <c r="L290" s="5" t="n">
        <v>79</v>
      </c>
      <c r="M290" s="12" t="n">
        <v>120</v>
      </c>
      <c r="N290" s="9" t="b">
        <v>1</v>
      </c>
    </row>
    <row r="291" ht="61.5" customHeight="1">
      <c r="A291" s="9" t="n">
        <v>290</v>
      </c>
      <c r="B291" s="10">
        <f>_xludf.IMAGE("https://raw.githubusercontent.com/sshibinthomass/Rosary-Plant-House/master/assets/img/salePlants/"&amp;A291&amp;".jpg")</f>
        <v/>
      </c>
      <c r="C291" s="9" t="inlineStr">
        <is>
          <t>Plant 290</t>
        </is>
      </c>
      <c r="D291" s="9" t="inlineStr">
        <is>
          <t>Top</t>
        </is>
      </c>
      <c r="E291" s="11" t="n">
        <v>79</v>
      </c>
      <c r="F291" s="11" t="inlineStr">
        <is>
          <t>Low</t>
        </is>
      </c>
      <c r="G291" s="11" t="inlineStr">
        <is>
          <t>NotStarted</t>
        </is>
      </c>
      <c r="H291" s="9">
        <f>IF(OR(Local!F291="NA",ISBLANK(Local!F291)),FALSE,TRUE)</f>
        <v/>
      </c>
      <c r="I291" s="9" t="b">
        <v>1</v>
      </c>
      <c r="J291" s="9" t="n"/>
      <c r="K291" s="5" t="n">
        <v>120</v>
      </c>
      <c r="L291" s="5" t="n">
        <v>79</v>
      </c>
      <c r="M291" s="12" t="n">
        <v>120</v>
      </c>
      <c r="N291" s="9" t="b">
        <v>1</v>
      </c>
    </row>
    <row r="292" ht="61.5" customHeight="1">
      <c r="A292" s="9" t="n">
        <v>291</v>
      </c>
      <c r="B292" s="10">
        <f>_xludf.IMAGE("https://raw.githubusercontent.com/sshibinthomass/Rosary-Plant-House/master/assets/img/salePlants/"&amp;A292&amp;".jpg")</f>
        <v/>
      </c>
      <c r="C292" s="9" t="inlineStr">
        <is>
          <t>Plant 291</t>
        </is>
      </c>
      <c r="D292" s="9" t="inlineStr">
        <is>
          <t>Top</t>
        </is>
      </c>
      <c r="E292" s="11" t="n">
        <v>79</v>
      </c>
      <c r="F292" s="11" t="inlineStr">
        <is>
          <t>Low</t>
        </is>
      </c>
      <c r="G292" s="11" t="inlineStr">
        <is>
          <t>NotStarted</t>
        </is>
      </c>
      <c r="H292" s="9">
        <f>IF(OR(Local!F292="NA",ISBLANK(Local!F292)),FALSE,TRUE)</f>
        <v/>
      </c>
      <c r="I292" s="9" t="b">
        <v>1</v>
      </c>
      <c r="J292" s="9" t="n"/>
      <c r="K292" s="5" t="n">
        <v>120</v>
      </c>
      <c r="L292" s="5" t="n">
        <v>79</v>
      </c>
      <c r="M292" s="12" t="n">
        <v>120</v>
      </c>
      <c r="N292" s="9" t="b">
        <v>1</v>
      </c>
    </row>
    <row r="293" ht="61.5" customHeight="1">
      <c r="A293" s="9" t="n">
        <v>292</v>
      </c>
      <c r="B293" s="10">
        <f>_xludf.IMAGE("https://raw.githubusercontent.com/sshibinthomass/Rosary-Plant-House/master/assets/img/salePlants/"&amp;A293&amp;".jpg")</f>
        <v/>
      </c>
      <c r="C293" s="9" t="inlineStr">
        <is>
          <t>Plant 292</t>
        </is>
      </c>
      <c r="D293" s="9" t="inlineStr">
        <is>
          <t>Top</t>
        </is>
      </c>
      <c r="E293" s="11" t="n">
        <v>79</v>
      </c>
      <c r="F293" s="11" t="inlineStr">
        <is>
          <t>Low</t>
        </is>
      </c>
      <c r="G293" s="11" t="inlineStr">
        <is>
          <t>NotStarted</t>
        </is>
      </c>
      <c r="H293" s="9">
        <f>IF(OR(Local!F293="NA",ISBLANK(Local!F293)),FALSE,TRUE)</f>
        <v/>
      </c>
      <c r="I293" s="9" t="b">
        <v>1</v>
      </c>
      <c r="J293" s="9" t="n"/>
      <c r="K293" s="5" t="n">
        <v>120</v>
      </c>
      <c r="L293" s="5" t="n">
        <v>79</v>
      </c>
      <c r="M293" s="12" t="n">
        <v>120</v>
      </c>
      <c r="N293" s="9" t="b">
        <v>1</v>
      </c>
    </row>
    <row r="294" ht="61.5" customHeight="1">
      <c r="A294" s="9" t="n">
        <v>293</v>
      </c>
      <c r="B294" s="10">
        <f>_xludf.IMAGE("https://raw.githubusercontent.com/sshibinthomass/Rosary-Plant-House/master/assets/img/salePlants/"&amp;A294&amp;".jpg")</f>
        <v/>
      </c>
      <c r="C294" s="9" t="inlineStr">
        <is>
          <t>Plant 293</t>
        </is>
      </c>
      <c r="D294" s="9" t="inlineStr">
        <is>
          <t>Top</t>
        </is>
      </c>
      <c r="E294" s="11" t="n">
        <v>79</v>
      </c>
      <c r="F294" s="11" t="inlineStr">
        <is>
          <t>NA</t>
        </is>
      </c>
      <c r="G294" s="11" t="inlineStr">
        <is>
          <t>NotStarted</t>
        </is>
      </c>
      <c r="H294" s="9">
        <f>IF(OR(Local!F294="NA",ISBLANK(Local!F294)),FALSE,TRUE)</f>
        <v/>
      </c>
      <c r="I294" s="9" t="b">
        <v>1</v>
      </c>
      <c r="J294" s="9" t="n"/>
      <c r="K294" s="5" t="n">
        <v>120</v>
      </c>
      <c r="L294" s="5" t="n">
        <v>79</v>
      </c>
      <c r="M294" s="12" t="n">
        <v>120</v>
      </c>
      <c r="N294" s="9" t="b">
        <v>1</v>
      </c>
    </row>
    <row r="295" ht="61.5" customHeight="1">
      <c r="A295" s="9" t="n">
        <v>294</v>
      </c>
      <c r="B295" s="10">
        <f>_xludf.IMAGE("https://raw.githubusercontent.com/sshibinthomass/Rosary-Plant-House/master/assets/img/salePlants/"&amp;A295&amp;".jpg")</f>
        <v/>
      </c>
      <c r="C295" s="9" t="inlineStr">
        <is>
          <t>Plant 294</t>
        </is>
      </c>
      <c r="D295" s="9" t="inlineStr">
        <is>
          <t>Top</t>
        </is>
      </c>
      <c r="E295" s="11" t="n">
        <v>79</v>
      </c>
      <c r="F295" s="11" t="inlineStr">
        <is>
          <t>Low</t>
        </is>
      </c>
      <c r="G295" s="11" t="inlineStr">
        <is>
          <t>NotStarted</t>
        </is>
      </c>
      <c r="H295" s="9">
        <f>IF(OR(Local!F295="NA",ISBLANK(Local!F295)),FALSE,TRUE)</f>
        <v/>
      </c>
      <c r="I295" s="9" t="b">
        <v>1</v>
      </c>
      <c r="J295" s="9" t="n"/>
      <c r="K295" s="5" t="n">
        <v>120</v>
      </c>
      <c r="L295" s="5" t="n">
        <v>79</v>
      </c>
      <c r="M295" s="12" t="n">
        <v>120</v>
      </c>
      <c r="N295" s="9" t="b">
        <v>1</v>
      </c>
    </row>
    <row r="296" ht="61.5" customHeight="1">
      <c r="A296" s="9" t="n">
        <v>295</v>
      </c>
      <c r="B296" s="10">
        <f>_xludf.IMAGE("https://raw.githubusercontent.com/sshibinthomass/Rosary-Plant-House/master/assets/img/salePlants/"&amp;A296&amp;".jpg")</f>
        <v/>
      </c>
      <c r="C296" s="9" t="inlineStr">
        <is>
          <t>Plant 295</t>
        </is>
      </c>
      <c r="D296" s="9" t="inlineStr">
        <is>
          <t>Top</t>
        </is>
      </c>
      <c r="E296" s="11" t="n">
        <v>79</v>
      </c>
      <c r="F296" s="11" t="inlineStr">
        <is>
          <t>Low</t>
        </is>
      </c>
      <c r="G296" s="11" t="inlineStr">
        <is>
          <t>NotStarted</t>
        </is>
      </c>
      <c r="H296" s="9">
        <f>IF(OR(Local!F296="NA",ISBLANK(Local!F296)),FALSE,TRUE)</f>
        <v/>
      </c>
      <c r="I296" s="9" t="b">
        <v>1</v>
      </c>
      <c r="J296" s="9" t="n"/>
      <c r="K296" s="5" t="n">
        <v>120</v>
      </c>
      <c r="L296" s="5" t="n">
        <v>79</v>
      </c>
      <c r="M296" s="12" t="n">
        <v>120</v>
      </c>
      <c r="N296" s="9" t="b">
        <v>1</v>
      </c>
    </row>
    <row r="297" ht="61.5" customHeight="1">
      <c r="A297" s="9" t="n">
        <v>296</v>
      </c>
      <c r="B297" s="10">
        <f>_xludf.IMAGE("https://raw.githubusercontent.com/sshibinthomass/Rosary-Plant-House/master/assets/img/salePlants/"&amp;A297&amp;".jpg")</f>
        <v/>
      </c>
      <c r="C297" s="9" t="inlineStr">
        <is>
          <t>Plant 296</t>
        </is>
      </c>
      <c r="D297" s="9" t="inlineStr">
        <is>
          <t>Top</t>
        </is>
      </c>
      <c r="E297" s="11" t="n">
        <v>79</v>
      </c>
      <c r="F297" s="11" t="inlineStr">
        <is>
          <t>Low</t>
        </is>
      </c>
      <c r="G297" s="11" t="inlineStr">
        <is>
          <t>NotStarted</t>
        </is>
      </c>
      <c r="H297" s="9">
        <f>IF(OR(Local!F297="NA",ISBLANK(Local!F297)),FALSE,TRUE)</f>
        <v/>
      </c>
      <c r="I297" s="9" t="b">
        <v>1</v>
      </c>
      <c r="J297" s="9" t="n"/>
      <c r="K297" s="5" t="n">
        <v>120</v>
      </c>
      <c r="L297" s="5" t="n">
        <v>79</v>
      </c>
      <c r="M297" s="12" t="n">
        <v>120</v>
      </c>
      <c r="N297" s="9" t="b">
        <v>1</v>
      </c>
    </row>
    <row r="298" ht="61.5" customHeight="1">
      <c r="A298" s="9" t="n">
        <v>297</v>
      </c>
      <c r="B298" s="10">
        <f>_xludf.IMAGE("https://raw.githubusercontent.com/sshibinthomass/Rosary-Plant-House/master/assets/img/salePlants/"&amp;A298&amp;".jpg")</f>
        <v/>
      </c>
      <c r="C298" s="9" t="inlineStr">
        <is>
          <t>Plant 297</t>
        </is>
      </c>
      <c r="D298" s="9" t="inlineStr">
        <is>
          <t>Top</t>
        </is>
      </c>
      <c r="E298" s="11" t="n">
        <v>79</v>
      </c>
      <c r="F298" s="11" t="inlineStr">
        <is>
          <t>Low</t>
        </is>
      </c>
      <c r="G298" s="11" t="inlineStr">
        <is>
          <t>NotStarted</t>
        </is>
      </c>
      <c r="H298" s="9">
        <f>IF(OR(Local!F298="NA",ISBLANK(Local!F298)),FALSE,TRUE)</f>
        <v/>
      </c>
      <c r="I298" s="9" t="b">
        <v>1</v>
      </c>
      <c r="J298" s="9" t="n"/>
      <c r="K298" s="5" t="n">
        <v>120</v>
      </c>
      <c r="L298" s="5" t="n">
        <v>79</v>
      </c>
      <c r="M298" s="12" t="n">
        <v>120</v>
      </c>
      <c r="N298" s="9" t="b">
        <v>1</v>
      </c>
    </row>
    <row r="299" ht="61.5" customHeight="1">
      <c r="A299" s="9" t="n">
        <v>298</v>
      </c>
      <c r="B299" s="10">
        <f>_xludf.IMAGE("https://raw.githubusercontent.com/sshibinthomass/Rosary-Plant-House/master/assets/img/salePlants/"&amp;A299&amp;".jpg")</f>
        <v/>
      </c>
      <c r="C299" s="9" t="inlineStr">
        <is>
          <t>Plant 298</t>
        </is>
      </c>
      <c r="D299" s="9" t="inlineStr">
        <is>
          <t>Top</t>
        </is>
      </c>
      <c r="E299" s="11" t="n">
        <v>79</v>
      </c>
      <c r="F299" s="11" t="inlineStr">
        <is>
          <t>Low</t>
        </is>
      </c>
      <c r="G299" s="11" t="inlineStr">
        <is>
          <t>NotStarted</t>
        </is>
      </c>
      <c r="H299" s="9">
        <f>IF(OR(Local!F299="NA",ISBLANK(Local!F299)),FALSE,TRUE)</f>
        <v/>
      </c>
      <c r="I299" s="9" t="b">
        <v>1</v>
      </c>
      <c r="J299" s="9" t="n"/>
      <c r="K299" s="5" t="n">
        <v>120</v>
      </c>
      <c r="L299" s="5" t="n">
        <v>79</v>
      </c>
      <c r="M299" s="12" t="n">
        <v>120</v>
      </c>
      <c r="N299" s="9" t="b">
        <v>1</v>
      </c>
    </row>
    <row r="300" ht="61.5" customHeight="1">
      <c r="A300" s="9" t="n">
        <v>299</v>
      </c>
      <c r="B300" s="10">
        <f>_xludf.IMAGE("https://raw.githubusercontent.com/sshibinthomass/Rosary-Plant-House/master/assets/img/salePlants/"&amp;A300&amp;".jpg")</f>
        <v/>
      </c>
      <c r="C300" s="9" t="inlineStr">
        <is>
          <t>Plant 299</t>
        </is>
      </c>
      <c r="D300" s="9" t="inlineStr">
        <is>
          <t>Top</t>
        </is>
      </c>
      <c r="E300" s="11" t="n">
        <v>79</v>
      </c>
      <c r="F300" s="11" t="inlineStr">
        <is>
          <t>Low</t>
        </is>
      </c>
      <c r="G300" s="11" t="inlineStr">
        <is>
          <t>NotStarted</t>
        </is>
      </c>
      <c r="H300" s="9">
        <f>IF(OR(Local!F300="NA",ISBLANK(Local!F300)),FALSE,TRUE)</f>
        <v/>
      </c>
      <c r="I300" s="9" t="b">
        <v>1</v>
      </c>
      <c r="J300" s="9" t="n"/>
      <c r="K300" s="5" t="n">
        <v>120</v>
      </c>
      <c r="L300" s="5" t="n">
        <v>79</v>
      </c>
      <c r="M300" s="12" t="n">
        <v>120</v>
      </c>
      <c r="N300" s="9" t="b">
        <v>1</v>
      </c>
    </row>
    <row r="301" ht="61.5" customHeight="1">
      <c r="A301" s="9" t="n">
        <v>300</v>
      </c>
      <c r="B301" s="10">
        <f>_xludf.IMAGE("https://raw.githubusercontent.com/sshibinthomass/Rosary-Plant-House/master/assets/img/salePlants/"&amp;A301&amp;".jpg")</f>
        <v/>
      </c>
      <c r="C301" s="9" t="inlineStr">
        <is>
          <t>Plant 300</t>
        </is>
      </c>
      <c r="D301" s="9" t="inlineStr">
        <is>
          <t>Top</t>
        </is>
      </c>
      <c r="E301" s="11" t="n">
        <v>79</v>
      </c>
      <c r="F301" s="11" t="inlineStr">
        <is>
          <t>Low</t>
        </is>
      </c>
      <c r="G301" s="11" t="inlineStr">
        <is>
          <t>NotStarted</t>
        </is>
      </c>
      <c r="H301" s="9">
        <f>IF(OR(Local!F301="NA",ISBLANK(Local!F301)),FALSE,TRUE)</f>
        <v/>
      </c>
      <c r="I301" s="9" t="b">
        <v>1</v>
      </c>
      <c r="J301" s="9" t="n"/>
      <c r="K301" s="5" t="n">
        <v>120</v>
      </c>
      <c r="L301" s="5" t="n">
        <v>79</v>
      </c>
      <c r="M301" s="12" t="n">
        <v>120</v>
      </c>
      <c r="N301" s="9" t="b">
        <v>1</v>
      </c>
    </row>
    <row r="302" ht="61.5" customHeight="1">
      <c r="A302" s="9" t="n">
        <v>301</v>
      </c>
      <c r="B302" s="10">
        <f>_xludf.IMAGE("https://raw.githubusercontent.com/sshibinthomass/Rosary-Plant-House/master/assets/img/salePlants/"&amp;A302&amp;".jpg")</f>
        <v/>
      </c>
      <c r="C302" s="9" t="inlineStr">
        <is>
          <t>Plant 301</t>
        </is>
      </c>
      <c r="D302" s="9" t="inlineStr">
        <is>
          <t>Top</t>
        </is>
      </c>
      <c r="E302" s="11" t="n">
        <v>79</v>
      </c>
      <c r="F302" s="11" t="inlineStr">
        <is>
          <t>Low</t>
        </is>
      </c>
      <c r="G302" s="11" t="inlineStr">
        <is>
          <t>NotStarted</t>
        </is>
      </c>
      <c r="H302" s="9">
        <f>IF(OR(Local!F302="NA",ISBLANK(Local!F302)),FALSE,TRUE)</f>
        <v/>
      </c>
      <c r="I302" s="9" t="b">
        <v>1</v>
      </c>
      <c r="J302" s="9" t="n"/>
      <c r="K302" s="5" t="n">
        <v>120</v>
      </c>
      <c r="L302" s="5" t="n">
        <v>79</v>
      </c>
      <c r="M302" s="12" t="n">
        <v>120</v>
      </c>
      <c r="N302" s="9" t="b">
        <v>1</v>
      </c>
    </row>
    <row r="303" ht="61.5" customHeight="1">
      <c r="A303" s="9" t="n">
        <v>302</v>
      </c>
      <c r="B303" s="10">
        <f>_xludf.IMAGE("https://raw.githubusercontent.com/sshibinthomass/Rosary-Plant-House/master/assets/img/salePlants/"&amp;A303&amp;".jpg")</f>
        <v/>
      </c>
      <c r="C303" s="9" t="inlineStr">
        <is>
          <t>Plant 302</t>
        </is>
      </c>
      <c r="D303" s="9" t="inlineStr">
        <is>
          <t>Top</t>
        </is>
      </c>
      <c r="E303" s="11" t="n">
        <v>79</v>
      </c>
      <c r="F303" s="11" t="inlineStr">
        <is>
          <t>Low</t>
        </is>
      </c>
      <c r="G303" s="11" t="inlineStr">
        <is>
          <t>NotStarted</t>
        </is>
      </c>
      <c r="H303" s="9">
        <f>IF(OR(Local!F303="NA",ISBLANK(Local!F303)),FALSE,TRUE)</f>
        <v/>
      </c>
      <c r="I303" s="9" t="b">
        <v>1</v>
      </c>
      <c r="J303" s="9" t="n"/>
      <c r="K303" s="5" t="n">
        <v>120</v>
      </c>
      <c r="L303" s="5" t="n">
        <v>79</v>
      </c>
      <c r="M303" s="12" t="n">
        <v>120</v>
      </c>
      <c r="N303" s="9" t="b">
        <v>1</v>
      </c>
    </row>
    <row r="304" ht="61.5" customHeight="1">
      <c r="A304" s="9" t="n">
        <v>303</v>
      </c>
      <c r="B304" s="10">
        <f>_xludf.IMAGE("https://raw.githubusercontent.com/sshibinthomass/Rosary-Plant-House/master/assets/img/salePlants/"&amp;A304&amp;".jpg")</f>
        <v/>
      </c>
      <c r="C304" s="9" t="inlineStr">
        <is>
          <t>Plant 303</t>
        </is>
      </c>
      <c r="D304" s="9" t="inlineStr">
        <is>
          <t>Top</t>
        </is>
      </c>
      <c r="E304" s="11" t="n">
        <v>79</v>
      </c>
      <c r="F304" s="11" t="inlineStr">
        <is>
          <t>Low</t>
        </is>
      </c>
      <c r="G304" s="11" t="inlineStr">
        <is>
          <t>NotStarted</t>
        </is>
      </c>
      <c r="H304" s="9">
        <f>IF(OR(Local!F304="NA",ISBLANK(Local!F304)),FALSE,TRUE)</f>
        <v/>
      </c>
      <c r="I304" s="9" t="b">
        <v>1</v>
      </c>
      <c r="J304" s="9" t="n"/>
      <c r="K304" s="5" t="n">
        <v>120</v>
      </c>
      <c r="L304" s="5" t="n">
        <v>79</v>
      </c>
      <c r="M304" s="12" t="n">
        <v>120</v>
      </c>
      <c r="N304" s="9" t="b">
        <v>1</v>
      </c>
    </row>
    <row r="305" ht="61.5" customHeight="1">
      <c r="A305" s="9" t="n">
        <v>304</v>
      </c>
      <c r="B305" s="10">
        <f>_xludf.IMAGE("https://raw.githubusercontent.com/sshibinthomass/Rosary-Plant-House/master/assets/img/salePlants/"&amp;A305&amp;".jpg")</f>
        <v/>
      </c>
      <c r="C305" s="9" t="inlineStr">
        <is>
          <t>Plant 304</t>
        </is>
      </c>
      <c r="D305" s="9" t="inlineStr">
        <is>
          <t>Top</t>
        </is>
      </c>
      <c r="E305" s="11" t="n">
        <v>79</v>
      </c>
      <c r="F305" s="11" t="inlineStr">
        <is>
          <t>Low</t>
        </is>
      </c>
      <c r="G305" s="11" t="inlineStr">
        <is>
          <t>NotStarted</t>
        </is>
      </c>
      <c r="H305" s="9">
        <f>IF(OR(Local!F305="NA",ISBLANK(Local!F305)),FALSE,TRUE)</f>
        <v/>
      </c>
      <c r="I305" s="9" t="b">
        <v>1</v>
      </c>
      <c r="J305" s="9" t="n"/>
      <c r="K305" s="5" t="n">
        <v>120</v>
      </c>
      <c r="L305" s="5" t="n">
        <v>79</v>
      </c>
      <c r="M305" s="12" t="n">
        <v>120</v>
      </c>
      <c r="N305" s="9" t="b">
        <v>1</v>
      </c>
    </row>
    <row r="306" ht="61.5" customHeight="1">
      <c r="A306" s="9" t="n">
        <v>305</v>
      </c>
      <c r="B306" s="10">
        <f>_xludf.IMAGE("https://raw.githubusercontent.com/sshibinthomass/Rosary-Plant-House/master/assets/img/salePlants/"&amp;A306&amp;".jpg")</f>
        <v/>
      </c>
      <c r="C306" s="9" t="inlineStr">
        <is>
          <t>Plant 305</t>
        </is>
      </c>
      <c r="D306" s="9" t="inlineStr">
        <is>
          <t>Top</t>
        </is>
      </c>
      <c r="E306" s="11" t="n">
        <v>79</v>
      </c>
      <c r="F306" s="11" t="inlineStr">
        <is>
          <t>Low</t>
        </is>
      </c>
      <c r="G306" s="11" t="inlineStr">
        <is>
          <t>NotStarted</t>
        </is>
      </c>
      <c r="H306" s="9">
        <f>IF(OR(Local!F306="NA",ISBLANK(Local!F306)),FALSE,TRUE)</f>
        <v/>
      </c>
      <c r="I306" s="9" t="b">
        <v>1</v>
      </c>
      <c r="J306" s="9" t="n"/>
      <c r="K306" s="5" t="n">
        <v>120</v>
      </c>
      <c r="L306" s="5" t="n">
        <v>79</v>
      </c>
      <c r="M306" s="12" t="n">
        <v>120</v>
      </c>
      <c r="N306" s="9" t="b">
        <v>1</v>
      </c>
    </row>
    <row r="307" ht="61.5" customHeight="1">
      <c r="A307" s="9" t="n">
        <v>306</v>
      </c>
      <c r="B307" s="10">
        <f>_xludf.IMAGE("https://raw.githubusercontent.com/sshibinthomass/Rosary-Plant-House/master/assets/img/salePlants/"&amp;A307&amp;".jpg")</f>
        <v/>
      </c>
      <c r="C307" s="9" t="inlineStr">
        <is>
          <t>Plant 306</t>
        </is>
      </c>
      <c r="D307" s="9" t="inlineStr">
        <is>
          <t>Top</t>
        </is>
      </c>
      <c r="E307" s="11" t="n">
        <v>79</v>
      </c>
      <c r="F307" s="11" t="inlineStr">
        <is>
          <t>Low</t>
        </is>
      </c>
      <c r="G307" s="11" t="inlineStr">
        <is>
          <t>NotStarted</t>
        </is>
      </c>
      <c r="H307" s="9">
        <f>IF(OR(Local!F307="NA",ISBLANK(Local!F307)),FALSE,TRUE)</f>
        <v/>
      </c>
      <c r="I307" s="9" t="b">
        <v>1</v>
      </c>
      <c r="J307" s="9" t="n"/>
      <c r="K307" s="5" t="n">
        <v>120</v>
      </c>
      <c r="L307" s="5" t="n">
        <v>79</v>
      </c>
      <c r="M307" s="12" t="n">
        <v>120</v>
      </c>
      <c r="N307" s="9" t="b">
        <v>1</v>
      </c>
    </row>
    <row r="308" ht="61.5" customHeight="1">
      <c r="A308" s="9" t="n">
        <v>307</v>
      </c>
      <c r="B308" s="10">
        <f>_xludf.IMAGE("https://raw.githubusercontent.com/sshibinthomass/Rosary-Plant-House/master/assets/img/salePlants/"&amp;A308&amp;".jpg")</f>
        <v/>
      </c>
      <c r="C308" s="9" t="inlineStr">
        <is>
          <t>Plant 307</t>
        </is>
      </c>
      <c r="D308" s="9" t="inlineStr">
        <is>
          <t>Top</t>
        </is>
      </c>
      <c r="E308" s="11" t="n">
        <v>79</v>
      </c>
      <c r="F308" s="11" t="inlineStr">
        <is>
          <t>NA</t>
        </is>
      </c>
      <c r="G308" s="11" t="inlineStr">
        <is>
          <t>NotStarted</t>
        </is>
      </c>
      <c r="H308" s="9">
        <f>IF(OR(Local!F308="NA",ISBLANK(Local!F308)),FALSE,TRUE)</f>
        <v/>
      </c>
      <c r="I308" s="9" t="b">
        <v>1</v>
      </c>
      <c r="J308" s="9" t="n"/>
      <c r="K308" s="5" t="n">
        <v>120</v>
      </c>
      <c r="L308" s="5" t="n">
        <v>79</v>
      </c>
      <c r="M308" s="12" t="n">
        <v>120</v>
      </c>
      <c r="N308" s="9" t="b">
        <v>1</v>
      </c>
    </row>
    <row r="309" ht="61.5" customHeight="1">
      <c r="A309" s="9" t="n">
        <v>308</v>
      </c>
      <c r="B309" s="10">
        <f>_xludf.IMAGE("https://raw.githubusercontent.com/sshibinthomass/Rosary-Plant-House/master/assets/img/salePlants/"&amp;A309&amp;".jpg")</f>
        <v/>
      </c>
      <c r="C309" s="9" t="inlineStr">
        <is>
          <t>Plant 308</t>
        </is>
      </c>
      <c r="D309" s="9" t="inlineStr">
        <is>
          <t>Top</t>
        </is>
      </c>
      <c r="E309" s="11" t="n">
        <v>79</v>
      </c>
      <c r="F309" s="11" t="inlineStr">
        <is>
          <t>NA</t>
        </is>
      </c>
      <c r="G309" s="11" t="inlineStr">
        <is>
          <t>NotStarted</t>
        </is>
      </c>
      <c r="H309" s="9">
        <f>IF(OR(Local!F309="NA",ISBLANK(Local!F309)),FALSE,TRUE)</f>
        <v/>
      </c>
      <c r="I309" s="9" t="b">
        <v>1</v>
      </c>
      <c r="J309" s="9" t="n"/>
      <c r="K309" s="5" t="n">
        <v>120</v>
      </c>
      <c r="L309" s="5" t="n">
        <v>79</v>
      </c>
      <c r="M309" s="12" t="n">
        <v>120</v>
      </c>
      <c r="N309" s="9" t="b">
        <v>1</v>
      </c>
    </row>
    <row r="310" ht="61.5" customHeight="1">
      <c r="A310" s="9" t="n">
        <v>309</v>
      </c>
      <c r="B310" s="10">
        <f>_xludf.IMAGE("https://raw.githubusercontent.com/sshibinthomass/Rosary-Plant-House/master/assets/img/salePlants/"&amp;A310&amp;".jpg")</f>
        <v/>
      </c>
      <c r="C310" s="9" t="inlineStr">
        <is>
          <t>Plant 309</t>
        </is>
      </c>
      <c r="D310" s="9" t="inlineStr">
        <is>
          <t>Top</t>
        </is>
      </c>
      <c r="E310" s="11" t="n">
        <v>79</v>
      </c>
      <c r="F310" s="11" t="inlineStr">
        <is>
          <t>NA</t>
        </is>
      </c>
      <c r="G310" s="11" t="inlineStr">
        <is>
          <t>NotStarted</t>
        </is>
      </c>
      <c r="H310" s="9">
        <f>IF(OR(Local!F310="NA",ISBLANK(Local!F310)),FALSE,TRUE)</f>
        <v/>
      </c>
      <c r="I310" s="9" t="b">
        <v>1</v>
      </c>
      <c r="J310" s="9" t="n"/>
      <c r="K310" s="5" t="n">
        <v>120</v>
      </c>
      <c r="L310" s="5" t="n">
        <v>79</v>
      </c>
      <c r="M310" s="12" t="n">
        <v>120</v>
      </c>
      <c r="N310" s="9" t="b">
        <v>1</v>
      </c>
    </row>
    <row r="311" ht="61.5" customHeight="1">
      <c r="A311" s="9" t="n">
        <v>310</v>
      </c>
      <c r="B311" s="10">
        <f>_xludf.IMAGE("https://raw.githubusercontent.com/sshibinthomass/Rosary-Plant-House/master/assets/img/salePlants/"&amp;A311&amp;".jpg")</f>
        <v/>
      </c>
      <c r="C311" s="9" t="inlineStr">
        <is>
          <t>Plant 310</t>
        </is>
      </c>
      <c r="D311" s="9" t="inlineStr">
        <is>
          <t>Top</t>
        </is>
      </c>
      <c r="E311" s="11" t="n">
        <v>79</v>
      </c>
      <c r="F311" s="11" t="inlineStr">
        <is>
          <t>Low</t>
        </is>
      </c>
      <c r="G311" s="11" t="inlineStr">
        <is>
          <t>NotStarted</t>
        </is>
      </c>
      <c r="H311" s="9">
        <f>IF(OR(Local!F311="NA",ISBLANK(Local!F311)),FALSE,TRUE)</f>
        <v/>
      </c>
      <c r="I311" s="9" t="b">
        <v>1</v>
      </c>
      <c r="J311" s="9" t="n"/>
      <c r="K311" s="5" t="n">
        <v>120</v>
      </c>
      <c r="L311" s="5" t="n">
        <v>79</v>
      </c>
      <c r="M311" s="12" t="n">
        <v>120</v>
      </c>
      <c r="N311" s="9" t="b">
        <v>1</v>
      </c>
    </row>
    <row r="312" ht="61.5" customHeight="1">
      <c r="A312" s="9" t="n">
        <v>311</v>
      </c>
      <c r="B312" s="10">
        <f>_xludf.IMAGE("https://raw.githubusercontent.com/sshibinthomass/Rosary-Plant-House/master/assets/img/salePlants/"&amp;A312&amp;".jpg")</f>
        <v/>
      </c>
      <c r="C312" s="9" t="inlineStr">
        <is>
          <t>Plant 311</t>
        </is>
      </c>
      <c r="D312" s="9" t="inlineStr">
        <is>
          <t>Top</t>
        </is>
      </c>
      <c r="E312" s="11" t="n">
        <v>79</v>
      </c>
      <c r="F312" s="11" t="inlineStr">
        <is>
          <t>NA</t>
        </is>
      </c>
      <c r="G312" s="11" t="inlineStr">
        <is>
          <t>NotStarted</t>
        </is>
      </c>
      <c r="H312" s="9">
        <f>IF(OR(Local!F312="NA",ISBLANK(Local!F312)),FALSE,TRUE)</f>
        <v/>
      </c>
      <c r="I312" s="9" t="b">
        <v>1</v>
      </c>
      <c r="J312" s="9" t="n"/>
      <c r="K312" s="5" t="n">
        <v>120</v>
      </c>
      <c r="L312" s="5" t="n">
        <v>79</v>
      </c>
      <c r="M312" s="12" t="n">
        <v>120</v>
      </c>
      <c r="N312" s="9" t="b">
        <v>1</v>
      </c>
    </row>
    <row r="313" ht="61.5" customHeight="1">
      <c r="A313" s="9" t="n">
        <v>312</v>
      </c>
      <c r="B313" s="10">
        <f>_xludf.IMAGE("https://raw.githubusercontent.com/sshibinthomass/Rosary-Plant-House/master/assets/img/salePlants/"&amp;A313&amp;".jpg")</f>
        <v/>
      </c>
      <c r="C313" s="9" t="inlineStr">
        <is>
          <t>Plant 312</t>
        </is>
      </c>
      <c r="D313" s="9" t="inlineStr">
        <is>
          <t>Top</t>
        </is>
      </c>
      <c r="E313" s="11" t="n">
        <v>79</v>
      </c>
      <c r="F313" s="11" t="inlineStr">
        <is>
          <t>Available</t>
        </is>
      </c>
      <c r="G313" s="11" t="inlineStr">
        <is>
          <t>NotStarted</t>
        </is>
      </c>
      <c r="H313" s="9">
        <f>IF(OR(Local!F313="NA",ISBLANK(Local!F313)),FALSE,TRUE)</f>
        <v/>
      </c>
      <c r="I313" s="9" t="b">
        <v>1</v>
      </c>
      <c r="J313" s="9" t="n"/>
      <c r="K313" s="5" t="n">
        <v>120</v>
      </c>
      <c r="L313" s="5" t="n">
        <v>79</v>
      </c>
      <c r="M313" s="12" t="n">
        <v>120</v>
      </c>
      <c r="N313" s="9" t="b">
        <v>1</v>
      </c>
    </row>
    <row r="314" ht="61.5" customHeight="1">
      <c r="A314" s="9" t="n">
        <v>313</v>
      </c>
      <c r="B314" s="10">
        <f>_xludf.IMAGE("https://raw.githubusercontent.com/sshibinthomass/Rosary-Plant-House/master/assets/img/salePlants/"&amp;A314&amp;".jpg")</f>
        <v/>
      </c>
      <c r="C314" s="9" t="inlineStr">
        <is>
          <t>Plant 313</t>
        </is>
      </c>
      <c r="D314" s="9" t="inlineStr">
        <is>
          <t>Top</t>
        </is>
      </c>
      <c r="E314" s="11" t="n">
        <v>79</v>
      </c>
      <c r="F314" s="11" t="inlineStr">
        <is>
          <t>NA</t>
        </is>
      </c>
      <c r="G314" s="11" t="inlineStr">
        <is>
          <t>NotStarted</t>
        </is>
      </c>
      <c r="H314" s="9">
        <f>IF(OR(Local!F314="NA",ISBLANK(Local!F314)),FALSE,TRUE)</f>
        <v/>
      </c>
      <c r="I314" s="9" t="b">
        <v>1</v>
      </c>
      <c r="J314" s="9" t="n"/>
      <c r="K314" s="5" t="n">
        <v>120</v>
      </c>
      <c r="L314" s="5" t="n">
        <v>79</v>
      </c>
      <c r="M314" s="12" t="n">
        <v>120</v>
      </c>
      <c r="N314" s="9" t="b">
        <v>1</v>
      </c>
    </row>
    <row r="315" ht="61.5" customHeight="1">
      <c r="A315" s="9" t="n"/>
      <c r="B315" s="9" t="n"/>
      <c r="C315" s="9" t="n"/>
      <c r="D315" s="9" t="n"/>
      <c r="E315" s="11" t="n"/>
      <c r="F315" s="11" t="n"/>
      <c r="G315" s="5" t="n"/>
      <c r="H315" s="9" t="n"/>
      <c r="I315" s="9" t="n"/>
      <c r="J315" s="9" t="n"/>
      <c r="K315" s="5" t="n"/>
      <c r="L315" s="5" t="n"/>
      <c r="M315" s="12" t="n"/>
      <c r="N315" s="9" t="n"/>
    </row>
    <row r="316" ht="61.5" customHeight="1">
      <c r="A316" s="9" t="n"/>
      <c r="B316" s="9" t="n"/>
      <c r="C316" s="9" t="n"/>
      <c r="D316" s="9" t="n"/>
      <c r="E316" s="11" t="n"/>
      <c r="F316" s="13" t="n"/>
      <c r="G316" s="5" t="n"/>
      <c r="H316" s="9" t="n"/>
      <c r="I316" s="9" t="n"/>
      <c r="J316" s="9" t="n"/>
      <c r="K316" s="5" t="n"/>
      <c r="L316" s="5" t="n"/>
      <c r="M316" s="12" t="n"/>
      <c r="N316" s="9" t="n"/>
    </row>
    <row r="317" ht="61.5" customHeight="1">
      <c r="A317" s="9" t="n"/>
      <c r="B317" s="9" t="n"/>
      <c r="C317" s="9" t="n"/>
      <c r="D317" s="9" t="n"/>
      <c r="E317" s="11" t="n"/>
      <c r="F317" s="13" t="n"/>
      <c r="G317" s="5" t="n"/>
      <c r="H317" s="9" t="n"/>
      <c r="I317" s="9" t="n"/>
      <c r="J317" s="9" t="n"/>
      <c r="K317" s="5" t="n"/>
      <c r="L317" s="5" t="n"/>
      <c r="M317" s="12" t="n"/>
      <c r="N317" s="9" t="n"/>
    </row>
    <row r="318" ht="61.5" customHeight="1">
      <c r="A318" s="9" t="n"/>
      <c r="B318" s="9" t="n"/>
      <c r="C318" s="9" t="n"/>
      <c r="D318" s="9" t="n"/>
      <c r="E318" s="11" t="n"/>
      <c r="F318" s="13" t="n"/>
      <c r="G318" s="5" t="n"/>
      <c r="H318" s="9" t="n"/>
      <c r="I318" s="9" t="n"/>
      <c r="J318" s="9" t="n"/>
      <c r="K318" s="5" t="n"/>
      <c r="L318" s="5" t="n"/>
      <c r="M318" s="12" t="n"/>
      <c r="N318" s="9" t="n"/>
    </row>
    <row r="319" ht="61.5" customHeight="1">
      <c r="A319" s="9" t="n"/>
      <c r="B319" s="9" t="n"/>
      <c r="C319" s="9" t="n"/>
      <c r="D319" s="9" t="n"/>
      <c r="E319" s="11" t="n"/>
      <c r="F319" s="13" t="n"/>
      <c r="G319" s="5" t="n"/>
      <c r="H319" s="9" t="n"/>
      <c r="I319" s="9" t="n"/>
      <c r="J319" s="9" t="n"/>
      <c r="K319" s="5" t="n"/>
      <c r="L319" s="5" t="n"/>
      <c r="M319" s="12" t="n"/>
      <c r="N319" s="9" t="n"/>
    </row>
    <row r="320" ht="61.5" customHeight="1">
      <c r="A320" s="9" t="n"/>
      <c r="B320" s="9" t="n"/>
      <c r="C320" s="9" t="n"/>
      <c r="D320" s="9" t="n"/>
      <c r="E320" s="11" t="n"/>
      <c r="F320" s="13" t="n"/>
      <c r="G320" s="5" t="n"/>
      <c r="H320" s="9" t="n"/>
      <c r="I320" s="9" t="n"/>
      <c r="J320" s="9" t="n"/>
      <c r="K320" s="5" t="n"/>
      <c r="L320" s="5" t="n"/>
      <c r="M320" s="12" t="n"/>
      <c r="N320" s="9" t="n"/>
    </row>
    <row r="321" ht="61.5" customHeight="1">
      <c r="A321" s="9" t="n"/>
      <c r="B321" s="9" t="n"/>
      <c r="C321" s="9" t="n"/>
      <c r="D321" s="9" t="n"/>
      <c r="E321" s="11" t="n"/>
      <c r="F321" s="13" t="n"/>
      <c r="G321" s="5" t="n"/>
      <c r="H321" s="9" t="n"/>
      <c r="I321" s="9" t="n"/>
      <c r="J321" s="9" t="n"/>
      <c r="K321" s="5" t="n"/>
      <c r="L321" s="5" t="n"/>
      <c r="M321" s="12" t="n"/>
      <c r="N321" s="9" t="n"/>
    </row>
    <row r="322" ht="61.5" customHeight="1">
      <c r="A322" s="9" t="n"/>
      <c r="B322" s="9" t="n"/>
      <c r="C322" s="9" t="n"/>
      <c r="D322" s="9" t="n"/>
      <c r="E322" s="11" t="n"/>
      <c r="F322" s="13" t="n"/>
      <c r="G322" s="5" t="n"/>
      <c r="H322" s="9" t="n"/>
      <c r="I322" s="9" t="n"/>
      <c r="J322" s="9" t="n"/>
      <c r="K322" s="5" t="n"/>
      <c r="L322" s="5" t="n"/>
      <c r="M322" s="12" t="n"/>
      <c r="N322" s="9" t="n"/>
    </row>
    <row r="323" ht="61.5" customHeight="1">
      <c r="A323" s="9" t="n"/>
      <c r="B323" s="9" t="n"/>
      <c r="C323" s="9" t="n"/>
      <c r="D323" s="9" t="n"/>
      <c r="E323" s="11" t="n"/>
      <c r="F323" s="13" t="n"/>
      <c r="G323" s="5" t="n"/>
      <c r="H323" s="9" t="n"/>
      <c r="I323" s="9" t="n"/>
      <c r="J323" s="9" t="n"/>
      <c r="K323" s="5" t="n"/>
      <c r="L323" s="5" t="n"/>
      <c r="M323" s="12" t="n"/>
      <c r="N323" s="9" t="n"/>
    </row>
    <row r="324" ht="61.5" customHeight="1">
      <c r="A324" s="9" t="n"/>
      <c r="B324" s="9" t="n"/>
      <c r="C324" s="9" t="n"/>
      <c r="D324" s="9" t="n"/>
      <c r="E324" s="11" t="n"/>
      <c r="F324" s="13" t="n"/>
      <c r="G324" s="5" t="n"/>
      <c r="H324" s="9" t="n"/>
      <c r="I324" s="9" t="n"/>
      <c r="J324" s="9" t="n"/>
      <c r="K324" s="5" t="n"/>
      <c r="L324" s="5" t="n"/>
      <c r="M324" s="12" t="n"/>
      <c r="N324" s="9" t="n"/>
    </row>
    <row r="325" ht="61.5" customHeight="1">
      <c r="A325" s="9" t="n"/>
      <c r="B325" s="9" t="n"/>
      <c r="C325" s="9" t="n"/>
      <c r="D325" s="9" t="n"/>
      <c r="E325" s="11" t="n"/>
      <c r="F325" s="13" t="n"/>
      <c r="G325" s="5" t="n"/>
      <c r="H325" s="9" t="n"/>
      <c r="I325" s="9" t="n"/>
      <c r="J325" s="9" t="n"/>
      <c r="K325" s="5" t="n"/>
      <c r="L325" s="5" t="n"/>
      <c r="M325" s="12" t="n"/>
      <c r="N325" s="9" t="n"/>
    </row>
    <row r="326" ht="61.5" customHeight="1">
      <c r="A326" s="9" t="n"/>
      <c r="B326" s="9" t="n"/>
      <c r="C326" s="9" t="n"/>
      <c r="D326" s="9" t="n"/>
      <c r="E326" s="11" t="n"/>
      <c r="F326" s="13" t="n"/>
      <c r="G326" s="5" t="n"/>
      <c r="H326" s="9" t="n"/>
      <c r="I326" s="9" t="n"/>
      <c r="J326" s="9" t="n"/>
      <c r="K326" s="5" t="n"/>
      <c r="L326" s="5" t="n"/>
      <c r="M326" s="12" t="n"/>
      <c r="N326" s="9" t="n"/>
    </row>
    <row r="327" ht="61.5" customHeight="1">
      <c r="A327" s="9" t="n"/>
      <c r="B327" s="9" t="n"/>
      <c r="C327" s="9" t="n"/>
      <c r="D327" s="9" t="n"/>
      <c r="E327" s="11" t="n"/>
      <c r="F327" s="13" t="n"/>
      <c r="G327" s="5" t="n"/>
      <c r="H327" s="9" t="n"/>
      <c r="I327" s="9" t="n"/>
      <c r="J327" s="9" t="n"/>
      <c r="K327" s="5" t="n"/>
      <c r="L327" s="5" t="n"/>
      <c r="M327" s="12" t="n"/>
      <c r="N327" s="9" t="n"/>
    </row>
    <row r="328" ht="61.5" customHeight="1">
      <c r="A328" s="9" t="n"/>
      <c r="B328" s="9" t="n"/>
      <c r="C328" s="9" t="n"/>
      <c r="D328" s="9" t="n"/>
      <c r="E328" s="11" t="n"/>
      <c r="F328" s="13" t="n"/>
      <c r="G328" s="5" t="n"/>
      <c r="H328" s="9" t="n"/>
      <c r="I328" s="9" t="n"/>
      <c r="J328" s="9" t="n"/>
      <c r="K328" s="5" t="n"/>
      <c r="L328" s="5" t="n"/>
      <c r="M328" s="12" t="n"/>
      <c r="N328" s="9" t="n"/>
    </row>
    <row r="329" ht="61.5" customHeight="1">
      <c r="A329" s="9" t="n"/>
      <c r="B329" s="9" t="n"/>
      <c r="C329" s="9" t="n"/>
      <c r="D329" s="9" t="n"/>
      <c r="E329" s="11" t="n"/>
      <c r="F329" s="13" t="n"/>
      <c r="G329" s="5" t="n"/>
      <c r="H329" s="9" t="n"/>
      <c r="I329" s="9" t="n"/>
      <c r="J329" s="9" t="n"/>
      <c r="K329" s="5" t="n"/>
      <c r="L329" s="5" t="n"/>
      <c r="M329" s="12" t="n"/>
      <c r="N329" s="9" t="n"/>
    </row>
    <row r="330" ht="61.5" customHeight="1">
      <c r="A330" s="9" t="n"/>
      <c r="B330" s="9" t="n"/>
      <c r="C330" s="9" t="n"/>
      <c r="D330" s="9" t="n"/>
      <c r="E330" s="11" t="n"/>
      <c r="F330" s="13" t="n"/>
      <c r="G330" s="5" t="n"/>
      <c r="H330" s="9" t="n"/>
      <c r="I330" s="9" t="n"/>
      <c r="J330" s="9" t="n"/>
      <c r="K330" s="5" t="n"/>
      <c r="L330" s="5" t="n"/>
      <c r="M330" s="12" t="n"/>
      <c r="N330" s="9" t="n"/>
    </row>
    <row r="331" ht="61.5" customHeight="1">
      <c r="A331" s="9" t="n"/>
      <c r="B331" s="9" t="n"/>
      <c r="C331" s="9" t="n"/>
      <c r="D331" s="9" t="n"/>
      <c r="E331" s="11" t="n"/>
      <c r="F331" s="13" t="n"/>
      <c r="G331" s="5" t="n"/>
      <c r="H331" s="9" t="n"/>
      <c r="I331" s="9" t="n"/>
      <c r="J331" s="9" t="n"/>
      <c r="K331" s="5" t="n"/>
      <c r="L331" s="5" t="n"/>
      <c r="M331" s="12" t="n"/>
      <c r="N331" s="9" t="n"/>
    </row>
    <row r="332" ht="61.5" customHeight="1">
      <c r="A332" s="9" t="n"/>
      <c r="B332" s="9" t="n"/>
      <c r="C332" s="9" t="n"/>
      <c r="D332" s="9" t="n"/>
      <c r="E332" s="11" t="n"/>
      <c r="F332" s="13" t="n"/>
      <c r="G332" s="5" t="n"/>
      <c r="H332" s="9" t="n"/>
      <c r="I332" s="9" t="n"/>
      <c r="J332" s="9" t="n"/>
      <c r="K332" s="5" t="n"/>
      <c r="L332" s="5" t="n"/>
      <c r="M332" s="12" t="n"/>
      <c r="N332" s="9" t="n"/>
    </row>
    <row r="333" ht="61.5" customHeight="1">
      <c r="A333" s="9" t="n"/>
      <c r="B333" s="9" t="n"/>
      <c r="C333" s="9" t="n"/>
      <c r="D333" s="9" t="n"/>
      <c r="E333" s="11" t="n"/>
      <c r="F333" s="13" t="n"/>
      <c r="G333" s="5" t="n"/>
      <c r="H333" s="9" t="n"/>
      <c r="I333" s="9" t="n"/>
      <c r="J333" s="9" t="n"/>
      <c r="K333" s="5" t="n"/>
      <c r="L333" s="5" t="n"/>
      <c r="M333" s="12" t="n"/>
      <c r="N333" s="9" t="n"/>
    </row>
    <row r="334" ht="61.5" customHeight="1">
      <c r="A334" s="9" t="n"/>
      <c r="B334" s="9" t="n"/>
      <c r="C334" s="9" t="n"/>
      <c r="D334" s="9" t="n"/>
      <c r="E334" s="11" t="n"/>
      <c r="F334" s="13" t="n"/>
      <c r="G334" s="5" t="n"/>
      <c r="H334" s="9" t="n"/>
      <c r="I334" s="9" t="n"/>
      <c r="J334" s="9" t="n"/>
      <c r="K334" s="5" t="n"/>
      <c r="L334" s="5" t="n"/>
      <c r="M334" s="12" t="n"/>
      <c r="N334" s="9" t="n"/>
    </row>
    <row r="335" ht="61.5" customHeight="1">
      <c r="A335" s="9" t="n"/>
      <c r="B335" s="9" t="n"/>
      <c r="C335" s="9" t="n"/>
      <c r="D335" s="9" t="n"/>
      <c r="E335" s="11" t="n"/>
      <c r="F335" s="13" t="n"/>
      <c r="G335" s="5" t="n"/>
      <c r="H335" s="9" t="n"/>
      <c r="I335" s="9" t="n"/>
      <c r="J335" s="9" t="n"/>
      <c r="K335" s="5" t="n"/>
      <c r="L335" s="5" t="n"/>
      <c r="M335" s="12" t="n"/>
      <c r="N335" s="9" t="n"/>
    </row>
    <row r="336" ht="61.5" customHeight="1">
      <c r="A336" s="9" t="n"/>
      <c r="B336" s="9" t="n"/>
      <c r="C336" s="9" t="n"/>
      <c r="D336" s="9" t="n"/>
      <c r="E336" s="11" t="n"/>
      <c r="F336" s="13" t="n"/>
      <c r="G336" s="5" t="n"/>
      <c r="H336" s="9" t="n"/>
      <c r="I336" s="9" t="n"/>
      <c r="J336" s="9" t="n"/>
      <c r="K336" s="5" t="n"/>
      <c r="L336" s="5" t="n"/>
      <c r="M336" s="12" t="n"/>
      <c r="N336" s="9" t="n"/>
    </row>
    <row r="337" ht="61.5" customHeight="1">
      <c r="A337" s="9" t="n"/>
      <c r="B337" s="9" t="n"/>
      <c r="C337" s="9" t="n"/>
      <c r="D337" s="9" t="n"/>
      <c r="E337" s="11" t="n"/>
      <c r="F337" s="13" t="n"/>
      <c r="G337" s="5" t="n"/>
      <c r="H337" s="9" t="n"/>
      <c r="I337" s="9" t="n"/>
      <c r="J337" s="9" t="n"/>
      <c r="K337" s="5" t="n"/>
      <c r="L337" s="5" t="n"/>
      <c r="M337" s="12" t="n"/>
      <c r="N337" s="9" t="n"/>
    </row>
    <row r="338" ht="61.5" customHeight="1">
      <c r="A338" s="9" t="n"/>
      <c r="B338" s="9" t="n"/>
      <c r="C338" s="9" t="n"/>
      <c r="D338" s="9" t="n"/>
      <c r="E338" s="11" t="n"/>
      <c r="F338" s="13" t="n"/>
      <c r="G338" s="5" t="n"/>
      <c r="H338" s="9" t="n"/>
      <c r="I338" s="9" t="n"/>
      <c r="J338" s="9" t="n"/>
      <c r="K338" s="5" t="n"/>
      <c r="L338" s="5" t="n"/>
      <c r="M338" s="12" t="n"/>
      <c r="N338" s="9" t="n"/>
    </row>
    <row r="339" ht="61.5" customHeight="1">
      <c r="A339" s="9" t="n"/>
      <c r="B339" s="9" t="n"/>
      <c r="C339" s="9" t="n"/>
      <c r="D339" s="9" t="n"/>
      <c r="E339" s="11" t="n"/>
      <c r="F339" s="13" t="n"/>
      <c r="G339" s="5" t="n"/>
      <c r="H339" s="9" t="n"/>
      <c r="I339" s="9" t="n"/>
      <c r="J339" s="9" t="n"/>
      <c r="K339" s="5" t="n"/>
      <c r="L339" s="5" t="n"/>
      <c r="M339" s="12" t="n"/>
      <c r="N339" s="9" t="n"/>
    </row>
    <row r="340" ht="61.5" customHeight="1">
      <c r="A340" s="9" t="n"/>
      <c r="B340" s="9" t="n"/>
      <c r="C340" s="9" t="n"/>
      <c r="D340" s="9" t="n"/>
      <c r="E340" s="11" t="n"/>
      <c r="F340" s="13" t="n"/>
      <c r="G340" s="5" t="n"/>
      <c r="H340" s="9" t="n"/>
      <c r="I340" s="9" t="n"/>
      <c r="J340" s="9" t="n"/>
      <c r="K340" s="5" t="n"/>
      <c r="L340" s="5" t="n"/>
      <c r="M340" s="12" t="n"/>
      <c r="N340" s="9" t="n"/>
    </row>
    <row r="341" ht="61.5" customHeight="1">
      <c r="A341" s="9" t="n"/>
      <c r="B341" s="9" t="n"/>
      <c r="C341" s="9" t="n"/>
      <c r="D341" s="9" t="n"/>
      <c r="E341" s="11" t="n"/>
      <c r="F341" s="13" t="n"/>
      <c r="G341" s="5" t="n"/>
      <c r="H341" s="9" t="n"/>
      <c r="I341" s="9" t="n"/>
      <c r="J341" s="9" t="n"/>
      <c r="K341" s="5" t="n"/>
      <c r="L341" s="5" t="n"/>
      <c r="M341" s="12" t="n"/>
      <c r="N341" s="9" t="n"/>
    </row>
    <row r="342" ht="61.5" customHeight="1">
      <c r="A342" s="9" t="n"/>
      <c r="B342" s="9" t="n"/>
      <c r="C342" s="9" t="n"/>
      <c r="D342" s="9" t="n"/>
      <c r="E342" s="11" t="n"/>
      <c r="F342" s="13" t="n"/>
      <c r="G342" s="5" t="n"/>
      <c r="H342" s="9" t="n"/>
      <c r="I342" s="9" t="n"/>
      <c r="J342" s="9" t="n"/>
      <c r="K342" s="5" t="n"/>
      <c r="L342" s="5" t="n"/>
      <c r="M342" s="12" t="n"/>
      <c r="N342" s="9" t="n"/>
    </row>
    <row r="343" ht="61.5" customHeight="1">
      <c r="A343" s="9" t="n"/>
      <c r="B343" s="9" t="n"/>
      <c r="C343" s="9" t="n"/>
      <c r="D343" s="9" t="n"/>
      <c r="E343" s="11" t="n"/>
      <c r="F343" s="13" t="n"/>
      <c r="G343" s="5" t="n"/>
      <c r="H343" s="9" t="n"/>
      <c r="I343" s="9" t="n"/>
      <c r="J343" s="9" t="n"/>
      <c r="K343" s="5" t="n"/>
      <c r="L343" s="5" t="n"/>
      <c r="M343" s="12" t="n"/>
      <c r="N343" s="9" t="n"/>
    </row>
    <row r="344" ht="61.5" customHeight="1">
      <c r="A344" s="9" t="n"/>
      <c r="B344" s="9" t="n"/>
      <c r="C344" s="9" t="n"/>
      <c r="D344" s="9" t="n"/>
      <c r="E344" s="11" t="n"/>
      <c r="F344" s="13" t="n"/>
      <c r="G344" s="5" t="n"/>
      <c r="H344" s="9" t="n"/>
      <c r="I344" s="9" t="n"/>
      <c r="J344" s="9" t="n"/>
      <c r="K344" s="5" t="n"/>
      <c r="L344" s="5" t="n"/>
      <c r="M344" s="12" t="n"/>
      <c r="N344" s="9" t="n"/>
    </row>
    <row r="345" ht="61.5" customHeight="1">
      <c r="A345" s="9" t="n"/>
      <c r="B345" s="9" t="n"/>
      <c r="C345" s="9" t="n"/>
      <c r="D345" s="9" t="n"/>
      <c r="E345" s="11" t="n"/>
      <c r="F345" s="13" t="n"/>
      <c r="G345" s="5" t="n"/>
      <c r="H345" s="9" t="n"/>
      <c r="I345" s="9" t="n"/>
      <c r="J345" s="9" t="n"/>
      <c r="K345" s="5" t="n"/>
      <c r="L345" s="5" t="n"/>
      <c r="M345" s="12" t="n"/>
      <c r="N345" s="9" t="n"/>
    </row>
    <row r="346" ht="61.5" customHeight="1">
      <c r="A346" s="9" t="n"/>
      <c r="B346" s="9" t="n"/>
      <c r="C346" s="9" t="n"/>
      <c r="D346" s="9" t="n"/>
      <c r="E346" s="11" t="n"/>
      <c r="F346" s="13" t="n"/>
      <c r="G346" s="5" t="n"/>
      <c r="H346" s="9" t="n"/>
      <c r="I346" s="9" t="n"/>
      <c r="J346" s="9" t="n"/>
      <c r="K346" s="5" t="n"/>
      <c r="L346" s="5" t="n"/>
      <c r="M346" s="12" t="n"/>
      <c r="N346" s="9" t="n"/>
    </row>
    <row r="347" ht="61.5" customHeight="1">
      <c r="A347" s="9" t="n"/>
      <c r="B347" s="9" t="n"/>
      <c r="C347" s="9" t="n"/>
      <c r="D347" s="9" t="n"/>
      <c r="E347" s="11" t="n"/>
      <c r="F347" s="13" t="n"/>
      <c r="G347" s="5" t="n"/>
      <c r="H347" s="9" t="n"/>
      <c r="I347" s="9" t="n"/>
      <c r="J347" s="9" t="n"/>
      <c r="K347" s="5" t="n"/>
      <c r="L347" s="5" t="n"/>
      <c r="M347" s="12" t="n"/>
      <c r="N347" s="9" t="n"/>
    </row>
    <row r="348" ht="61.5" customHeight="1">
      <c r="A348" s="9" t="n"/>
      <c r="B348" s="9" t="n"/>
      <c r="C348" s="9" t="n"/>
      <c r="D348" s="9" t="n"/>
      <c r="E348" s="11" t="n"/>
      <c r="F348" s="13" t="n"/>
      <c r="G348" s="5" t="n"/>
      <c r="H348" s="9" t="n"/>
      <c r="I348" s="9" t="n"/>
      <c r="J348" s="9" t="n"/>
      <c r="K348" s="5" t="n"/>
      <c r="L348" s="5" t="n"/>
      <c r="M348" s="12" t="n"/>
      <c r="N348" s="9" t="n"/>
    </row>
    <row r="349" ht="61.5" customHeight="1">
      <c r="A349" s="9" t="n"/>
      <c r="B349" s="9" t="n"/>
      <c r="C349" s="9" t="n"/>
      <c r="D349" s="9" t="n"/>
      <c r="E349" s="11" t="n"/>
      <c r="F349" s="13" t="n"/>
      <c r="G349" s="5" t="n"/>
      <c r="H349" s="9" t="n"/>
      <c r="I349" s="9" t="n"/>
      <c r="J349" s="9" t="n"/>
      <c r="K349" s="5" t="n"/>
      <c r="L349" s="5" t="n"/>
      <c r="M349" s="12" t="n"/>
      <c r="N349" s="9" t="n"/>
    </row>
    <row r="350" ht="61.5" customHeight="1">
      <c r="A350" s="9" t="n"/>
      <c r="B350" s="9" t="n"/>
      <c r="C350" s="9" t="n"/>
      <c r="D350" s="9" t="n"/>
      <c r="E350" s="11" t="n"/>
      <c r="F350" s="13" t="n"/>
      <c r="G350" s="5" t="n"/>
      <c r="H350" s="9" t="n"/>
      <c r="I350" s="9" t="n"/>
      <c r="J350" s="9" t="n"/>
      <c r="K350" s="5" t="n"/>
      <c r="L350" s="5" t="n"/>
      <c r="M350" s="12" t="n"/>
      <c r="N350" s="9" t="n"/>
    </row>
    <row r="351" ht="61.5" customHeight="1">
      <c r="A351" s="9" t="n"/>
      <c r="B351" s="9" t="n"/>
      <c r="C351" s="9" t="n"/>
      <c r="D351" s="9" t="n"/>
      <c r="E351" s="11" t="n"/>
      <c r="F351" s="13" t="n"/>
      <c r="G351" s="5" t="n"/>
      <c r="H351" s="9" t="n"/>
      <c r="I351" s="9" t="n"/>
      <c r="J351" s="9" t="n"/>
      <c r="K351" s="5" t="n"/>
      <c r="L351" s="5" t="n"/>
      <c r="M351" s="12" t="n"/>
      <c r="N351" s="9" t="n"/>
    </row>
    <row r="352" ht="61.5" customHeight="1">
      <c r="A352" s="9" t="n"/>
      <c r="B352" s="9" t="n"/>
      <c r="C352" s="9" t="n"/>
      <c r="D352" s="9" t="n"/>
      <c r="E352" s="11" t="n"/>
      <c r="F352" s="13" t="n"/>
      <c r="G352" s="5" t="n"/>
      <c r="H352" s="9" t="n"/>
      <c r="I352" s="9" t="n"/>
      <c r="J352" s="9" t="n"/>
      <c r="K352" s="5" t="n"/>
      <c r="L352" s="5" t="n"/>
      <c r="M352" s="12" t="n"/>
      <c r="N352" s="9" t="n"/>
    </row>
    <row r="353" ht="61.5" customHeight="1">
      <c r="A353" s="9" t="n"/>
      <c r="B353" s="9" t="n"/>
      <c r="C353" s="9" t="n"/>
      <c r="D353" s="9" t="n"/>
      <c r="E353" s="11" t="n"/>
      <c r="F353" s="13" t="n"/>
      <c r="G353" s="5" t="n"/>
      <c r="H353" s="9" t="n"/>
      <c r="I353" s="9" t="n"/>
      <c r="J353" s="9" t="n"/>
      <c r="K353" s="5" t="n"/>
      <c r="L353" s="5" t="n"/>
      <c r="M353" s="12" t="n"/>
      <c r="N353" s="9" t="n"/>
    </row>
    <row r="354" ht="61.5" customHeight="1">
      <c r="A354" s="9" t="n"/>
      <c r="B354" s="9" t="n"/>
      <c r="C354" s="9" t="n"/>
      <c r="D354" s="9" t="n"/>
      <c r="E354" s="11" t="n"/>
      <c r="F354" s="13" t="n"/>
      <c r="G354" s="5" t="n"/>
      <c r="H354" s="9" t="n"/>
      <c r="I354" s="9" t="n"/>
      <c r="J354" s="9" t="n"/>
      <c r="K354" s="5" t="n"/>
      <c r="L354" s="5" t="n"/>
      <c r="M354" s="12" t="n"/>
      <c r="N354" s="9" t="n"/>
    </row>
    <row r="355" ht="61.5" customHeight="1">
      <c r="A355" s="9" t="n"/>
      <c r="B355" s="9" t="n"/>
      <c r="C355" s="9" t="n"/>
      <c r="D355" s="9" t="n"/>
      <c r="E355" s="11" t="n"/>
      <c r="F355" s="13" t="n"/>
      <c r="G355" s="5" t="n"/>
      <c r="H355" s="9" t="n"/>
      <c r="I355" s="9" t="n"/>
      <c r="J355" s="9" t="n"/>
      <c r="K355" s="5" t="n"/>
      <c r="L355" s="5" t="n"/>
      <c r="M355" s="12" t="n"/>
      <c r="N355" s="9" t="n"/>
    </row>
    <row r="356" ht="61.5" customHeight="1">
      <c r="A356" s="9" t="n"/>
      <c r="B356" s="9" t="n"/>
      <c r="C356" s="9" t="n"/>
      <c r="D356" s="9" t="n"/>
      <c r="E356" s="11" t="n"/>
      <c r="F356" s="13" t="n"/>
      <c r="G356" s="5" t="n"/>
      <c r="H356" s="9" t="n"/>
      <c r="I356" s="9" t="n"/>
      <c r="J356" s="9" t="n"/>
      <c r="K356" s="5" t="n"/>
      <c r="L356" s="5" t="n"/>
      <c r="M356" s="12" t="n"/>
      <c r="N356" s="9" t="n"/>
    </row>
    <row r="357" ht="61.5" customHeight="1">
      <c r="A357" s="9" t="n"/>
      <c r="B357" s="9" t="n"/>
      <c r="C357" s="9" t="n"/>
      <c r="D357" s="9" t="n"/>
      <c r="E357" s="11" t="n"/>
      <c r="F357" s="13" t="n"/>
      <c r="G357" s="5" t="n"/>
      <c r="H357" s="9" t="n"/>
      <c r="I357" s="9" t="n"/>
      <c r="J357" s="9" t="n"/>
      <c r="K357" s="5" t="n"/>
      <c r="L357" s="5" t="n"/>
      <c r="M357" s="12" t="n"/>
      <c r="N357" s="9" t="n"/>
    </row>
    <row r="358" ht="61.5" customHeight="1">
      <c r="A358" s="9" t="n"/>
      <c r="B358" s="9" t="n"/>
      <c r="C358" s="9" t="n"/>
      <c r="D358" s="9" t="n"/>
      <c r="E358" s="11" t="n"/>
      <c r="F358" s="13" t="n"/>
      <c r="G358" s="5" t="n"/>
      <c r="H358" s="9" t="n"/>
      <c r="I358" s="9" t="n"/>
      <c r="J358" s="9" t="n"/>
      <c r="K358" s="5" t="n"/>
      <c r="L358" s="5" t="n"/>
      <c r="M358" s="12" t="n"/>
      <c r="N358" s="9" t="n"/>
    </row>
    <row r="359" ht="61.5" customHeight="1">
      <c r="A359" s="9" t="n"/>
      <c r="B359" s="9" t="n"/>
      <c r="C359" s="9" t="n"/>
      <c r="D359" s="9" t="n"/>
      <c r="E359" s="11" t="n"/>
      <c r="F359" s="13" t="n"/>
      <c r="G359" s="5" t="n"/>
      <c r="H359" s="9" t="n"/>
      <c r="I359" s="9" t="n"/>
      <c r="J359" s="9" t="n"/>
      <c r="K359" s="5" t="n"/>
      <c r="L359" s="5" t="n"/>
      <c r="M359" s="12" t="n"/>
      <c r="N359" s="9" t="n"/>
    </row>
    <row r="360" ht="61.5" customHeight="1">
      <c r="A360" s="9" t="n"/>
      <c r="B360" s="9" t="n"/>
      <c r="C360" s="9" t="n"/>
      <c r="D360" s="9" t="n"/>
      <c r="E360" s="11" t="n"/>
      <c r="F360" s="13" t="n"/>
      <c r="G360" s="5" t="n"/>
      <c r="H360" s="9" t="n"/>
      <c r="I360" s="9" t="n"/>
      <c r="J360" s="9" t="n"/>
      <c r="K360" s="5" t="n"/>
      <c r="L360" s="5" t="n"/>
      <c r="M360" s="12" t="n"/>
      <c r="N360" s="9" t="n"/>
    </row>
    <row r="361" ht="61.5" customHeight="1">
      <c r="A361" s="9" t="n"/>
      <c r="B361" s="9" t="n"/>
      <c r="C361" s="9" t="n"/>
      <c r="D361" s="9" t="n"/>
      <c r="E361" s="11" t="n"/>
      <c r="F361" s="13" t="n"/>
      <c r="G361" s="5" t="n"/>
      <c r="H361" s="9" t="n"/>
      <c r="I361" s="9" t="n"/>
      <c r="J361" s="9" t="n"/>
      <c r="K361" s="5" t="n"/>
      <c r="L361" s="5" t="n"/>
      <c r="M361" s="12" t="n"/>
      <c r="N361" s="9" t="n"/>
    </row>
    <row r="362" ht="61.5" customHeight="1">
      <c r="A362" s="9" t="n"/>
      <c r="B362" s="9" t="n"/>
      <c r="C362" s="9" t="n"/>
      <c r="D362" s="9" t="n"/>
      <c r="E362" s="11" t="n"/>
      <c r="F362" s="13" t="n"/>
      <c r="G362" s="5" t="n"/>
      <c r="H362" s="9" t="n"/>
      <c r="I362" s="9" t="n"/>
      <c r="J362" s="9" t="n"/>
      <c r="K362" s="5" t="n"/>
      <c r="L362" s="5" t="n"/>
      <c r="M362" s="12" t="n"/>
      <c r="N362" s="9" t="n"/>
    </row>
    <row r="363" ht="61.5" customHeight="1">
      <c r="A363" s="9" t="n"/>
      <c r="B363" s="9" t="n"/>
      <c r="C363" s="9" t="n"/>
      <c r="D363" s="9" t="n"/>
      <c r="E363" s="11" t="n"/>
      <c r="F363" s="13" t="n"/>
      <c r="G363" s="5" t="n"/>
      <c r="H363" s="9" t="n"/>
      <c r="I363" s="9" t="n"/>
      <c r="J363" s="9" t="n"/>
      <c r="K363" s="5" t="n"/>
      <c r="L363" s="5" t="n"/>
      <c r="M363" s="12" t="n"/>
      <c r="N363" s="9" t="n"/>
    </row>
    <row r="364" ht="61.5" customHeight="1">
      <c r="A364" s="9" t="n"/>
      <c r="B364" s="9" t="n"/>
      <c r="C364" s="9" t="n"/>
      <c r="D364" s="9" t="n"/>
      <c r="E364" s="11" t="n"/>
      <c r="F364" s="13" t="n"/>
      <c r="G364" s="5" t="n"/>
      <c r="H364" s="9" t="n"/>
      <c r="I364" s="9" t="n"/>
      <c r="J364" s="9" t="n"/>
      <c r="K364" s="5" t="n"/>
      <c r="L364" s="5" t="n"/>
      <c r="M364" s="12" t="n"/>
      <c r="N364" s="9" t="n"/>
    </row>
    <row r="365" ht="61.5" customHeight="1">
      <c r="A365" s="9" t="n"/>
      <c r="B365" s="9" t="n"/>
      <c r="C365" s="9" t="n"/>
      <c r="D365" s="9" t="n"/>
      <c r="E365" s="11" t="n"/>
      <c r="F365" s="13" t="n"/>
      <c r="G365" s="5" t="n"/>
      <c r="H365" s="9" t="n"/>
      <c r="I365" s="9" t="n"/>
      <c r="J365" s="9" t="n"/>
      <c r="K365" s="5" t="n"/>
      <c r="L365" s="5" t="n"/>
      <c r="M365" s="12" t="n"/>
      <c r="N365" s="9" t="n"/>
    </row>
    <row r="366" ht="61.5" customHeight="1">
      <c r="A366" s="9" t="n"/>
      <c r="B366" s="9" t="n"/>
      <c r="C366" s="9" t="n"/>
      <c r="D366" s="9" t="n"/>
      <c r="E366" s="11" t="n"/>
      <c r="F366" s="13" t="n"/>
      <c r="G366" s="5" t="n"/>
      <c r="H366" s="9" t="n"/>
      <c r="I366" s="9" t="n"/>
      <c r="J366" s="9" t="n"/>
      <c r="K366" s="5" t="n"/>
      <c r="L366" s="5" t="n"/>
      <c r="M366" s="12" t="n"/>
      <c r="N366" s="9" t="n"/>
    </row>
    <row r="367" ht="61.5" customHeight="1">
      <c r="A367" s="9" t="n"/>
      <c r="B367" s="9" t="n"/>
      <c r="C367" s="9" t="n"/>
      <c r="D367" s="9" t="n"/>
      <c r="E367" s="11" t="n"/>
      <c r="F367" s="13" t="n"/>
      <c r="G367" s="5" t="n"/>
      <c r="H367" s="9" t="n"/>
      <c r="I367" s="9" t="n"/>
      <c r="J367" s="9" t="n"/>
      <c r="K367" s="5" t="n"/>
      <c r="L367" s="5" t="n"/>
      <c r="M367" s="12" t="n"/>
      <c r="N367" s="9" t="n"/>
    </row>
    <row r="368" ht="61.5" customHeight="1">
      <c r="A368" s="9" t="n"/>
      <c r="B368" s="9" t="n"/>
      <c r="C368" s="9" t="n"/>
      <c r="D368" s="9" t="n"/>
      <c r="E368" s="11" t="n"/>
      <c r="F368" s="13" t="n"/>
      <c r="G368" s="5" t="n"/>
      <c r="H368" s="9" t="n"/>
      <c r="I368" s="9" t="n"/>
      <c r="J368" s="9" t="n"/>
      <c r="K368" s="5" t="n"/>
      <c r="L368" s="5" t="n"/>
      <c r="M368" s="12" t="n"/>
      <c r="N368" s="9" t="n"/>
    </row>
    <row r="369" ht="61.5" customHeight="1">
      <c r="A369" s="9" t="n"/>
      <c r="B369" s="9" t="n"/>
      <c r="C369" s="9" t="n"/>
      <c r="D369" s="9" t="n"/>
      <c r="E369" s="11" t="n"/>
      <c r="F369" s="13" t="n"/>
      <c r="G369" s="5" t="n"/>
      <c r="H369" s="9" t="n"/>
      <c r="I369" s="9" t="n"/>
      <c r="J369" s="9" t="n"/>
      <c r="K369" s="5" t="n"/>
      <c r="L369" s="5" t="n"/>
      <c r="M369" s="12" t="n"/>
      <c r="N369" s="9" t="n"/>
    </row>
    <row r="370" ht="61.5" customHeight="1">
      <c r="A370" s="9" t="n"/>
      <c r="B370" s="9" t="n"/>
      <c r="C370" s="9" t="n"/>
      <c r="D370" s="9" t="n"/>
      <c r="E370" s="11" t="n"/>
      <c r="F370" s="13" t="n"/>
      <c r="G370" s="5" t="n"/>
      <c r="H370" s="9" t="n"/>
      <c r="I370" s="9" t="n"/>
      <c r="J370" s="9" t="n"/>
      <c r="K370" s="5" t="n"/>
      <c r="L370" s="5" t="n"/>
      <c r="M370" s="12" t="n"/>
      <c r="N370" s="9" t="n"/>
    </row>
    <row r="371" ht="61.5" customHeight="1">
      <c r="A371" s="9" t="n"/>
      <c r="B371" s="9" t="n"/>
      <c r="C371" s="9" t="n"/>
      <c r="D371" s="9" t="n"/>
      <c r="E371" s="11" t="n"/>
      <c r="F371" s="13" t="n"/>
      <c r="G371" s="5" t="n"/>
      <c r="H371" s="9" t="n"/>
      <c r="I371" s="9" t="n"/>
      <c r="J371" s="9" t="n"/>
      <c r="K371" s="5" t="n"/>
      <c r="L371" s="5" t="n"/>
      <c r="M371" s="12" t="n"/>
      <c r="N371" s="9" t="n"/>
    </row>
    <row r="372" ht="61.5" customHeight="1">
      <c r="A372" s="9" t="n"/>
      <c r="B372" s="9" t="n"/>
      <c r="C372" s="9" t="n"/>
      <c r="D372" s="9" t="n"/>
      <c r="E372" s="11" t="n"/>
      <c r="F372" s="13" t="n"/>
      <c r="G372" s="5" t="n"/>
      <c r="H372" s="9" t="n"/>
      <c r="I372" s="9" t="n"/>
      <c r="J372" s="9" t="n"/>
      <c r="K372" s="5" t="n"/>
      <c r="L372" s="5" t="n"/>
      <c r="M372" s="12" t="n"/>
      <c r="N372" s="9" t="n"/>
    </row>
    <row r="373" ht="61.5" customHeight="1">
      <c r="A373" s="9" t="n"/>
      <c r="B373" s="9" t="n"/>
      <c r="C373" s="9" t="n"/>
      <c r="D373" s="9" t="n"/>
      <c r="E373" s="11" t="n"/>
      <c r="F373" s="13" t="n"/>
      <c r="G373" s="5" t="n"/>
      <c r="H373" s="9" t="n"/>
      <c r="I373" s="9" t="n"/>
      <c r="J373" s="9" t="n"/>
      <c r="K373" s="5" t="n"/>
      <c r="L373" s="5" t="n"/>
      <c r="M373" s="12" t="n"/>
      <c r="N373" s="9" t="n"/>
    </row>
    <row r="374" ht="61.5" customHeight="1">
      <c r="A374" s="9" t="n"/>
      <c r="B374" s="9" t="n"/>
      <c r="C374" s="9" t="n"/>
      <c r="D374" s="9" t="n"/>
      <c r="E374" s="11" t="n"/>
      <c r="F374" s="13" t="n"/>
      <c r="G374" s="5" t="n"/>
      <c r="H374" s="9" t="n"/>
      <c r="I374" s="9" t="n"/>
      <c r="J374" s="9" t="n"/>
      <c r="K374" s="5" t="n"/>
      <c r="L374" s="5" t="n"/>
      <c r="M374" s="12" t="n"/>
      <c r="N374" s="9" t="n"/>
    </row>
    <row r="375" ht="61.5" customHeight="1">
      <c r="A375" s="9" t="n"/>
      <c r="B375" s="9" t="n"/>
      <c r="C375" s="9" t="n"/>
      <c r="D375" s="9" t="n"/>
      <c r="E375" s="11" t="n"/>
      <c r="F375" s="13" t="n"/>
      <c r="G375" s="5" t="n"/>
      <c r="H375" s="9" t="n"/>
      <c r="I375" s="9" t="n"/>
      <c r="J375" s="9" t="n"/>
      <c r="K375" s="5" t="n"/>
      <c r="L375" s="5" t="n"/>
      <c r="M375" s="12" t="n"/>
      <c r="N375" s="9" t="n"/>
    </row>
    <row r="376" ht="61.5" customHeight="1">
      <c r="A376" s="9" t="n"/>
      <c r="B376" s="9" t="n"/>
      <c r="C376" s="9" t="n"/>
      <c r="D376" s="9" t="n"/>
      <c r="E376" s="11" t="n"/>
      <c r="F376" s="13" t="n"/>
      <c r="G376" s="5" t="n"/>
      <c r="H376" s="9" t="n"/>
      <c r="I376" s="9" t="n"/>
      <c r="J376" s="9" t="n"/>
      <c r="K376" s="5" t="n"/>
      <c r="L376" s="5" t="n"/>
      <c r="M376" s="12" t="n"/>
      <c r="N376" s="9" t="n"/>
    </row>
    <row r="377" ht="61.5" customHeight="1">
      <c r="A377" s="9" t="n"/>
      <c r="B377" s="9" t="n"/>
      <c r="C377" s="9" t="n"/>
      <c r="D377" s="9" t="n"/>
      <c r="E377" s="11" t="n"/>
      <c r="F377" s="13" t="n"/>
      <c r="G377" s="5" t="n"/>
      <c r="H377" s="9" t="n"/>
      <c r="I377" s="9" t="n"/>
      <c r="J377" s="9" t="n"/>
      <c r="K377" s="5" t="n"/>
      <c r="L377" s="5" t="n"/>
      <c r="M377" s="12" t="n"/>
      <c r="N377" s="9" t="n"/>
    </row>
    <row r="378" ht="61.5" customHeight="1">
      <c r="A378" s="9" t="n"/>
      <c r="B378" s="9" t="n"/>
      <c r="C378" s="9" t="n"/>
      <c r="D378" s="9" t="n"/>
      <c r="E378" s="11" t="n"/>
      <c r="F378" s="13" t="n"/>
      <c r="G378" s="5" t="n"/>
      <c r="H378" s="9" t="n"/>
      <c r="I378" s="9" t="n"/>
      <c r="J378" s="9" t="n"/>
      <c r="K378" s="5" t="n"/>
      <c r="L378" s="5" t="n"/>
      <c r="M378" s="12" t="n"/>
      <c r="N378" s="9" t="n"/>
    </row>
    <row r="379" ht="61.5" customHeight="1">
      <c r="A379" s="9" t="n"/>
      <c r="B379" s="9" t="n"/>
      <c r="C379" s="9" t="n"/>
      <c r="D379" s="9" t="n"/>
      <c r="E379" s="11" t="n"/>
      <c r="F379" s="13" t="n"/>
      <c r="G379" s="5" t="n"/>
      <c r="H379" s="9" t="n"/>
      <c r="I379" s="9" t="n"/>
      <c r="J379" s="9" t="n"/>
      <c r="K379" s="5" t="n"/>
      <c r="L379" s="5" t="n"/>
      <c r="M379" s="12" t="n"/>
      <c r="N379" s="9" t="n"/>
    </row>
    <row r="380" ht="61.5" customHeight="1">
      <c r="A380" s="9" t="n"/>
      <c r="B380" s="9" t="n"/>
      <c r="C380" s="9" t="n"/>
      <c r="D380" s="9" t="n"/>
      <c r="E380" s="11" t="n"/>
      <c r="F380" s="13" t="n"/>
      <c r="G380" s="5" t="n"/>
      <c r="H380" s="9" t="n"/>
      <c r="I380" s="9" t="n"/>
      <c r="J380" s="9" t="n"/>
      <c r="K380" s="5" t="n"/>
      <c r="L380" s="5" t="n"/>
      <c r="M380" s="12" t="n"/>
      <c r="N380" s="9" t="n"/>
    </row>
    <row r="381" ht="61.5" customHeight="1">
      <c r="A381" s="9" t="n"/>
      <c r="B381" s="9" t="n"/>
      <c r="C381" s="9" t="n"/>
      <c r="D381" s="9" t="n"/>
      <c r="E381" s="11" t="n"/>
      <c r="F381" s="13" t="n"/>
      <c r="G381" s="5" t="n"/>
      <c r="H381" s="9" t="n"/>
      <c r="I381" s="9" t="n"/>
      <c r="J381" s="9" t="n"/>
      <c r="K381" s="5" t="n"/>
      <c r="L381" s="5" t="n"/>
      <c r="M381" s="12" t="n"/>
      <c r="N381" s="9" t="n"/>
    </row>
    <row r="382" ht="61.5" customHeight="1">
      <c r="A382" s="9" t="n"/>
      <c r="B382" s="9" t="n"/>
      <c r="C382" s="9" t="n"/>
      <c r="D382" s="9" t="n"/>
      <c r="E382" s="11" t="n"/>
      <c r="F382" s="13" t="n"/>
      <c r="G382" s="5" t="n"/>
      <c r="H382" s="9" t="n"/>
      <c r="I382" s="9" t="n"/>
      <c r="J382" s="9" t="n"/>
      <c r="K382" s="5" t="n"/>
      <c r="L382" s="5" t="n"/>
      <c r="M382" s="12" t="n"/>
      <c r="N382" s="9" t="n"/>
    </row>
    <row r="383" ht="61.5" customHeight="1">
      <c r="A383" s="9" t="n"/>
      <c r="B383" s="9" t="n"/>
      <c r="C383" s="9" t="n"/>
      <c r="D383" s="9" t="n"/>
      <c r="E383" s="11" t="n"/>
      <c r="F383" s="13" t="n"/>
      <c r="G383" s="5" t="n"/>
      <c r="H383" s="9" t="n"/>
      <c r="I383" s="9" t="n"/>
      <c r="J383" s="9" t="n"/>
      <c r="K383" s="5" t="n"/>
      <c r="L383" s="5" t="n"/>
      <c r="M383" s="12" t="n"/>
      <c r="N383" s="9" t="n"/>
    </row>
    <row r="384" ht="61.5" customHeight="1">
      <c r="A384" s="9" t="n"/>
      <c r="B384" s="9" t="n"/>
      <c r="C384" s="9" t="n"/>
      <c r="D384" s="9" t="n"/>
      <c r="E384" s="11" t="n"/>
      <c r="F384" s="13" t="n"/>
      <c r="G384" s="5" t="n"/>
      <c r="H384" s="9" t="n"/>
      <c r="I384" s="9" t="n"/>
      <c r="J384" s="9" t="n"/>
      <c r="K384" s="5" t="n"/>
      <c r="L384" s="5" t="n"/>
      <c r="M384" s="12" t="n"/>
      <c r="N384" s="9" t="n"/>
    </row>
    <row r="385" ht="61.5" customHeight="1">
      <c r="A385" s="9" t="n"/>
      <c r="B385" s="9" t="n"/>
      <c r="C385" s="9" t="n"/>
      <c r="D385" s="9" t="n"/>
      <c r="E385" s="11" t="n"/>
      <c r="F385" s="13" t="n"/>
      <c r="G385" s="5" t="n"/>
      <c r="H385" s="9" t="n"/>
      <c r="I385" s="9" t="n"/>
      <c r="J385" s="9" t="n"/>
      <c r="K385" s="5" t="n"/>
      <c r="L385" s="5" t="n"/>
      <c r="M385" s="12" t="n"/>
      <c r="N385" s="9" t="n"/>
    </row>
    <row r="386" ht="61.5" customHeight="1">
      <c r="A386" s="9" t="n"/>
      <c r="B386" s="9" t="n"/>
      <c r="C386" s="9" t="n"/>
      <c r="D386" s="9" t="n"/>
      <c r="E386" s="11" t="n"/>
      <c r="F386" s="13" t="n"/>
      <c r="G386" s="5" t="n"/>
      <c r="H386" s="9" t="n"/>
      <c r="I386" s="9" t="n"/>
      <c r="J386" s="9" t="n"/>
      <c r="K386" s="5" t="n"/>
      <c r="L386" s="5" t="n"/>
      <c r="M386" s="12" t="n"/>
      <c r="N386" s="9" t="n"/>
    </row>
    <row r="387" ht="61.5" customHeight="1">
      <c r="A387" s="9" t="n"/>
      <c r="B387" s="9" t="n"/>
      <c r="C387" s="9" t="n"/>
      <c r="D387" s="9" t="n"/>
      <c r="E387" s="11" t="n"/>
      <c r="F387" s="13" t="n"/>
      <c r="G387" s="5" t="n"/>
      <c r="H387" s="9" t="n"/>
      <c r="I387" s="9" t="n"/>
      <c r="J387" s="9" t="n"/>
      <c r="K387" s="5" t="n"/>
      <c r="L387" s="5" t="n"/>
      <c r="M387" s="12" t="n"/>
      <c r="N387" s="9" t="n"/>
    </row>
    <row r="388" ht="61.5" customHeight="1">
      <c r="A388" s="9" t="n"/>
      <c r="B388" s="9" t="n"/>
      <c r="C388" s="9" t="n"/>
      <c r="D388" s="9" t="n"/>
      <c r="E388" s="11" t="n"/>
      <c r="F388" s="13" t="n"/>
      <c r="G388" s="5" t="n"/>
      <c r="H388" s="9" t="n"/>
      <c r="I388" s="9" t="n"/>
      <c r="J388" s="9" t="n"/>
      <c r="K388" s="5" t="n"/>
      <c r="L388" s="5" t="n"/>
      <c r="M388" s="12" t="n"/>
      <c r="N388" s="9" t="n"/>
    </row>
    <row r="389" ht="61.5" customHeight="1">
      <c r="A389" s="9" t="n"/>
      <c r="B389" s="9" t="n"/>
      <c r="C389" s="9" t="n"/>
      <c r="D389" s="9" t="n"/>
      <c r="E389" s="11" t="n"/>
      <c r="F389" s="13" t="n"/>
      <c r="G389" s="5" t="n"/>
      <c r="H389" s="9" t="n"/>
      <c r="I389" s="9" t="n"/>
      <c r="J389" s="9" t="n"/>
      <c r="K389" s="5" t="n"/>
      <c r="L389" s="5" t="n"/>
      <c r="M389" s="12" t="n"/>
      <c r="N389" s="9" t="n"/>
    </row>
    <row r="390" ht="61.5" customHeight="1">
      <c r="A390" s="9" t="n"/>
      <c r="B390" s="9" t="n"/>
      <c r="C390" s="9" t="n"/>
      <c r="D390" s="9" t="n"/>
      <c r="E390" s="11" t="n"/>
      <c r="F390" s="13" t="n"/>
      <c r="G390" s="5" t="n"/>
      <c r="H390" s="9" t="n"/>
      <c r="I390" s="9" t="n"/>
      <c r="J390" s="9" t="n"/>
      <c r="K390" s="5" t="n"/>
      <c r="L390" s="5" t="n"/>
      <c r="M390" s="12" t="n"/>
      <c r="N390" s="9" t="n"/>
    </row>
    <row r="391" ht="61.5" customHeight="1">
      <c r="A391" s="9" t="n"/>
      <c r="B391" s="9" t="n"/>
      <c r="C391" s="9" t="n"/>
      <c r="D391" s="9" t="n"/>
      <c r="E391" s="11" t="n"/>
      <c r="F391" s="13" t="n"/>
      <c r="G391" s="5" t="n"/>
      <c r="H391" s="9" t="n"/>
      <c r="I391" s="9" t="n"/>
      <c r="J391" s="9" t="n"/>
      <c r="K391" s="5" t="n"/>
      <c r="L391" s="5" t="n"/>
      <c r="M391" s="12" t="n"/>
      <c r="N391" s="9" t="n"/>
    </row>
    <row r="392" ht="61.5" customHeight="1">
      <c r="A392" s="9" t="n"/>
      <c r="B392" s="9" t="n"/>
      <c r="C392" s="9" t="n"/>
      <c r="D392" s="9" t="n"/>
      <c r="E392" s="11" t="n"/>
      <c r="F392" s="13" t="n"/>
      <c r="G392" s="5" t="n"/>
      <c r="H392" s="9" t="n"/>
      <c r="I392" s="9" t="n"/>
      <c r="J392" s="9" t="n"/>
      <c r="K392" s="5" t="n"/>
      <c r="L392" s="5" t="n"/>
      <c r="M392" s="12" t="n"/>
      <c r="N392" s="9" t="n"/>
    </row>
    <row r="393" ht="61.5" customHeight="1">
      <c r="A393" s="9" t="n"/>
      <c r="B393" s="9" t="n"/>
      <c r="C393" s="9" t="n"/>
      <c r="D393" s="9" t="n"/>
      <c r="E393" s="11" t="n"/>
      <c r="F393" s="13" t="n"/>
      <c r="G393" s="5" t="n"/>
      <c r="H393" s="9" t="n"/>
      <c r="I393" s="9" t="n"/>
      <c r="J393" s="9" t="n"/>
      <c r="K393" s="5" t="n"/>
      <c r="L393" s="5" t="n"/>
      <c r="M393" s="12" t="n"/>
      <c r="N393" s="9" t="n"/>
    </row>
    <row r="394" ht="61.5" customHeight="1">
      <c r="A394" s="9" t="n"/>
      <c r="B394" s="9" t="n"/>
      <c r="C394" s="9" t="n"/>
      <c r="D394" s="9" t="n"/>
      <c r="E394" s="11" t="n"/>
      <c r="F394" s="13" t="n"/>
      <c r="G394" s="5" t="n"/>
      <c r="H394" s="9" t="n"/>
      <c r="I394" s="9" t="n"/>
      <c r="J394" s="9" t="n"/>
      <c r="K394" s="5" t="n"/>
      <c r="L394" s="5" t="n"/>
      <c r="M394" s="12" t="n"/>
      <c r="N394" s="9" t="n"/>
    </row>
    <row r="395" ht="61.5" customHeight="1">
      <c r="A395" s="9" t="n"/>
      <c r="B395" s="9" t="n"/>
      <c r="C395" s="9" t="n"/>
      <c r="D395" s="9" t="n"/>
      <c r="E395" s="11" t="n"/>
      <c r="F395" s="13" t="n"/>
      <c r="G395" s="5" t="n"/>
      <c r="H395" s="9" t="n"/>
      <c r="I395" s="9" t="n"/>
      <c r="J395" s="9" t="n"/>
      <c r="K395" s="5" t="n"/>
      <c r="L395" s="5" t="n"/>
      <c r="M395" s="12" t="n"/>
      <c r="N395" s="9" t="n"/>
    </row>
    <row r="396" ht="61.5" customHeight="1">
      <c r="A396" s="9" t="n"/>
      <c r="B396" s="9" t="n"/>
      <c r="C396" s="9" t="n"/>
      <c r="D396" s="9" t="n"/>
      <c r="E396" s="11" t="n"/>
      <c r="F396" s="13" t="n"/>
      <c r="G396" s="5" t="n"/>
      <c r="H396" s="9" t="n"/>
      <c r="I396" s="9" t="n"/>
      <c r="J396" s="9" t="n"/>
      <c r="K396" s="5" t="n"/>
      <c r="L396" s="5" t="n"/>
      <c r="M396" s="12" t="n"/>
      <c r="N396" s="9" t="n"/>
    </row>
    <row r="397" ht="61.5" customHeight="1">
      <c r="A397" s="9" t="n"/>
      <c r="B397" s="9" t="n"/>
      <c r="C397" s="9" t="n"/>
      <c r="D397" s="9" t="n"/>
      <c r="E397" s="11" t="n"/>
      <c r="F397" s="13" t="n"/>
      <c r="G397" s="5" t="n"/>
      <c r="H397" s="9" t="n"/>
      <c r="I397" s="9" t="n"/>
      <c r="J397" s="9" t="n"/>
      <c r="K397" s="5" t="n"/>
      <c r="L397" s="5" t="n"/>
      <c r="M397" s="12" t="n"/>
      <c r="N397" s="9" t="n"/>
    </row>
    <row r="398" ht="61.5" customHeight="1">
      <c r="A398" s="9" t="n"/>
      <c r="B398" s="9" t="n"/>
      <c r="C398" s="9" t="n"/>
      <c r="D398" s="9" t="n"/>
      <c r="E398" s="11" t="n"/>
      <c r="F398" s="13" t="n"/>
      <c r="G398" s="5" t="n"/>
      <c r="H398" s="9" t="n"/>
      <c r="I398" s="9" t="n"/>
      <c r="J398" s="9" t="n"/>
      <c r="K398" s="5" t="n"/>
      <c r="L398" s="5" t="n"/>
      <c r="M398" s="12" t="n"/>
      <c r="N398" s="9" t="n"/>
    </row>
    <row r="399" ht="61.5" customHeight="1">
      <c r="A399" s="9" t="n"/>
      <c r="B399" s="9" t="n"/>
      <c r="C399" s="9" t="n"/>
      <c r="D399" s="9" t="n"/>
      <c r="E399" s="11" t="n"/>
      <c r="F399" s="13" t="n"/>
      <c r="G399" s="5" t="n"/>
      <c r="H399" s="9" t="n"/>
      <c r="I399" s="9" t="n"/>
      <c r="J399" s="9" t="n"/>
      <c r="K399" s="5" t="n"/>
      <c r="L399" s="5" t="n"/>
      <c r="M399" s="12" t="n"/>
      <c r="N399" s="9" t="n"/>
    </row>
    <row r="400" ht="61.5" customHeight="1">
      <c r="A400" s="9" t="n"/>
      <c r="B400" s="9" t="n"/>
      <c r="C400" s="9" t="n"/>
      <c r="D400" s="9" t="n"/>
      <c r="E400" s="11" t="n"/>
      <c r="F400" s="13" t="n"/>
      <c r="G400" s="5" t="n"/>
      <c r="H400" s="9" t="n"/>
      <c r="I400" s="9" t="n"/>
      <c r="J400" s="9" t="n"/>
      <c r="K400" s="5" t="n"/>
      <c r="L400" s="5" t="n"/>
      <c r="M400" s="12" t="n"/>
      <c r="N400" s="9" t="n"/>
    </row>
    <row r="401" ht="61.5" customHeight="1">
      <c r="A401" s="9" t="n"/>
      <c r="B401" s="9" t="n"/>
      <c r="C401" s="9" t="n"/>
      <c r="D401" s="9" t="n"/>
      <c r="E401" s="11" t="n"/>
      <c r="F401" s="13" t="n"/>
      <c r="G401" s="5" t="n"/>
      <c r="H401" s="9" t="n"/>
      <c r="I401" s="9" t="n"/>
      <c r="J401" s="9" t="n"/>
      <c r="K401" s="5" t="n"/>
      <c r="L401" s="5" t="n"/>
      <c r="M401" s="12" t="n"/>
      <c r="N401" s="9" t="n"/>
    </row>
    <row r="402" ht="61.5" customHeight="1">
      <c r="A402" s="9" t="n"/>
      <c r="B402" s="9" t="n"/>
      <c r="C402" s="9" t="n"/>
      <c r="D402" s="9" t="n"/>
      <c r="E402" s="11" t="n"/>
      <c r="F402" s="13" t="n"/>
      <c r="G402" s="5" t="n"/>
      <c r="H402" s="9" t="n"/>
      <c r="I402" s="9" t="n"/>
      <c r="J402" s="9" t="n"/>
      <c r="K402" s="5" t="n"/>
      <c r="L402" s="5" t="n"/>
      <c r="M402" s="12" t="n"/>
      <c r="N402" s="9" t="n"/>
    </row>
    <row r="403" ht="61.5" customHeight="1">
      <c r="A403" s="9" t="n"/>
      <c r="B403" s="9" t="n"/>
      <c r="C403" s="9" t="n"/>
      <c r="D403" s="9" t="n"/>
      <c r="E403" s="11" t="n"/>
      <c r="F403" s="13" t="n"/>
      <c r="G403" s="5" t="n"/>
      <c r="H403" s="9" t="n"/>
      <c r="I403" s="9" t="n"/>
      <c r="J403" s="9" t="n"/>
      <c r="K403" s="5" t="n"/>
      <c r="L403" s="5" t="n"/>
      <c r="M403" s="12" t="n"/>
      <c r="N403" s="9" t="n"/>
    </row>
    <row r="404" ht="61.5" customHeight="1">
      <c r="A404" s="9" t="n"/>
      <c r="B404" s="9" t="n"/>
      <c r="C404" s="9" t="n"/>
      <c r="D404" s="9" t="n"/>
      <c r="E404" s="11" t="n"/>
      <c r="F404" s="13" t="n"/>
      <c r="G404" s="5" t="n"/>
      <c r="H404" s="9" t="n"/>
      <c r="I404" s="9" t="n"/>
      <c r="J404" s="9" t="n"/>
      <c r="K404" s="5" t="n"/>
      <c r="L404" s="5" t="n"/>
      <c r="M404" s="12" t="n"/>
      <c r="N404" s="9" t="n"/>
    </row>
    <row r="405" ht="61.5" customHeight="1">
      <c r="A405" s="9" t="n"/>
      <c r="B405" s="9" t="n"/>
      <c r="C405" s="9" t="n"/>
      <c r="D405" s="9" t="n"/>
      <c r="E405" s="11" t="n"/>
      <c r="F405" s="13" t="n"/>
      <c r="G405" s="5" t="n"/>
      <c r="H405" s="9" t="n"/>
      <c r="I405" s="9" t="n"/>
      <c r="J405" s="9" t="n"/>
      <c r="K405" s="5" t="n"/>
      <c r="L405" s="5" t="n"/>
      <c r="M405" s="12" t="n"/>
      <c r="N405" s="9" t="n"/>
    </row>
    <row r="406" ht="61.5" customHeight="1">
      <c r="A406" s="9" t="n"/>
      <c r="B406" s="9" t="n"/>
      <c r="C406" s="9" t="n"/>
      <c r="D406" s="9" t="n"/>
      <c r="E406" s="11" t="n"/>
      <c r="F406" s="13" t="n"/>
      <c r="G406" s="5" t="n"/>
      <c r="H406" s="9" t="n"/>
      <c r="I406" s="9" t="n"/>
      <c r="J406" s="9" t="n"/>
      <c r="K406" s="5" t="n"/>
      <c r="L406" s="5" t="n"/>
      <c r="M406" s="12" t="n"/>
      <c r="N406" s="9" t="n"/>
    </row>
    <row r="407" ht="61.5" customHeight="1">
      <c r="A407" s="9" t="n"/>
      <c r="B407" s="9" t="n"/>
      <c r="C407" s="9" t="n"/>
      <c r="D407" s="9" t="n"/>
      <c r="E407" s="11" t="n"/>
      <c r="F407" s="13" t="n"/>
      <c r="G407" s="5" t="n"/>
      <c r="H407" s="9" t="n"/>
      <c r="I407" s="9" t="n"/>
      <c r="J407" s="9" t="n"/>
      <c r="K407" s="5" t="n"/>
      <c r="L407" s="5" t="n"/>
      <c r="M407" s="12" t="n"/>
      <c r="N407" s="9" t="n"/>
    </row>
    <row r="408" ht="61.5" customHeight="1">
      <c r="A408" s="9" t="n"/>
      <c r="B408" s="9" t="n"/>
      <c r="C408" s="9" t="n"/>
      <c r="D408" s="9" t="n"/>
      <c r="E408" s="11" t="n"/>
      <c r="F408" s="13" t="n"/>
      <c r="G408" s="5" t="n"/>
      <c r="H408" s="9" t="n"/>
      <c r="I408" s="9" t="n"/>
      <c r="J408" s="9" t="n"/>
      <c r="K408" s="5" t="n"/>
      <c r="L408" s="5" t="n"/>
      <c r="M408" s="12" t="n"/>
      <c r="N408" s="9" t="n"/>
    </row>
    <row r="409" ht="61.5" customHeight="1">
      <c r="A409" s="9" t="n"/>
      <c r="B409" s="9" t="n"/>
      <c r="C409" s="9" t="n"/>
      <c r="D409" s="9" t="n"/>
      <c r="E409" s="11" t="n"/>
      <c r="F409" s="13" t="n"/>
      <c r="G409" s="5" t="n"/>
      <c r="H409" s="9" t="n"/>
      <c r="I409" s="9" t="n"/>
      <c r="J409" s="9" t="n"/>
      <c r="K409" s="5" t="n"/>
      <c r="L409" s="5" t="n"/>
      <c r="M409" s="12" t="n"/>
      <c r="N409" s="9" t="n"/>
    </row>
    <row r="410" ht="61.5" customHeight="1">
      <c r="A410" s="9" t="n"/>
      <c r="B410" s="9" t="n"/>
      <c r="C410" s="9" t="n"/>
      <c r="D410" s="9" t="n"/>
      <c r="E410" s="11" t="n"/>
      <c r="F410" s="13" t="n"/>
      <c r="G410" s="5" t="n"/>
      <c r="H410" s="9" t="n"/>
      <c r="I410" s="9" t="n"/>
      <c r="J410" s="9" t="n"/>
      <c r="K410" s="5" t="n"/>
      <c r="L410" s="5" t="n"/>
      <c r="M410" s="12" t="n"/>
      <c r="N410" s="9" t="n"/>
    </row>
    <row r="411" ht="61.5" customHeight="1">
      <c r="A411" s="9" t="n"/>
      <c r="B411" s="9" t="n"/>
      <c r="C411" s="9" t="n"/>
      <c r="D411" s="9" t="n"/>
      <c r="E411" s="11" t="n"/>
      <c r="F411" s="13" t="n"/>
      <c r="G411" s="5" t="n"/>
      <c r="H411" s="9" t="n"/>
      <c r="I411" s="9" t="n"/>
      <c r="J411" s="9" t="n"/>
      <c r="K411" s="5" t="n"/>
      <c r="L411" s="5" t="n"/>
      <c r="M411" s="12" t="n"/>
      <c r="N411" s="9" t="n"/>
    </row>
    <row r="412" ht="61.5" customHeight="1">
      <c r="A412" s="9" t="n"/>
      <c r="B412" s="9" t="n"/>
      <c r="C412" s="9" t="n"/>
      <c r="D412" s="9" t="n"/>
      <c r="E412" s="11" t="n"/>
      <c r="F412" s="13" t="n"/>
      <c r="G412" s="5" t="n"/>
      <c r="H412" s="9" t="n"/>
      <c r="I412" s="9" t="n"/>
      <c r="J412" s="9" t="n"/>
      <c r="K412" s="5" t="n"/>
      <c r="L412" s="5" t="n"/>
      <c r="M412" s="12" t="n"/>
      <c r="N412" s="9" t="n"/>
    </row>
    <row r="413" ht="61.5" customHeight="1">
      <c r="A413" s="9" t="n"/>
      <c r="B413" s="9" t="n"/>
      <c r="C413" s="9" t="n"/>
      <c r="D413" s="9" t="n"/>
      <c r="E413" s="11" t="n"/>
      <c r="F413" s="13" t="n"/>
      <c r="G413" s="5" t="n"/>
      <c r="H413" s="9" t="n"/>
      <c r="I413" s="9" t="n"/>
      <c r="J413" s="9" t="n"/>
      <c r="K413" s="5" t="n"/>
      <c r="L413" s="5" t="n"/>
      <c r="M413" s="12" t="n"/>
      <c r="N413" s="9" t="n"/>
    </row>
    <row r="414" ht="61.5" customHeight="1">
      <c r="A414" s="9" t="n"/>
      <c r="B414" s="9" t="n"/>
      <c r="C414" s="9" t="n"/>
      <c r="D414" s="9" t="n"/>
      <c r="E414" s="11" t="n"/>
      <c r="F414" s="13" t="n"/>
      <c r="G414" s="5" t="n"/>
      <c r="H414" s="9" t="n"/>
      <c r="I414" s="9" t="n"/>
      <c r="J414" s="9" t="n"/>
      <c r="K414" s="5" t="n"/>
      <c r="L414" s="5" t="n"/>
      <c r="M414" s="12" t="n"/>
      <c r="N414" s="9" t="n"/>
    </row>
    <row r="415" ht="61.5" customHeight="1">
      <c r="A415" s="9" t="n"/>
      <c r="B415" s="9" t="n"/>
      <c r="C415" s="9" t="n"/>
      <c r="D415" s="9" t="n"/>
      <c r="E415" s="11" t="n"/>
      <c r="F415" s="13" t="n"/>
      <c r="G415" s="5" t="n"/>
      <c r="H415" s="9" t="n"/>
      <c r="I415" s="9" t="n"/>
      <c r="J415" s="9" t="n"/>
      <c r="K415" s="5" t="n"/>
      <c r="L415" s="5" t="n"/>
      <c r="M415" s="12" t="n"/>
      <c r="N415" s="9" t="n"/>
    </row>
    <row r="416" ht="61.5" customHeight="1">
      <c r="A416" s="9" t="n"/>
      <c r="B416" s="9" t="n"/>
      <c r="C416" s="9" t="n"/>
      <c r="D416" s="9" t="n"/>
      <c r="E416" s="11" t="n"/>
      <c r="F416" s="13" t="n"/>
      <c r="G416" s="5" t="n"/>
      <c r="H416" s="9" t="n"/>
      <c r="I416" s="9" t="n"/>
      <c r="J416" s="9" t="n"/>
      <c r="K416" s="5" t="n"/>
      <c r="L416" s="5" t="n"/>
      <c r="M416" s="12" t="n"/>
      <c r="N416" s="9" t="n"/>
    </row>
    <row r="417" ht="61.5" customHeight="1">
      <c r="A417" s="9" t="n"/>
      <c r="B417" s="9" t="n"/>
      <c r="C417" s="9" t="n"/>
      <c r="D417" s="9" t="n"/>
      <c r="E417" s="11" t="n"/>
      <c r="F417" s="13" t="n"/>
      <c r="G417" s="5" t="n"/>
      <c r="H417" s="9" t="n"/>
      <c r="I417" s="9" t="n"/>
      <c r="J417" s="9" t="n"/>
      <c r="K417" s="5" t="n"/>
      <c r="L417" s="5" t="n"/>
      <c r="M417" s="12" t="n"/>
      <c r="N417" s="9" t="n"/>
    </row>
    <row r="418" ht="61.5" customHeight="1">
      <c r="A418" s="9" t="n"/>
      <c r="B418" s="9" t="n"/>
      <c r="C418" s="9" t="n"/>
      <c r="D418" s="9" t="n"/>
      <c r="E418" s="11" t="n"/>
      <c r="F418" s="13" t="n"/>
      <c r="G418" s="5" t="n"/>
      <c r="H418" s="9" t="n"/>
      <c r="I418" s="9" t="n"/>
      <c r="J418" s="9" t="n"/>
      <c r="K418" s="5" t="n"/>
      <c r="L418" s="5" t="n"/>
      <c r="M418" s="12" t="n"/>
      <c r="N418" s="9" t="n"/>
    </row>
    <row r="419" ht="61.5" customHeight="1">
      <c r="A419" s="9" t="n"/>
      <c r="B419" s="9" t="n"/>
      <c r="C419" s="9" t="n"/>
      <c r="D419" s="9" t="n"/>
      <c r="E419" s="11" t="n"/>
      <c r="F419" s="13" t="n"/>
      <c r="G419" s="5" t="n"/>
      <c r="H419" s="9" t="n"/>
      <c r="I419" s="9" t="n"/>
      <c r="J419" s="9" t="n"/>
      <c r="K419" s="5" t="n"/>
      <c r="L419" s="5" t="n"/>
      <c r="M419" s="12" t="n"/>
      <c r="N419" s="9" t="n"/>
    </row>
    <row r="420" ht="61.5" customHeight="1">
      <c r="A420" s="9" t="n"/>
      <c r="B420" s="9" t="n"/>
      <c r="C420" s="9" t="n"/>
      <c r="D420" s="9" t="n"/>
      <c r="E420" s="11" t="n"/>
      <c r="F420" s="13" t="n"/>
      <c r="G420" s="5" t="n"/>
      <c r="H420" s="9" t="n"/>
      <c r="I420" s="9" t="n"/>
      <c r="J420" s="9" t="n"/>
      <c r="K420" s="5" t="n"/>
      <c r="L420" s="5" t="n"/>
      <c r="M420" s="12" t="n"/>
      <c r="N420" s="9" t="n"/>
    </row>
    <row r="421" ht="61.5" customHeight="1">
      <c r="A421" s="9" t="n"/>
      <c r="B421" s="9" t="n"/>
      <c r="C421" s="9" t="n"/>
      <c r="D421" s="9" t="n"/>
      <c r="E421" s="11" t="n"/>
      <c r="F421" s="13" t="n"/>
      <c r="G421" s="5" t="n"/>
      <c r="H421" s="9" t="n"/>
      <c r="I421" s="9" t="n"/>
      <c r="J421" s="9" t="n"/>
      <c r="K421" s="5" t="n"/>
      <c r="L421" s="5" t="n"/>
      <c r="M421" s="12" t="n"/>
      <c r="N421" s="9" t="n"/>
    </row>
    <row r="422" ht="61.5" customHeight="1">
      <c r="A422" s="9" t="n"/>
      <c r="B422" s="9" t="n"/>
      <c r="C422" s="9" t="n"/>
      <c r="D422" s="9" t="n"/>
      <c r="E422" s="11" t="n"/>
      <c r="F422" s="13" t="n"/>
      <c r="G422" s="5" t="n"/>
      <c r="H422" s="9" t="n"/>
      <c r="I422" s="9" t="n"/>
      <c r="J422" s="9" t="n"/>
      <c r="K422" s="5" t="n"/>
      <c r="L422" s="5" t="n"/>
      <c r="M422" s="12" t="n"/>
      <c r="N422" s="9" t="n"/>
    </row>
    <row r="423" ht="61.5" customHeight="1">
      <c r="A423" s="9" t="n"/>
      <c r="B423" s="9" t="n"/>
      <c r="C423" s="9" t="n"/>
      <c r="D423" s="9" t="n"/>
      <c r="E423" s="11" t="n"/>
      <c r="F423" s="13" t="n"/>
      <c r="G423" s="5" t="n"/>
      <c r="H423" s="9" t="n"/>
      <c r="I423" s="9" t="n"/>
      <c r="J423" s="9" t="n"/>
      <c r="K423" s="5" t="n"/>
      <c r="L423" s="5" t="n"/>
      <c r="M423" s="12" t="n"/>
      <c r="N423" s="9" t="n"/>
    </row>
    <row r="424" ht="61.5" customHeight="1">
      <c r="A424" s="9" t="n"/>
      <c r="B424" s="9" t="n"/>
      <c r="C424" s="9" t="n"/>
      <c r="D424" s="9" t="n"/>
      <c r="E424" s="11" t="n"/>
      <c r="F424" s="13" t="n"/>
      <c r="G424" s="5" t="n"/>
      <c r="H424" s="9" t="n"/>
      <c r="I424" s="9" t="n"/>
      <c r="J424" s="9" t="n"/>
      <c r="K424" s="5" t="n"/>
      <c r="L424" s="5" t="n"/>
      <c r="M424" s="12" t="n"/>
      <c r="N424" s="9" t="n"/>
    </row>
    <row r="425" ht="61.5" customHeight="1">
      <c r="A425" s="9" t="n"/>
      <c r="B425" s="9" t="n"/>
      <c r="C425" s="9" t="n"/>
      <c r="D425" s="9" t="n"/>
      <c r="E425" s="11" t="n"/>
      <c r="F425" s="13" t="n"/>
      <c r="G425" s="5" t="n"/>
      <c r="H425" s="9" t="n"/>
      <c r="I425" s="9" t="n"/>
      <c r="J425" s="9" t="n"/>
      <c r="K425" s="5" t="n"/>
      <c r="L425" s="5" t="n"/>
      <c r="M425" s="12" t="n"/>
      <c r="N425" s="9" t="n"/>
    </row>
    <row r="426" ht="61.5" customHeight="1">
      <c r="A426" s="9" t="n"/>
      <c r="B426" s="9" t="n"/>
      <c r="C426" s="9" t="n"/>
      <c r="D426" s="9" t="n"/>
      <c r="E426" s="11" t="n"/>
      <c r="F426" s="13" t="n"/>
      <c r="G426" s="5" t="n"/>
      <c r="H426" s="9" t="n"/>
      <c r="I426" s="9" t="n"/>
      <c r="J426" s="9" t="n"/>
      <c r="K426" s="5" t="n"/>
      <c r="L426" s="5" t="n"/>
      <c r="M426" s="12" t="n"/>
      <c r="N426" s="9" t="n"/>
    </row>
    <row r="427" ht="61.5" customHeight="1">
      <c r="A427" s="9" t="n"/>
      <c r="B427" s="9" t="n"/>
      <c r="C427" s="9" t="n"/>
      <c r="D427" s="9" t="n"/>
      <c r="E427" s="11" t="n"/>
      <c r="F427" s="13" t="n"/>
      <c r="G427" s="5" t="n"/>
      <c r="H427" s="9" t="n"/>
      <c r="I427" s="9" t="n"/>
      <c r="J427" s="9" t="n"/>
      <c r="K427" s="5" t="n"/>
      <c r="L427" s="5" t="n"/>
      <c r="M427" s="12" t="n"/>
      <c r="N427" s="9" t="n"/>
    </row>
    <row r="428" ht="61.5" customHeight="1">
      <c r="A428" s="9" t="n"/>
      <c r="B428" s="9" t="n"/>
      <c r="C428" s="9" t="n"/>
      <c r="D428" s="9" t="n"/>
      <c r="E428" s="11" t="n"/>
      <c r="F428" s="13" t="n"/>
      <c r="G428" s="5" t="n"/>
      <c r="H428" s="9" t="n"/>
      <c r="I428" s="9" t="n"/>
      <c r="J428" s="9" t="n"/>
      <c r="K428" s="5" t="n"/>
      <c r="L428" s="5" t="n"/>
      <c r="M428" s="12" t="n"/>
      <c r="N428" s="9" t="n"/>
    </row>
    <row r="429" ht="61.5" customHeight="1">
      <c r="A429" s="9" t="n"/>
      <c r="B429" s="9" t="n"/>
      <c r="C429" s="9" t="n"/>
      <c r="D429" s="9" t="n"/>
      <c r="E429" s="11" t="n"/>
      <c r="F429" s="13" t="n"/>
      <c r="G429" s="5" t="n"/>
      <c r="H429" s="9" t="n"/>
      <c r="I429" s="9" t="n"/>
      <c r="J429" s="9" t="n"/>
      <c r="K429" s="5" t="n"/>
      <c r="L429" s="5" t="n"/>
      <c r="M429" s="12" t="n"/>
      <c r="N429" s="9" t="n"/>
    </row>
    <row r="430" ht="61.5" customHeight="1">
      <c r="A430" s="9" t="n"/>
      <c r="B430" s="9" t="n"/>
      <c r="C430" s="9" t="n"/>
      <c r="D430" s="9" t="n"/>
      <c r="E430" s="11" t="n"/>
      <c r="F430" s="13" t="n"/>
      <c r="G430" s="5" t="n"/>
      <c r="H430" s="9" t="n"/>
      <c r="I430" s="9" t="n"/>
      <c r="J430" s="9" t="n"/>
      <c r="K430" s="5" t="n"/>
      <c r="L430" s="5" t="n"/>
      <c r="M430" s="12" t="n"/>
      <c r="N430" s="9" t="n"/>
    </row>
    <row r="431" ht="61.5" customHeight="1">
      <c r="A431" s="9" t="n"/>
      <c r="B431" s="9" t="n"/>
      <c r="C431" s="9" t="n"/>
      <c r="D431" s="9" t="n"/>
      <c r="E431" s="11" t="n"/>
      <c r="F431" s="13" t="n"/>
      <c r="G431" s="5" t="n"/>
      <c r="H431" s="9" t="n"/>
      <c r="I431" s="9" t="n"/>
      <c r="J431" s="9" t="n"/>
      <c r="K431" s="5" t="n"/>
      <c r="L431" s="5" t="n"/>
      <c r="M431" s="12" t="n"/>
      <c r="N431" s="9" t="n"/>
    </row>
    <row r="432" ht="61.5" customHeight="1">
      <c r="A432" s="9" t="n"/>
      <c r="B432" s="9" t="n"/>
      <c r="C432" s="9" t="n"/>
      <c r="D432" s="9" t="n"/>
      <c r="E432" s="11" t="n"/>
      <c r="F432" s="13" t="n"/>
      <c r="G432" s="5" t="n"/>
      <c r="H432" s="9" t="n"/>
      <c r="I432" s="9" t="n"/>
      <c r="J432" s="9" t="n"/>
      <c r="K432" s="5" t="n"/>
      <c r="L432" s="5" t="n"/>
      <c r="M432" s="12" t="n"/>
      <c r="N432" s="9" t="n"/>
    </row>
    <row r="433" ht="61.5" customHeight="1">
      <c r="A433" s="9" t="n"/>
      <c r="B433" s="9" t="n"/>
      <c r="C433" s="9" t="n"/>
      <c r="D433" s="9" t="n"/>
      <c r="E433" s="11" t="n"/>
      <c r="F433" s="13" t="n"/>
      <c r="G433" s="5" t="n"/>
      <c r="H433" s="9" t="n"/>
      <c r="I433" s="9" t="n"/>
      <c r="J433" s="9" t="n"/>
      <c r="K433" s="5" t="n"/>
      <c r="L433" s="5" t="n"/>
      <c r="M433" s="12" t="n"/>
      <c r="N433" s="9" t="n"/>
    </row>
    <row r="434" ht="61.5" customHeight="1">
      <c r="A434" s="9" t="n"/>
      <c r="B434" s="9" t="n"/>
      <c r="C434" s="9" t="n"/>
      <c r="D434" s="9" t="n"/>
      <c r="E434" s="11" t="n"/>
      <c r="F434" s="13" t="n"/>
      <c r="G434" s="5" t="n"/>
      <c r="H434" s="9" t="n"/>
      <c r="I434" s="9" t="n"/>
      <c r="J434" s="9" t="n"/>
      <c r="K434" s="5" t="n"/>
      <c r="L434" s="5" t="n"/>
      <c r="M434" s="12" t="n"/>
      <c r="N434" s="9" t="n"/>
    </row>
    <row r="435" ht="61.5" customHeight="1">
      <c r="A435" s="9" t="n"/>
      <c r="B435" s="9" t="n"/>
      <c r="C435" s="9" t="n"/>
      <c r="D435" s="9" t="n"/>
      <c r="E435" s="11" t="n"/>
      <c r="F435" s="13" t="n"/>
      <c r="G435" s="5" t="n"/>
      <c r="H435" s="9" t="n"/>
      <c r="I435" s="9" t="n"/>
      <c r="J435" s="9" t="n"/>
      <c r="K435" s="5" t="n"/>
      <c r="L435" s="5" t="n"/>
      <c r="M435" s="12" t="n"/>
      <c r="N435" s="9" t="n"/>
    </row>
    <row r="436" ht="61.5" customHeight="1">
      <c r="A436" s="9" t="n"/>
      <c r="B436" s="9" t="n"/>
      <c r="C436" s="9" t="n"/>
      <c r="D436" s="9" t="n"/>
      <c r="E436" s="11" t="n"/>
      <c r="F436" s="13" t="n"/>
      <c r="G436" s="5" t="n"/>
      <c r="H436" s="9" t="n"/>
      <c r="I436" s="9" t="n"/>
      <c r="J436" s="9" t="n"/>
      <c r="K436" s="5" t="n"/>
      <c r="L436" s="5" t="n"/>
      <c r="M436" s="12" t="n"/>
      <c r="N436" s="9" t="n"/>
    </row>
    <row r="437" ht="61.5" customHeight="1">
      <c r="A437" s="9" t="n"/>
      <c r="B437" s="9" t="n"/>
      <c r="C437" s="9" t="n"/>
      <c r="D437" s="9" t="n"/>
      <c r="E437" s="11" t="n"/>
      <c r="F437" s="13" t="n"/>
      <c r="G437" s="5" t="n"/>
      <c r="H437" s="9" t="n"/>
      <c r="I437" s="9" t="n"/>
      <c r="J437" s="9" t="n"/>
      <c r="K437" s="5" t="n"/>
      <c r="L437" s="5" t="n"/>
      <c r="M437" s="12" t="n"/>
      <c r="N437" s="9" t="n"/>
    </row>
    <row r="438" ht="61.5" customHeight="1">
      <c r="A438" s="9" t="n"/>
      <c r="B438" s="9" t="n"/>
      <c r="C438" s="9" t="n"/>
      <c r="D438" s="9" t="n"/>
      <c r="E438" s="11" t="n"/>
      <c r="F438" s="13" t="n"/>
      <c r="G438" s="5" t="n"/>
      <c r="H438" s="9" t="n"/>
      <c r="I438" s="9" t="n"/>
      <c r="J438" s="9" t="n"/>
      <c r="K438" s="5" t="n"/>
      <c r="L438" s="5" t="n"/>
      <c r="M438" s="12" t="n"/>
      <c r="N438" s="9" t="n"/>
    </row>
    <row r="439" ht="61.5" customHeight="1">
      <c r="A439" s="9" t="n"/>
      <c r="B439" s="9" t="n"/>
      <c r="C439" s="9" t="n"/>
      <c r="D439" s="9" t="n"/>
      <c r="E439" s="11" t="n"/>
      <c r="F439" s="13" t="n"/>
      <c r="G439" s="5" t="n"/>
      <c r="H439" s="9" t="n"/>
      <c r="I439" s="9" t="n"/>
      <c r="J439" s="9" t="n"/>
      <c r="K439" s="5" t="n"/>
      <c r="L439" s="5" t="n"/>
      <c r="M439" s="12" t="n"/>
      <c r="N439" s="9" t="n"/>
    </row>
    <row r="440" ht="61.5" customHeight="1">
      <c r="A440" s="9" t="n"/>
      <c r="B440" s="9" t="n"/>
      <c r="C440" s="9" t="n"/>
      <c r="D440" s="9" t="n"/>
      <c r="E440" s="11" t="n"/>
      <c r="F440" s="13" t="n"/>
      <c r="G440" s="5" t="n"/>
      <c r="H440" s="9" t="n"/>
      <c r="I440" s="9" t="n"/>
      <c r="J440" s="9" t="n"/>
      <c r="K440" s="5" t="n"/>
      <c r="L440" s="5" t="n"/>
      <c r="M440" s="12" t="n"/>
      <c r="N440" s="9" t="n"/>
    </row>
    <row r="441" ht="61.5" customHeight="1">
      <c r="A441" s="9" t="n"/>
      <c r="B441" s="9" t="n"/>
      <c r="C441" s="9" t="n"/>
      <c r="D441" s="9" t="n"/>
      <c r="E441" s="11" t="n"/>
      <c r="F441" s="13" t="n"/>
      <c r="G441" s="5" t="n"/>
      <c r="H441" s="9" t="n"/>
      <c r="I441" s="9" t="n"/>
      <c r="J441" s="9" t="n"/>
      <c r="K441" s="5" t="n"/>
      <c r="L441" s="5" t="n"/>
      <c r="M441" s="12" t="n"/>
      <c r="N441" s="9" t="n"/>
    </row>
    <row r="442" ht="61.5" customHeight="1">
      <c r="A442" s="9" t="n"/>
      <c r="B442" s="9" t="n"/>
      <c r="C442" s="9" t="n"/>
      <c r="D442" s="9" t="n"/>
      <c r="E442" s="11" t="n"/>
      <c r="F442" s="13" t="n"/>
      <c r="G442" s="5" t="n"/>
      <c r="H442" s="9" t="n"/>
      <c r="I442" s="9" t="n"/>
      <c r="J442" s="9" t="n"/>
      <c r="K442" s="5" t="n"/>
      <c r="L442" s="5" t="n"/>
      <c r="M442" s="12" t="n"/>
      <c r="N442" s="9" t="n"/>
    </row>
    <row r="443" ht="61.5" customHeight="1">
      <c r="A443" s="9" t="n"/>
      <c r="B443" s="9" t="n"/>
      <c r="C443" s="9" t="n"/>
      <c r="D443" s="9" t="n"/>
      <c r="E443" s="11" t="n"/>
      <c r="F443" s="13" t="n"/>
      <c r="G443" s="5" t="n"/>
      <c r="H443" s="9" t="n"/>
      <c r="I443" s="9" t="n"/>
      <c r="J443" s="9" t="n"/>
      <c r="K443" s="5" t="n"/>
      <c r="L443" s="5" t="n"/>
      <c r="M443" s="12" t="n"/>
      <c r="N443" s="9" t="n"/>
    </row>
    <row r="444" ht="61.5" customHeight="1">
      <c r="A444" s="9" t="n"/>
      <c r="B444" s="9" t="n"/>
      <c r="C444" s="9" t="n"/>
      <c r="D444" s="9" t="n"/>
      <c r="E444" s="11" t="n"/>
      <c r="F444" s="13" t="n"/>
      <c r="G444" s="5" t="n"/>
      <c r="H444" s="9" t="n"/>
      <c r="I444" s="9" t="n"/>
      <c r="J444" s="9" t="n"/>
      <c r="K444" s="5" t="n"/>
      <c r="L444" s="5" t="n"/>
      <c r="M444" s="12" t="n"/>
      <c r="N444" s="9" t="n"/>
    </row>
    <row r="445" ht="61.5" customHeight="1">
      <c r="A445" s="9" t="n"/>
      <c r="B445" s="9" t="n"/>
      <c r="C445" s="9" t="n"/>
      <c r="D445" s="9" t="n"/>
      <c r="E445" s="11" t="n"/>
      <c r="F445" s="13" t="n"/>
      <c r="G445" s="5" t="n"/>
      <c r="H445" s="9" t="n"/>
      <c r="I445" s="9" t="n"/>
      <c r="J445" s="9" t="n"/>
      <c r="K445" s="5" t="n"/>
      <c r="L445" s="5" t="n"/>
      <c r="M445" s="12" t="n"/>
      <c r="N445" s="9" t="n"/>
    </row>
    <row r="446" ht="61.5" customHeight="1">
      <c r="A446" s="9" t="n"/>
      <c r="B446" s="9" t="n"/>
      <c r="C446" s="9" t="n"/>
      <c r="D446" s="9" t="n"/>
      <c r="E446" s="11" t="n"/>
      <c r="F446" s="13" t="n"/>
      <c r="G446" s="5" t="n"/>
      <c r="H446" s="9" t="n"/>
      <c r="I446" s="9" t="n"/>
      <c r="J446" s="9" t="n"/>
      <c r="K446" s="5" t="n"/>
      <c r="L446" s="5" t="n"/>
      <c r="M446" s="12" t="n"/>
      <c r="N446" s="9" t="n"/>
    </row>
    <row r="447" ht="61.5" customHeight="1">
      <c r="A447" s="9" t="n"/>
      <c r="B447" s="9" t="n"/>
      <c r="C447" s="9" t="n"/>
      <c r="D447" s="9" t="n"/>
      <c r="E447" s="11" t="n"/>
      <c r="F447" s="13" t="n"/>
      <c r="G447" s="5" t="n"/>
      <c r="H447" s="9" t="n"/>
      <c r="I447" s="9" t="n"/>
      <c r="J447" s="9" t="n"/>
      <c r="K447" s="5" t="n"/>
      <c r="L447" s="5" t="n"/>
      <c r="M447" s="12" t="n"/>
      <c r="N447" s="9" t="n"/>
    </row>
    <row r="448" ht="61.5" customHeight="1">
      <c r="A448" s="9" t="n"/>
      <c r="B448" s="9" t="n"/>
      <c r="C448" s="9" t="n"/>
      <c r="D448" s="9" t="n"/>
      <c r="E448" s="11" t="n"/>
      <c r="F448" s="13" t="n"/>
      <c r="G448" s="5" t="n"/>
      <c r="H448" s="9" t="n"/>
      <c r="I448" s="9" t="n"/>
      <c r="J448" s="9" t="n"/>
      <c r="K448" s="5" t="n"/>
      <c r="L448" s="5" t="n"/>
      <c r="M448" s="12" t="n"/>
      <c r="N448" s="9" t="n"/>
    </row>
    <row r="449" ht="61.5" customHeight="1">
      <c r="A449" s="9" t="n"/>
      <c r="B449" s="9" t="n"/>
      <c r="C449" s="9" t="n"/>
      <c r="D449" s="9" t="n"/>
      <c r="E449" s="11" t="n"/>
      <c r="F449" s="13" t="n"/>
      <c r="G449" s="5" t="n"/>
      <c r="H449" s="9" t="n"/>
      <c r="I449" s="9" t="n"/>
      <c r="J449" s="9" t="n"/>
      <c r="K449" s="5" t="n"/>
      <c r="L449" s="5" t="n"/>
      <c r="M449" s="12" t="n"/>
      <c r="N449" s="9" t="n"/>
    </row>
    <row r="450" ht="61.5" customHeight="1">
      <c r="A450" s="9" t="n"/>
      <c r="B450" s="9" t="n"/>
      <c r="C450" s="9" t="n"/>
      <c r="D450" s="9" t="n"/>
      <c r="E450" s="11" t="n"/>
      <c r="F450" s="13" t="n"/>
      <c r="G450" s="5" t="n"/>
      <c r="H450" s="9" t="n"/>
      <c r="I450" s="9" t="n"/>
      <c r="J450" s="9" t="n"/>
      <c r="K450" s="5" t="n"/>
      <c r="L450" s="5" t="n"/>
      <c r="M450" s="12" t="n"/>
      <c r="N450" s="9" t="n"/>
    </row>
    <row r="451" ht="61.5" customHeight="1">
      <c r="A451" s="9" t="n"/>
      <c r="B451" s="9" t="n"/>
      <c r="C451" s="9" t="n"/>
      <c r="D451" s="9" t="n"/>
      <c r="E451" s="11" t="n"/>
      <c r="F451" s="13" t="n"/>
      <c r="G451" s="5" t="n"/>
      <c r="H451" s="9" t="n"/>
      <c r="I451" s="9" t="n"/>
      <c r="J451" s="9" t="n"/>
      <c r="K451" s="5" t="n"/>
      <c r="L451" s="5" t="n"/>
      <c r="M451" s="12" t="n"/>
      <c r="N451" s="9" t="n"/>
    </row>
    <row r="452" ht="61.5" customHeight="1">
      <c r="A452" s="9" t="n"/>
      <c r="B452" s="9" t="n"/>
      <c r="C452" s="9" t="n"/>
      <c r="D452" s="9" t="n"/>
      <c r="E452" s="11" t="n"/>
      <c r="F452" s="13" t="n"/>
      <c r="G452" s="5" t="n"/>
      <c r="H452" s="9" t="n"/>
      <c r="I452" s="9" t="n"/>
      <c r="J452" s="9" t="n"/>
      <c r="K452" s="5" t="n"/>
      <c r="L452" s="5" t="n"/>
      <c r="M452" s="12" t="n"/>
      <c r="N452" s="9" t="n"/>
    </row>
    <row r="453" ht="61.5" customHeight="1">
      <c r="A453" s="9" t="n"/>
      <c r="B453" s="9" t="n"/>
      <c r="C453" s="9" t="n"/>
      <c r="D453" s="9" t="n"/>
      <c r="E453" s="11" t="n"/>
      <c r="F453" s="13" t="n"/>
      <c r="G453" s="5" t="n"/>
      <c r="H453" s="9" t="n"/>
      <c r="I453" s="9" t="n"/>
      <c r="J453" s="9" t="n"/>
      <c r="K453" s="5" t="n"/>
      <c r="L453" s="5" t="n"/>
      <c r="M453" s="12" t="n"/>
      <c r="N453" s="9" t="n"/>
    </row>
    <row r="454" ht="61.5" customHeight="1">
      <c r="A454" s="9" t="n"/>
      <c r="B454" s="9" t="n"/>
      <c r="C454" s="9" t="n"/>
      <c r="D454" s="9" t="n"/>
      <c r="E454" s="11" t="n"/>
      <c r="F454" s="13" t="n"/>
      <c r="G454" s="5" t="n"/>
      <c r="H454" s="9" t="n"/>
      <c r="I454" s="9" t="n"/>
      <c r="J454" s="9" t="n"/>
      <c r="K454" s="5" t="n"/>
      <c r="L454" s="5" t="n"/>
      <c r="M454" s="12" t="n"/>
      <c r="N454" s="9" t="n"/>
    </row>
    <row r="455" ht="61.5" customHeight="1">
      <c r="A455" s="9" t="n"/>
      <c r="B455" s="9" t="n"/>
      <c r="C455" s="9" t="n"/>
      <c r="D455" s="9" t="n"/>
      <c r="E455" s="11" t="n"/>
      <c r="F455" s="13" t="n"/>
      <c r="G455" s="5" t="n"/>
      <c r="H455" s="9" t="n"/>
      <c r="I455" s="9" t="n"/>
      <c r="J455" s="9" t="n"/>
      <c r="K455" s="5" t="n"/>
      <c r="L455" s="5" t="n"/>
      <c r="M455" s="12" t="n"/>
      <c r="N455" s="9" t="n"/>
    </row>
    <row r="456" ht="61.5" customHeight="1">
      <c r="A456" s="9" t="n"/>
      <c r="B456" s="9" t="n"/>
      <c r="C456" s="9" t="n"/>
      <c r="D456" s="9" t="n"/>
      <c r="E456" s="11" t="n"/>
      <c r="F456" s="13" t="n"/>
      <c r="G456" s="5" t="n"/>
      <c r="H456" s="9" t="n"/>
      <c r="I456" s="9" t="n"/>
      <c r="J456" s="9" t="n"/>
      <c r="K456" s="5" t="n"/>
      <c r="L456" s="5" t="n"/>
      <c r="M456" s="12" t="n"/>
      <c r="N456" s="9" t="n"/>
    </row>
    <row r="457" ht="61.5" customHeight="1">
      <c r="A457" s="9" t="n"/>
      <c r="B457" s="9" t="n"/>
      <c r="C457" s="9" t="n"/>
      <c r="D457" s="9" t="n"/>
      <c r="E457" s="11" t="n"/>
      <c r="F457" s="13" t="n"/>
      <c r="G457" s="5" t="n"/>
      <c r="H457" s="9" t="n"/>
      <c r="I457" s="9" t="n"/>
      <c r="J457" s="9" t="n"/>
      <c r="K457" s="5" t="n"/>
      <c r="L457" s="5" t="n"/>
      <c r="M457" s="12" t="n"/>
      <c r="N457" s="9" t="n"/>
    </row>
    <row r="458" ht="61.5" customHeight="1">
      <c r="A458" s="9" t="n"/>
      <c r="B458" s="9" t="n"/>
      <c r="C458" s="9" t="n"/>
      <c r="D458" s="9" t="n"/>
      <c r="E458" s="11" t="n"/>
      <c r="F458" s="13" t="n"/>
      <c r="G458" s="5" t="n"/>
      <c r="H458" s="9" t="n"/>
      <c r="I458" s="9" t="n"/>
      <c r="J458" s="9" t="n"/>
      <c r="K458" s="5" t="n"/>
      <c r="L458" s="5" t="n"/>
      <c r="M458" s="12" t="n"/>
      <c r="N458" s="9" t="n"/>
    </row>
    <row r="459" ht="61.5" customHeight="1">
      <c r="A459" s="9" t="n"/>
      <c r="B459" s="9" t="n"/>
      <c r="C459" s="9" t="n"/>
      <c r="D459" s="9" t="n"/>
      <c r="E459" s="11" t="n"/>
      <c r="F459" s="13" t="n"/>
      <c r="G459" s="5" t="n"/>
      <c r="H459" s="9" t="n"/>
      <c r="I459" s="9" t="n"/>
      <c r="J459" s="9" t="n"/>
      <c r="K459" s="5" t="n"/>
      <c r="L459" s="5" t="n"/>
      <c r="M459" s="12" t="n"/>
      <c r="N459" s="9" t="n"/>
    </row>
    <row r="460" ht="61.5" customHeight="1">
      <c r="A460" s="9" t="n"/>
      <c r="B460" s="9" t="n"/>
      <c r="C460" s="9" t="n"/>
      <c r="D460" s="9" t="n"/>
      <c r="E460" s="11" t="n"/>
      <c r="F460" s="13" t="n"/>
      <c r="G460" s="5" t="n"/>
      <c r="H460" s="9" t="n"/>
      <c r="I460" s="9" t="n"/>
      <c r="J460" s="9" t="n"/>
      <c r="K460" s="5" t="n"/>
      <c r="L460" s="5" t="n"/>
      <c r="M460" s="12" t="n"/>
      <c r="N460" s="9" t="n"/>
    </row>
    <row r="461" ht="61.5" customHeight="1">
      <c r="A461" s="9" t="n"/>
      <c r="B461" s="9" t="n"/>
      <c r="C461" s="9" t="n"/>
      <c r="D461" s="9" t="n"/>
      <c r="E461" s="11" t="n"/>
      <c r="F461" s="13" t="n"/>
      <c r="G461" s="5" t="n"/>
      <c r="H461" s="9" t="n"/>
      <c r="I461" s="9" t="n"/>
      <c r="J461" s="9" t="n"/>
      <c r="K461" s="5" t="n"/>
      <c r="L461" s="5" t="n"/>
      <c r="M461" s="12" t="n"/>
      <c r="N461" s="9" t="n"/>
    </row>
    <row r="462" ht="61.5" customHeight="1">
      <c r="A462" s="9" t="n"/>
      <c r="B462" s="9" t="n"/>
      <c r="C462" s="9" t="n"/>
      <c r="D462" s="9" t="n"/>
      <c r="E462" s="11" t="n"/>
      <c r="F462" s="13" t="n"/>
      <c r="G462" s="5" t="n"/>
      <c r="H462" s="9" t="n"/>
      <c r="I462" s="9" t="n"/>
      <c r="J462" s="9" t="n"/>
      <c r="K462" s="5" t="n"/>
      <c r="L462" s="5" t="n"/>
      <c r="M462" s="12" t="n"/>
      <c r="N462" s="9" t="n"/>
    </row>
    <row r="463" ht="61.5" customHeight="1">
      <c r="A463" s="9" t="n"/>
      <c r="B463" s="9" t="n"/>
      <c r="C463" s="9" t="n"/>
      <c r="D463" s="9" t="n"/>
      <c r="E463" s="11" t="n"/>
      <c r="F463" s="13" t="n"/>
      <c r="G463" s="5" t="n"/>
      <c r="H463" s="9" t="n"/>
      <c r="I463" s="9" t="n"/>
      <c r="J463" s="9" t="n"/>
      <c r="K463" s="5" t="n"/>
      <c r="L463" s="5" t="n"/>
      <c r="M463" s="12" t="n"/>
      <c r="N463" s="9" t="n"/>
    </row>
    <row r="464" ht="61.5" customHeight="1">
      <c r="A464" s="9" t="n"/>
      <c r="B464" s="9" t="n"/>
      <c r="C464" s="9" t="n"/>
      <c r="D464" s="9" t="n"/>
      <c r="E464" s="11" t="n"/>
      <c r="F464" s="13" t="n"/>
      <c r="G464" s="5" t="n"/>
      <c r="H464" s="9" t="n"/>
      <c r="I464" s="9" t="n"/>
      <c r="J464" s="9" t="n"/>
      <c r="K464" s="5" t="n"/>
      <c r="L464" s="5" t="n"/>
      <c r="M464" s="12" t="n"/>
      <c r="N464" s="9" t="n"/>
    </row>
    <row r="465" ht="61.5" customHeight="1">
      <c r="A465" s="9" t="n"/>
      <c r="B465" s="9" t="n"/>
      <c r="C465" s="9" t="n"/>
      <c r="D465" s="9" t="n"/>
      <c r="E465" s="11" t="n"/>
      <c r="F465" s="13" t="n"/>
      <c r="G465" s="5" t="n"/>
      <c r="H465" s="9" t="n"/>
      <c r="I465" s="9" t="n"/>
      <c r="J465" s="9" t="n"/>
      <c r="K465" s="5" t="n"/>
      <c r="L465" s="5" t="n"/>
      <c r="M465" s="12" t="n"/>
      <c r="N465" s="9" t="n"/>
    </row>
    <row r="466" ht="61.5" customHeight="1">
      <c r="A466" s="9" t="n"/>
      <c r="B466" s="9" t="n"/>
      <c r="C466" s="9" t="n"/>
      <c r="D466" s="9" t="n"/>
      <c r="E466" s="11" t="n"/>
      <c r="F466" s="13" t="n"/>
      <c r="G466" s="5" t="n"/>
      <c r="H466" s="9" t="n"/>
      <c r="I466" s="9" t="n"/>
      <c r="J466" s="9" t="n"/>
      <c r="K466" s="5" t="n"/>
      <c r="L466" s="5" t="n"/>
      <c r="M466" s="12" t="n"/>
      <c r="N466" s="9" t="n"/>
    </row>
    <row r="467" ht="61.5" customHeight="1">
      <c r="A467" s="9" t="n"/>
      <c r="B467" s="9" t="n"/>
      <c r="C467" s="9" t="n"/>
      <c r="D467" s="9" t="n"/>
      <c r="E467" s="11" t="n"/>
      <c r="F467" s="13" t="n"/>
      <c r="G467" s="5" t="n"/>
      <c r="H467" s="9" t="n"/>
      <c r="I467" s="9" t="n"/>
      <c r="J467" s="9" t="n"/>
      <c r="K467" s="5" t="n"/>
      <c r="L467" s="5" t="n"/>
      <c r="M467" s="12" t="n"/>
      <c r="N467" s="9" t="n"/>
    </row>
    <row r="468" ht="61.5" customHeight="1">
      <c r="A468" s="9" t="n"/>
      <c r="B468" s="9" t="n"/>
      <c r="C468" s="9" t="n"/>
      <c r="D468" s="9" t="n"/>
      <c r="E468" s="11" t="n"/>
      <c r="F468" s="13" t="n"/>
      <c r="G468" s="5" t="n"/>
      <c r="H468" s="9" t="n"/>
      <c r="I468" s="9" t="n"/>
      <c r="J468" s="9" t="n"/>
      <c r="K468" s="5" t="n"/>
      <c r="L468" s="5" t="n"/>
      <c r="M468" s="12" t="n"/>
      <c r="N468" s="9" t="n"/>
    </row>
    <row r="469" ht="61.5" customHeight="1">
      <c r="A469" s="9" t="n"/>
      <c r="B469" s="9" t="n"/>
      <c r="C469" s="9" t="n"/>
      <c r="D469" s="9" t="n"/>
      <c r="E469" s="11" t="n"/>
      <c r="F469" s="13" t="n"/>
      <c r="G469" s="5" t="n"/>
      <c r="H469" s="9" t="n"/>
      <c r="I469" s="9" t="n"/>
      <c r="J469" s="9" t="n"/>
      <c r="K469" s="5" t="n"/>
      <c r="L469" s="5" t="n"/>
      <c r="M469" s="12" t="n"/>
      <c r="N469" s="9" t="n"/>
    </row>
    <row r="470" ht="61.5" customHeight="1">
      <c r="A470" s="9" t="n"/>
      <c r="B470" s="9" t="n"/>
      <c r="C470" s="9" t="n"/>
      <c r="D470" s="9" t="n"/>
      <c r="E470" s="11" t="n"/>
      <c r="F470" s="13" t="n"/>
      <c r="G470" s="5" t="n"/>
      <c r="H470" s="9" t="n"/>
      <c r="I470" s="9" t="n"/>
      <c r="J470" s="9" t="n"/>
      <c r="K470" s="5" t="n"/>
      <c r="L470" s="5" t="n"/>
      <c r="M470" s="12" t="n"/>
      <c r="N470" s="9" t="n"/>
    </row>
    <row r="471" ht="61.5" customHeight="1">
      <c r="A471" s="9" t="n"/>
      <c r="B471" s="9" t="n"/>
      <c r="C471" s="9" t="n"/>
      <c r="D471" s="9" t="n"/>
      <c r="E471" s="11" t="n"/>
      <c r="F471" s="13" t="n"/>
      <c r="G471" s="5" t="n"/>
      <c r="H471" s="9" t="n"/>
      <c r="I471" s="9" t="n"/>
      <c r="J471" s="9" t="n"/>
      <c r="K471" s="5" t="n"/>
      <c r="L471" s="5" t="n"/>
      <c r="M471" s="12" t="n"/>
      <c r="N471" s="9" t="n"/>
    </row>
    <row r="472" ht="61.5" customHeight="1">
      <c r="A472" s="9" t="n"/>
      <c r="B472" s="9" t="n"/>
      <c r="C472" s="9" t="n"/>
      <c r="D472" s="9" t="n"/>
      <c r="E472" s="11" t="n"/>
      <c r="F472" s="13" t="n"/>
      <c r="G472" s="5" t="n"/>
      <c r="H472" s="9" t="n"/>
      <c r="I472" s="9" t="n"/>
      <c r="J472" s="9" t="n"/>
      <c r="K472" s="5" t="n"/>
      <c r="L472" s="5" t="n"/>
      <c r="M472" s="12" t="n"/>
      <c r="N472" s="9" t="n"/>
    </row>
    <row r="473" ht="61.5" customHeight="1">
      <c r="A473" s="9" t="n"/>
      <c r="B473" s="9" t="n"/>
      <c r="C473" s="9" t="n"/>
      <c r="D473" s="9" t="n"/>
      <c r="E473" s="11" t="n"/>
      <c r="F473" s="13" t="n"/>
      <c r="G473" s="5" t="n"/>
      <c r="H473" s="9" t="n"/>
      <c r="I473" s="9" t="n"/>
      <c r="J473" s="9" t="n"/>
      <c r="K473" s="5" t="n"/>
      <c r="L473" s="5" t="n"/>
      <c r="M473" s="12" t="n"/>
      <c r="N473" s="9" t="n"/>
    </row>
    <row r="474" ht="61.5" customHeight="1">
      <c r="A474" s="9" t="n"/>
      <c r="B474" s="9" t="n"/>
      <c r="C474" s="9" t="n"/>
      <c r="D474" s="9" t="n"/>
      <c r="E474" s="11" t="n"/>
      <c r="F474" s="13" t="n"/>
      <c r="G474" s="5" t="n"/>
      <c r="H474" s="9" t="n"/>
      <c r="I474" s="9" t="n"/>
      <c r="J474" s="9" t="n"/>
      <c r="K474" s="5" t="n"/>
      <c r="L474" s="5" t="n"/>
      <c r="M474" s="12" t="n"/>
      <c r="N474" s="9" t="n"/>
    </row>
    <row r="475" ht="61.5" customHeight="1">
      <c r="A475" s="9" t="n"/>
      <c r="B475" s="9" t="n"/>
      <c r="C475" s="9" t="n"/>
      <c r="D475" s="9" t="n"/>
      <c r="E475" s="11" t="n"/>
      <c r="F475" s="13" t="n"/>
      <c r="G475" s="5" t="n"/>
      <c r="H475" s="9" t="n"/>
      <c r="I475" s="9" t="n"/>
      <c r="J475" s="9" t="n"/>
      <c r="K475" s="5" t="n"/>
      <c r="L475" s="5" t="n"/>
      <c r="M475" s="12" t="n"/>
      <c r="N475" s="9" t="n"/>
    </row>
    <row r="476" ht="61.5" customHeight="1">
      <c r="A476" s="9" t="n"/>
      <c r="B476" s="9" t="n"/>
      <c r="C476" s="9" t="n"/>
      <c r="D476" s="9" t="n"/>
      <c r="E476" s="11" t="n"/>
      <c r="F476" s="13" t="n"/>
      <c r="G476" s="5" t="n"/>
      <c r="H476" s="9" t="n"/>
      <c r="I476" s="9" t="n"/>
      <c r="J476" s="9" t="n"/>
      <c r="K476" s="5" t="n"/>
      <c r="L476" s="5" t="n"/>
      <c r="M476" s="12" t="n"/>
      <c r="N476" s="9" t="n"/>
    </row>
    <row r="477" ht="61.5" customHeight="1">
      <c r="A477" s="9" t="n"/>
      <c r="B477" s="9" t="n"/>
      <c r="C477" s="9" t="n"/>
      <c r="D477" s="9" t="n"/>
      <c r="E477" s="11" t="n"/>
      <c r="F477" s="13" t="n"/>
      <c r="G477" s="5" t="n"/>
      <c r="H477" s="9" t="n"/>
      <c r="I477" s="9" t="n"/>
      <c r="J477" s="9" t="n"/>
      <c r="K477" s="5" t="n"/>
      <c r="L477" s="5" t="n"/>
      <c r="M477" s="12" t="n"/>
      <c r="N477" s="9" t="n"/>
    </row>
    <row r="478" ht="61.5" customHeight="1">
      <c r="A478" s="9" t="n"/>
      <c r="B478" s="9" t="n"/>
      <c r="C478" s="9" t="n"/>
      <c r="D478" s="9" t="n"/>
      <c r="E478" s="11" t="n"/>
      <c r="F478" s="13" t="n"/>
      <c r="G478" s="5" t="n"/>
      <c r="H478" s="9" t="n"/>
      <c r="I478" s="9" t="n"/>
      <c r="J478" s="9" t="n"/>
      <c r="K478" s="5" t="n"/>
      <c r="L478" s="5" t="n"/>
      <c r="M478" s="12" t="n"/>
      <c r="N478" s="9" t="n"/>
    </row>
    <row r="479" ht="61.5" customHeight="1">
      <c r="A479" s="9" t="n"/>
      <c r="B479" s="9" t="n"/>
      <c r="C479" s="9" t="n"/>
      <c r="D479" s="9" t="n"/>
      <c r="E479" s="11" t="n"/>
      <c r="F479" s="13" t="n"/>
      <c r="G479" s="5" t="n"/>
      <c r="H479" s="9" t="n"/>
      <c r="I479" s="9" t="n"/>
      <c r="J479" s="9" t="n"/>
      <c r="K479" s="5" t="n"/>
      <c r="L479" s="5" t="n"/>
      <c r="M479" s="12" t="n"/>
      <c r="N479" s="9" t="n"/>
    </row>
    <row r="480" ht="61.5" customHeight="1">
      <c r="A480" s="9" t="n"/>
      <c r="B480" s="9" t="n"/>
      <c r="C480" s="9" t="n"/>
      <c r="D480" s="9" t="n"/>
      <c r="E480" s="11" t="n"/>
      <c r="F480" s="13" t="n"/>
      <c r="G480" s="5" t="n"/>
      <c r="H480" s="9" t="n"/>
      <c r="I480" s="9" t="n"/>
      <c r="J480" s="9" t="n"/>
      <c r="K480" s="5" t="n"/>
      <c r="L480" s="5" t="n"/>
      <c r="M480" s="12" t="n"/>
      <c r="N480" s="9" t="n"/>
    </row>
    <row r="481" ht="61.5" customHeight="1">
      <c r="A481" s="9" t="n"/>
      <c r="B481" s="9" t="n"/>
      <c r="C481" s="9" t="n"/>
      <c r="D481" s="9" t="n"/>
      <c r="E481" s="11" t="n"/>
      <c r="F481" s="13" t="n"/>
      <c r="G481" s="5" t="n"/>
      <c r="H481" s="9" t="n"/>
      <c r="I481" s="9" t="n"/>
      <c r="J481" s="9" t="n"/>
      <c r="K481" s="5" t="n"/>
      <c r="L481" s="5" t="n"/>
      <c r="M481" s="12" t="n"/>
      <c r="N481" s="9" t="n"/>
    </row>
    <row r="482" ht="61.5" customHeight="1">
      <c r="A482" s="9" t="n"/>
      <c r="B482" s="9" t="n"/>
      <c r="C482" s="9" t="n"/>
      <c r="D482" s="9" t="n"/>
      <c r="E482" s="11" t="n"/>
      <c r="F482" s="13" t="n"/>
      <c r="G482" s="5" t="n"/>
      <c r="H482" s="9" t="n"/>
      <c r="I482" s="9" t="n"/>
      <c r="J482" s="9" t="n"/>
      <c r="K482" s="5" t="n"/>
      <c r="L482" s="5" t="n"/>
      <c r="M482" s="12" t="n"/>
      <c r="N482" s="9" t="n"/>
    </row>
    <row r="483" ht="61.5" customHeight="1">
      <c r="A483" s="9" t="n"/>
      <c r="B483" s="9" t="n"/>
      <c r="C483" s="9" t="n"/>
      <c r="D483" s="9" t="n"/>
      <c r="E483" s="11" t="n"/>
      <c r="F483" s="13" t="n"/>
      <c r="G483" s="5" t="n"/>
      <c r="H483" s="9" t="n"/>
      <c r="I483" s="9" t="n"/>
      <c r="J483" s="9" t="n"/>
      <c r="K483" s="5" t="n"/>
      <c r="L483" s="5" t="n"/>
      <c r="M483" s="12" t="n"/>
      <c r="N483" s="9" t="n"/>
    </row>
    <row r="484" ht="61.5" customHeight="1">
      <c r="A484" s="9" t="n"/>
      <c r="B484" s="9" t="n"/>
      <c r="C484" s="9" t="n"/>
      <c r="D484" s="9" t="n"/>
      <c r="E484" s="11" t="n"/>
      <c r="F484" s="13" t="n"/>
      <c r="G484" s="5" t="n"/>
      <c r="H484" s="9" t="n"/>
      <c r="I484" s="9" t="n"/>
      <c r="J484" s="9" t="n"/>
      <c r="K484" s="5" t="n"/>
      <c r="L484" s="5" t="n"/>
      <c r="M484" s="12" t="n"/>
      <c r="N484" s="9" t="n"/>
    </row>
    <row r="485" ht="61.5" customHeight="1">
      <c r="A485" s="9" t="n"/>
      <c r="B485" s="9" t="n"/>
      <c r="C485" s="9" t="n"/>
      <c r="D485" s="9" t="n"/>
      <c r="E485" s="11" t="n"/>
      <c r="F485" s="13" t="n"/>
      <c r="G485" s="5" t="n"/>
      <c r="H485" s="9" t="n"/>
      <c r="I485" s="9" t="n"/>
      <c r="J485" s="9" t="n"/>
      <c r="K485" s="5" t="n"/>
      <c r="L485" s="5" t="n"/>
      <c r="M485" s="12" t="n"/>
      <c r="N485" s="9" t="n"/>
    </row>
    <row r="486" ht="61.5" customHeight="1">
      <c r="A486" s="9" t="n"/>
      <c r="B486" s="9" t="n"/>
      <c r="C486" s="9" t="n"/>
      <c r="D486" s="9" t="n"/>
      <c r="E486" s="11" t="n"/>
      <c r="F486" s="13" t="n"/>
      <c r="G486" s="5" t="n"/>
      <c r="H486" s="9" t="n"/>
      <c r="I486" s="9" t="n"/>
      <c r="J486" s="9" t="n"/>
      <c r="K486" s="5" t="n"/>
      <c r="L486" s="5" t="n"/>
      <c r="M486" s="12" t="n"/>
      <c r="N486" s="9" t="n"/>
    </row>
    <row r="487" ht="61.5" customHeight="1">
      <c r="A487" s="9" t="n"/>
      <c r="B487" s="9" t="n"/>
      <c r="C487" s="9" t="n"/>
      <c r="D487" s="9" t="n"/>
      <c r="E487" s="11" t="n"/>
      <c r="F487" s="13" t="n"/>
      <c r="G487" s="5" t="n"/>
      <c r="H487" s="9" t="n"/>
      <c r="I487" s="9" t="n"/>
      <c r="J487" s="9" t="n"/>
      <c r="K487" s="5" t="n"/>
      <c r="L487" s="5" t="n"/>
      <c r="M487" s="12" t="n"/>
      <c r="N487" s="9" t="n"/>
    </row>
    <row r="488" ht="61.5" customHeight="1">
      <c r="A488" s="9" t="n"/>
      <c r="B488" s="9" t="n"/>
      <c r="C488" s="9" t="n"/>
      <c r="D488" s="9" t="n"/>
      <c r="E488" s="11" t="n"/>
      <c r="F488" s="13" t="n"/>
      <c r="G488" s="5" t="n"/>
      <c r="H488" s="9" t="n"/>
      <c r="I488" s="9" t="n"/>
      <c r="J488" s="9" t="n"/>
      <c r="K488" s="5" t="n"/>
      <c r="L488" s="5" t="n"/>
      <c r="M488" s="12" t="n"/>
      <c r="N488" s="9" t="n"/>
    </row>
    <row r="489" ht="61.5" customHeight="1">
      <c r="A489" s="9" t="n"/>
      <c r="B489" s="9" t="n"/>
      <c r="C489" s="9" t="n"/>
      <c r="D489" s="9" t="n"/>
      <c r="E489" s="11" t="n"/>
      <c r="F489" s="13" t="n"/>
      <c r="G489" s="5" t="n"/>
      <c r="H489" s="9" t="n"/>
      <c r="I489" s="9" t="n"/>
      <c r="J489" s="9" t="n"/>
      <c r="K489" s="5" t="n"/>
      <c r="L489" s="5" t="n"/>
      <c r="M489" s="12" t="n"/>
      <c r="N489" s="9" t="n"/>
    </row>
    <row r="490" ht="61.5" customHeight="1">
      <c r="A490" s="9" t="n"/>
      <c r="B490" s="9" t="n"/>
      <c r="C490" s="9" t="n"/>
      <c r="D490" s="9" t="n"/>
      <c r="E490" s="11" t="n"/>
      <c r="F490" s="13" t="n"/>
      <c r="G490" s="5" t="n"/>
      <c r="H490" s="9" t="n"/>
      <c r="I490" s="9" t="n"/>
      <c r="J490" s="9" t="n"/>
      <c r="K490" s="5" t="n"/>
      <c r="L490" s="5" t="n"/>
      <c r="M490" s="12" t="n"/>
      <c r="N490" s="9" t="n"/>
    </row>
    <row r="491" ht="61.5" customHeight="1">
      <c r="A491" s="9" t="n"/>
      <c r="B491" s="9" t="n"/>
      <c r="C491" s="9" t="n"/>
      <c r="D491" s="9" t="n"/>
      <c r="E491" s="11" t="n"/>
      <c r="F491" s="13" t="n"/>
      <c r="G491" s="5" t="n"/>
      <c r="H491" s="9" t="n"/>
      <c r="I491" s="9" t="n"/>
      <c r="J491" s="9" t="n"/>
      <c r="K491" s="5" t="n"/>
      <c r="L491" s="5" t="n"/>
      <c r="M491" s="12" t="n"/>
      <c r="N491" s="9" t="n"/>
    </row>
    <row r="492" ht="61.5" customHeight="1">
      <c r="A492" s="9" t="n"/>
      <c r="B492" s="9" t="n"/>
      <c r="C492" s="9" t="n"/>
      <c r="D492" s="9" t="n"/>
      <c r="E492" s="11" t="n"/>
      <c r="F492" s="13" t="n"/>
      <c r="G492" s="5" t="n"/>
      <c r="H492" s="9" t="n"/>
      <c r="I492" s="9" t="n"/>
      <c r="J492" s="9" t="n"/>
      <c r="K492" s="5" t="n"/>
      <c r="L492" s="5" t="n"/>
      <c r="M492" s="12" t="n"/>
      <c r="N492" s="9" t="n"/>
    </row>
    <row r="493" ht="61.5" customHeight="1">
      <c r="A493" s="9" t="n"/>
      <c r="B493" s="9" t="n"/>
      <c r="C493" s="9" t="n"/>
      <c r="D493" s="9" t="n"/>
      <c r="E493" s="11" t="n"/>
      <c r="F493" s="13" t="n"/>
      <c r="G493" s="5" t="n"/>
      <c r="H493" s="9" t="n"/>
      <c r="I493" s="9" t="n"/>
      <c r="J493" s="9" t="n"/>
      <c r="K493" s="5" t="n"/>
      <c r="L493" s="5" t="n"/>
      <c r="M493" s="12" t="n"/>
      <c r="N493" s="9" t="n"/>
    </row>
    <row r="494" ht="61.5" customHeight="1">
      <c r="A494" s="9" t="n"/>
      <c r="B494" s="9" t="n"/>
      <c r="C494" s="9" t="n"/>
      <c r="D494" s="9" t="n"/>
      <c r="E494" s="11" t="n"/>
      <c r="F494" s="13" t="n"/>
      <c r="G494" s="5" t="n"/>
      <c r="H494" s="9" t="n"/>
      <c r="I494" s="9" t="n"/>
      <c r="J494" s="9" t="n"/>
      <c r="K494" s="5" t="n"/>
      <c r="L494" s="5" t="n"/>
      <c r="M494" s="12" t="n"/>
      <c r="N494" s="9" t="n"/>
    </row>
    <row r="495" ht="61.5" customHeight="1">
      <c r="A495" s="9" t="n"/>
      <c r="B495" s="9" t="n"/>
      <c r="C495" s="9" t="n"/>
      <c r="D495" s="9" t="n"/>
      <c r="E495" s="11" t="n"/>
      <c r="F495" s="13" t="n"/>
      <c r="G495" s="5" t="n"/>
      <c r="H495" s="9" t="n"/>
      <c r="I495" s="9" t="n"/>
      <c r="J495" s="9" t="n"/>
      <c r="K495" s="5" t="n"/>
      <c r="L495" s="5" t="n"/>
      <c r="M495" s="12" t="n"/>
      <c r="N495" s="9" t="n"/>
    </row>
    <row r="496" ht="61.5" customHeight="1">
      <c r="A496" s="9" t="n"/>
      <c r="B496" s="9" t="n"/>
      <c r="C496" s="9" t="n"/>
      <c r="D496" s="9" t="n"/>
      <c r="E496" s="11" t="n"/>
      <c r="F496" s="13" t="n"/>
      <c r="G496" s="5" t="n"/>
      <c r="H496" s="9" t="n"/>
      <c r="I496" s="9" t="n"/>
      <c r="J496" s="9" t="n"/>
      <c r="K496" s="5" t="n"/>
      <c r="L496" s="5" t="n"/>
      <c r="M496" s="12" t="n"/>
      <c r="N496" s="9" t="n"/>
    </row>
    <row r="497" ht="61.5" customHeight="1">
      <c r="A497" s="9" t="n"/>
      <c r="B497" s="9" t="n"/>
      <c r="C497" s="9" t="n"/>
      <c r="D497" s="9" t="n"/>
      <c r="E497" s="11" t="n"/>
      <c r="F497" s="13" t="n"/>
      <c r="G497" s="5" t="n"/>
      <c r="H497" s="9" t="n"/>
      <c r="I497" s="9" t="n"/>
      <c r="J497" s="9" t="n"/>
      <c r="K497" s="5" t="n"/>
      <c r="L497" s="5" t="n"/>
      <c r="M497" s="12" t="n"/>
      <c r="N497" s="9" t="n"/>
    </row>
    <row r="498" ht="61.5" customHeight="1">
      <c r="A498" s="9" t="n"/>
      <c r="B498" s="9" t="n"/>
      <c r="C498" s="9" t="n"/>
      <c r="D498" s="9" t="n"/>
      <c r="E498" s="11" t="n"/>
      <c r="F498" s="13" t="n"/>
      <c r="G498" s="5" t="n"/>
      <c r="H498" s="9" t="n"/>
      <c r="I498" s="9" t="n"/>
      <c r="J498" s="9" t="n"/>
      <c r="K498" s="5" t="n"/>
      <c r="L498" s="5" t="n"/>
      <c r="M498" s="12" t="n"/>
      <c r="N498" s="9" t="n"/>
    </row>
    <row r="499" ht="61.5" customHeight="1">
      <c r="A499" s="9" t="n"/>
      <c r="B499" s="9" t="n"/>
      <c r="C499" s="9" t="n"/>
      <c r="D499" s="9" t="n"/>
      <c r="E499" s="11" t="n"/>
      <c r="F499" s="13" t="n"/>
      <c r="G499" s="5" t="n"/>
      <c r="H499" s="9" t="n"/>
      <c r="I499" s="9" t="n"/>
      <c r="J499" s="9" t="n"/>
      <c r="K499" s="5" t="n"/>
      <c r="L499" s="5" t="n"/>
      <c r="M499" s="12" t="n"/>
      <c r="N499" s="9" t="n"/>
    </row>
    <row r="500" ht="61.5" customHeight="1">
      <c r="A500" s="9" t="n"/>
      <c r="B500" s="9" t="n"/>
      <c r="C500" s="9" t="n"/>
      <c r="D500" s="9" t="n"/>
      <c r="E500" s="11" t="n"/>
      <c r="F500" s="13" t="n"/>
      <c r="G500" s="5" t="n"/>
      <c r="H500" s="9" t="n"/>
      <c r="I500" s="9" t="n"/>
      <c r="J500" s="9" t="n"/>
      <c r="K500" s="5" t="n"/>
      <c r="L500" s="5" t="n"/>
      <c r="M500" s="12" t="n"/>
      <c r="N500" s="9" t="n"/>
    </row>
    <row r="501" ht="61.5" customHeight="1">
      <c r="A501" s="9" t="n"/>
      <c r="B501" s="9" t="n"/>
      <c r="C501" s="9" t="n"/>
      <c r="D501" s="9" t="n"/>
      <c r="E501" s="11" t="n"/>
      <c r="F501" s="13" t="n"/>
      <c r="G501" s="5" t="n"/>
      <c r="H501" s="9" t="n"/>
      <c r="I501" s="9" t="n"/>
      <c r="J501" s="9" t="n"/>
      <c r="K501" s="5" t="n"/>
      <c r="L501" s="5" t="n"/>
      <c r="M501" s="12" t="n"/>
      <c r="N501" s="9" t="n"/>
    </row>
    <row r="502" ht="61.5" customHeight="1">
      <c r="A502" s="9" t="n"/>
      <c r="B502" s="9" t="n"/>
      <c r="C502" s="9" t="n"/>
      <c r="D502" s="9" t="n"/>
      <c r="E502" s="11" t="n"/>
      <c r="F502" s="13" t="n"/>
      <c r="G502" s="5" t="n"/>
      <c r="H502" s="9" t="n"/>
      <c r="I502" s="9" t="n"/>
      <c r="J502" s="9" t="n"/>
      <c r="K502" s="5" t="n"/>
      <c r="L502" s="5" t="n"/>
      <c r="M502" s="12" t="n"/>
      <c r="N502" s="9" t="n"/>
    </row>
    <row r="503" ht="61.5" customHeight="1">
      <c r="A503" s="9" t="n"/>
      <c r="B503" s="9" t="n"/>
      <c r="C503" s="9" t="n"/>
      <c r="D503" s="9" t="n"/>
      <c r="E503" s="11" t="n"/>
      <c r="F503" s="13" t="n"/>
      <c r="G503" s="5" t="n"/>
      <c r="H503" s="9" t="n"/>
      <c r="I503" s="9" t="n"/>
      <c r="J503" s="9" t="n"/>
      <c r="K503" s="5" t="n"/>
      <c r="L503" s="5" t="n"/>
      <c r="M503" s="12" t="n"/>
      <c r="N503" s="9" t="n"/>
    </row>
    <row r="504" ht="61.5" customHeight="1">
      <c r="A504" s="9" t="n"/>
      <c r="B504" s="9" t="n"/>
      <c r="C504" s="9" t="n"/>
      <c r="D504" s="9" t="n"/>
      <c r="E504" s="11" t="n"/>
      <c r="F504" s="13" t="n"/>
      <c r="G504" s="5" t="n"/>
      <c r="H504" s="9" t="n"/>
      <c r="I504" s="9" t="n"/>
      <c r="J504" s="9" t="n"/>
      <c r="K504" s="5" t="n"/>
      <c r="L504" s="5" t="n"/>
      <c r="M504" s="12" t="n"/>
      <c r="N504" s="9" t="n"/>
    </row>
    <row r="505" ht="61.5" customHeight="1">
      <c r="A505" s="9" t="n"/>
      <c r="B505" s="9" t="n"/>
      <c r="C505" s="9" t="n"/>
      <c r="D505" s="9" t="n"/>
      <c r="E505" s="11" t="n"/>
      <c r="F505" s="13" t="n"/>
      <c r="G505" s="5" t="n"/>
      <c r="H505" s="9" t="n"/>
      <c r="I505" s="9" t="n"/>
      <c r="J505" s="9" t="n"/>
      <c r="K505" s="5" t="n"/>
      <c r="L505" s="5" t="n"/>
      <c r="M505" s="12" t="n"/>
      <c r="N505" s="9" t="n"/>
    </row>
    <row r="506" ht="61.5" customHeight="1">
      <c r="A506" s="9" t="n"/>
      <c r="B506" s="9" t="n"/>
      <c r="C506" s="9" t="n"/>
      <c r="D506" s="9" t="n"/>
      <c r="E506" s="11" t="n"/>
      <c r="F506" s="13" t="n"/>
      <c r="G506" s="5" t="n"/>
      <c r="H506" s="9" t="n"/>
      <c r="I506" s="9" t="n"/>
      <c r="J506" s="9" t="n"/>
      <c r="K506" s="5" t="n"/>
      <c r="L506" s="5" t="n"/>
      <c r="M506" s="12" t="n"/>
      <c r="N506" s="9" t="n"/>
    </row>
    <row r="507" ht="61.5" customHeight="1">
      <c r="A507" s="9" t="n"/>
      <c r="B507" s="9" t="n"/>
      <c r="C507" s="9" t="n"/>
      <c r="D507" s="9" t="n"/>
      <c r="E507" s="11" t="n"/>
      <c r="F507" s="13" t="n"/>
      <c r="G507" s="5" t="n"/>
      <c r="H507" s="9" t="n"/>
      <c r="I507" s="9" t="n"/>
      <c r="J507" s="9" t="n"/>
      <c r="K507" s="5" t="n"/>
      <c r="L507" s="5" t="n"/>
      <c r="M507" s="12" t="n"/>
      <c r="N507" s="9" t="n"/>
    </row>
    <row r="508" ht="61.5" customHeight="1">
      <c r="A508" s="9" t="n"/>
      <c r="B508" s="9" t="n"/>
      <c r="C508" s="9" t="n"/>
      <c r="D508" s="9" t="n"/>
      <c r="E508" s="11" t="n"/>
      <c r="F508" s="13" t="n"/>
      <c r="G508" s="5" t="n"/>
      <c r="H508" s="9" t="n"/>
      <c r="I508" s="9" t="n"/>
      <c r="J508" s="9" t="n"/>
      <c r="K508" s="5" t="n"/>
      <c r="L508" s="5" t="n"/>
      <c r="M508" s="12" t="n"/>
      <c r="N508" s="9" t="n"/>
    </row>
    <row r="509" ht="61.5" customHeight="1">
      <c r="A509" s="9" t="n"/>
      <c r="B509" s="9" t="n"/>
      <c r="C509" s="9" t="n"/>
      <c r="D509" s="9" t="n"/>
      <c r="E509" s="11" t="n"/>
      <c r="F509" s="13" t="n"/>
      <c r="G509" s="5" t="n"/>
      <c r="H509" s="9" t="n"/>
      <c r="I509" s="9" t="n"/>
      <c r="J509" s="9" t="n"/>
      <c r="K509" s="5" t="n"/>
      <c r="L509" s="5" t="n"/>
      <c r="M509" s="12" t="n"/>
      <c r="N509" s="9" t="n"/>
    </row>
    <row r="510" ht="61.5" customHeight="1">
      <c r="A510" s="9" t="n"/>
      <c r="B510" s="9" t="n"/>
      <c r="C510" s="9" t="n"/>
      <c r="D510" s="9" t="n"/>
      <c r="E510" s="11" t="n"/>
      <c r="F510" s="13" t="n"/>
      <c r="G510" s="5" t="n"/>
      <c r="H510" s="9" t="n"/>
      <c r="I510" s="9" t="n"/>
      <c r="J510" s="9" t="n"/>
      <c r="K510" s="5" t="n"/>
      <c r="L510" s="5" t="n"/>
      <c r="M510" s="12" t="n"/>
      <c r="N510" s="9" t="n"/>
    </row>
    <row r="511" ht="61.5" customHeight="1">
      <c r="A511" s="9" t="n"/>
      <c r="B511" s="9" t="n"/>
      <c r="C511" s="9" t="n"/>
      <c r="D511" s="9" t="n"/>
      <c r="E511" s="11" t="n"/>
      <c r="F511" s="13" t="n"/>
      <c r="G511" s="5" t="n"/>
      <c r="H511" s="9" t="n"/>
      <c r="I511" s="9" t="n"/>
      <c r="J511" s="9" t="n"/>
      <c r="K511" s="5" t="n"/>
      <c r="L511" s="5" t="n"/>
      <c r="M511" s="12" t="n"/>
      <c r="N511" s="9" t="n"/>
    </row>
    <row r="512" ht="61.5" customHeight="1">
      <c r="A512" s="9" t="n"/>
      <c r="B512" s="9" t="n"/>
      <c r="C512" s="9" t="n"/>
      <c r="D512" s="9" t="n"/>
      <c r="E512" s="11" t="n"/>
      <c r="F512" s="13" t="n"/>
      <c r="G512" s="5" t="n"/>
      <c r="H512" s="9" t="n"/>
      <c r="I512" s="9" t="n"/>
      <c r="J512" s="9" t="n"/>
      <c r="K512" s="5" t="n"/>
      <c r="L512" s="5" t="n"/>
      <c r="M512" s="12" t="n"/>
      <c r="N512" s="9" t="n"/>
    </row>
    <row r="513" ht="61.5" customHeight="1">
      <c r="A513" s="9" t="n"/>
      <c r="B513" s="9" t="n"/>
      <c r="C513" s="9" t="n"/>
      <c r="D513" s="9" t="n"/>
      <c r="E513" s="11" t="n"/>
      <c r="F513" s="13" t="n"/>
      <c r="G513" s="5" t="n"/>
      <c r="H513" s="9" t="n"/>
      <c r="I513" s="9" t="n"/>
      <c r="J513" s="9" t="n"/>
      <c r="K513" s="5" t="n"/>
      <c r="L513" s="5" t="n"/>
      <c r="M513" s="12" t="n"/>
      <c r="N513" s="9" t="n"/>
    </row>
    <row r="514" ht="61.5" customHeight="1">
      <c r="A514" s="9" t="n"/>
      <c r="B514" s="9" t="n"/>
      <c r="C514" s="9" t="n"/>
      <c r="D514" s="9" t="n"/>
      <c r="E514" s="11" t="n"/>
      <c r="F514" s="13" t="n"/>
      <c r="G514" s="5" t="n"/>
      <c r="H514" s="9" t="n"/>
      <c r="I514" s="9" t="n"/>
      <c r="J514" s="9" t="n"/>
      <c r="K514" s="5" t="n"/>
      <c r="L514" s="5" t="n"/>
      <c r="M514" s="12" t="n"/>
      <c r="N514" s="9" t="n"/>
    </row>
    <row r="515" ht="61.5" customHeight="1">
      <c r="A515" s="9" t="n"/>
      <c r="B515" s="9" t="n"/>
      <c r="C515" s="9" t="n"/>
      <c r="D515" s="9" t="n"/>
      <c r="E515" s="11" t="n"/>
      <c r="F515" s="13" t="n"/>
      <c r="G515" s="5" t="n"/>
      <c r="H515" s="9" t="n"/>
      <c r="I515" s="9" t="n"/>
      <c r="J515" s="9" t="n"/>
      <c r="K515" s="5" t="n"/>
      <c r="L515" s="5" t="n"/>
      <c r="M515" s="12" t="n"/>
      <c r="N515" s="9" t="n"/>
    </row>
    <row r="516" ht="61.5" customHeight="1">
      <c r="A516" s="9" t="n"/>
      <c r="B516" s="9" t="n"/>
      <c r="C516" s="9" t="n"/>
      <c r="D516" s="9" t="n"/>
      <c r="E516" s="11" t="n"/>
      <c r="F516" s="13" t="n"/>
      <c r="G516" s="5" t="n"/>
      <c r="H516" s="9" t="n"/>
      <c r="I516" s="9" t="n"/>
      <c r="J516" s="9" t="n"/>
      <c r="K516" s="5" t="n"/>
      <c r="L516" s="5" t="n"/>
      <c r="M516" s="12" t="n"/>
      <c r="N516" s="9" t="n"/>
    </row>
    <row r="517" ht="61.5" customHeight="1">
      <c r="A517" s="9" t="n"/>
      <c r="B517" s="9" t="n"/>
      <c r="C517" s="9" t="n"/>
      <c r="D517" s="9" t="n"/>
      <c r="E517" s="11" t="n"/>
      <c r="F517" s="13" t="n"/>
      <c r="G517" s="5" t="n"/>
      <c r="H517" s="9" t="n"/>
      <c r="I517" s="9" t="n"/>
      <c r="J517" s="9" t="n"/>
      <c r="K517" s="5" t="n"/>
      <c r="L517" s="5" t="n"/>
      <c r="M517" s="12" t="n"/>
      <c r="N517" s="9" t="n"/>
    </row>
    <row r="518" ht="61.5" customHeight="1">
      <c r="A518" s="9" t="n"/>
      <c r="B518" s="9" t="n"/>
      <c r="C518" s="9" t="n"/>
      <c r="D518" s="9" t="n"/>
      <c r="E518" s="11" t="n"/>
      <c r="F518" s="13" t="n"/>
      <c r="G518" s="5" t="n"/>
      <c r="H518" s="9" t="n"/>
      <c r="I518" s="9" t="n"/>
      <c r="J518" s="9" t="n"/>
      <c r="K518" s="5" t="n"/>
      <c r="L518" s="5" t="n"/>
      <c r="M518" s="12" t="n"/>
      <c r="N518" s="9" t="n"/>
    </row>
    <row r="519" ht="61.5" customHeight="1">
      <c r="A519" s="9" t="n"/>
      <c r="B519" s="9" t="n"/>
      <c r="C519" s="9" t="n"/>
      <c r="D519" s="9" t="n"/>
      <c r="E519" s="11" t="n"/>
      <c r="F519" s="13" t="n"/>
      <c r="G519" s="5" t="n"/>
      <c r="H519" s="9" t="n"/>
      <c r="I519" s="9" t="n"/>
      <c r="J519" s="9" t="n"/>
      <c r="K519" s="5" t="n"/>
      <c r="L519" s="5" t="n"/>
      <c r="M519" s="12" t="n"/>
      <c r="N519" s="9" t="n"/>
    </row>
    <row r="520" ht="61.5" customHeight="1">
      <c r="A520" s="9" t="n"/>
      <c r="B520" s="9" t="n"/>
      <c r="C520" s="9" t="n"/>
      <c r="D520" s="9" t="n"/>
      <c r="E520" s="11" t="n"/>
      <c r="F520" s="13" t="n"/>
      <c r="G520" s="5" t="n"/>
      <c r="H520" s="9" t="n"/>
      <c r="I520" s="9" t="n"/>
      <c r="J520" s="9" t="n"/>
      <c r="K520" s="5" t="n"/>
      <c r="L520" s="5" t="n"/>
      <c r="M520" s="12" t="n"/>
      <c r="N520" s="9" t="n"/>
    </row>
    <row r="521" ht="61.5" customHeight="1">
      <c r="A521" s="9" t="n"/>
      <c r="B521" s="9" t="n"/>
      <c r="C521" s="9" t="n"/>
      <c r="D521" s="9" t="n"/>
      <c r="E521" s="11" t="n"/>
      <c r="F521" s="13" t="n"/>
      <c r="G521" s="5" t="n"/>
      <c r="H521" s="9" t="n"/>
      <c r="I521" s="9" t="n"/>
      <c r="J521" s="9" t="n"/>
      <c r="K521" s="5" t="n"/>
      <c r="L521" s="5" t="n"/>
      <c r="M521" s="12" t="n"/>
      <c r="N521" s="9" t="n"/>
    </row>
    <row r="522" ht="61.5" customHeight="1">
      <c r="A522" s="9" t="n"/>
      <c r="B522" s="9" t="n"/>
      <c r="C522" s="9" t="n"/>
      <c r="D522" s="9" t="n"/>
      <c r="E522" s="11" t="n"/>
      <c r="F522" s="13" t="n"/>
      <c r="G522" s="5" t="n"/>
      <c r="H522" s="9" t="n"/>
      <c r="I522" s="9" t="n"/>
      <c r="J522" s="9" t="n"/>
      <c r="K522" s="5" t="n"/>
      <c r="L522" s="5" t="n"/>
      <c r="M522" s="12" t="n"/>
      <c r="N522" s="9" t="n"/>
    </row>
    <row r="523" ht="61.5" customHeight="1">
      <c r="A523" s="9" t="n"/>
      <c r="B523" s="9" t="n"/>
      <c r="C523" s="9" t="n"/>
      <c r="D523" s="9" t="n"/>
      <c r="E523" s="11" t="n"/>
      <c r="F523" s="13" t="n"/>
      <c r="G523" s="5" t="n"/>
      <c r="H523" s="9" t="n"/>
      <c r="I523" s="9" t="n"/>
      <c r="J523" s="9" t="n"/>
      <c r="K523" s="5" t="n"/>
      <c r="L523" s="5" t="n"/>
      <c r="M523" s="12" t="n"/>
      <c r="N523" s="9" t="n"/>
    </row>
    <row r="524" ht="61.5" customHeight="1">
      <c r="A524" s="9" t="n"/>
      <c r="B524" s="9" t="n"/>
      <c r="C524" s="9" t="n"/>
      <c r="D524" s="9" t="n"/>
      <c r="E524" s="11" t="n"/>
      <c r="F524" s="13" t="n"/>
      <c r="G524" s="5" t="n"/>
      <c r="H524" s="9" t="n"/>
      <c r="I524" s="9" t="n"/>
      <c r="J524" s="9" t="n"/>
      <c r="K524" s="5" t="n"/>
      <c r="L524" s="5" t="n"/>
      <c r="M524" s="12" t="n"/>
      <c r="N524" s="9" t="n"/>
    </row>
    <row r="525" ht="61.5" customHeight="1">
      <c r="A525" s="9" t="n"/>
      <c r="B525" s="9" t="n"/>
      <c r="C525" s="9" t="n"/>
      <c r="D525" s="9" t="n"/>
      <c r="E525" s="11" t="n"/>
      <c r="F525" s="13" t="n"/>
      <c r="G525" s="5" t="n"/>
      <c r="H525" s="9" t="n"/>
      <c r="I525" s="9" t="n"/>
      <c r="J525" s="9" t="n"/>
      <c r="K525" s="5" t="n"/>
      <c r="L525" s="5" t="n"/>
      <c r="M525" s="12" t="n"/>
      <c r="N525" s="9" t="n"/>
    </row>
    <row r="526" ht="61.5" customHeight="1">
      <c r="A526" s="9" t="n"/>
      <c r="B526" s="9" t="n"/>
      <c r="C526" s="9" t="n"/>
      <c r="D526" s="9" t="n"/>
      <c r="E526" s="11" t="n"/>
      <c r="F526" s="13" t="n"/>
      <c r="G526" s="5" t="n"/>
      <c r="H526" s="9" t="n"/>
      <c r="I526" s="9" t="n"/>
      <c r="J526" s="9" t="n"/>
      <c r="K526" s="5" t="n"/>
      <c r="L526" s="5" t="n"/>
      <c r="M526" s="12" t="n"/>
      <c r="N526" s="9" t="n"/>
    </row>
    <row r="527" ht="61.5" customHeight="1">
      <c r="A527" s="9" t="n"/>
      <c r="B527" s="9" t="n"/>
      <c r="C527" s="9" t="n"/>
      <c r="D527" s="9" t="n"/>
      <c r="E527" s="11" t="n"/>
      <c r="F527" s="13" t="n"/>
      <c r="G527" s="5" t="n"/>
      <c r="H527" s="9" t="n"/>
      <c r="I527" s="9" t="n"/>
      <c r="J527" s="9" t="n"/>
      <c r="K527" s="5" t="n"/>
      <c r="L527" s="5" t="n"/>
      <c r="M527" s="12" t="n"/>
      <c r="N527" s="9" t="n"/>
    </row>
    <row r="528" ht="61.5" customHeight="1">
      <c r="A528" s="9" t="n"/>
      <c r="B528" s="9" t="n"/>
      <c r="C528" s="9" t="n"/>
      <c r="D528" s="9" t="n"/>
      <c r="E528" s="11" t="n"/>
      <c r="F528" s="13" t="n"/>
      <c r="G528" s="5" t="n"/>
      <c r="H528" s="9" t="n"/>
      <c r="I528" s="9" t="n"/>
      <c r="J528" s="9" t="n"/>
      <c r="K528" s="5" t="n"/>
      <c r="L528" s="5" t="n"/>
      <c r="M528" s="12" t="n"/>
      <c r="N528" s="9" t="n"/>
    </row>
    <row r="529" ht="61.5" customHeight="1">
      <c r="A529" s="9" t="n"/>
      <c r="B529" s="9" t="n"/>
      <c r="C529" s="9" t="n"/>
      <c r="D529" s="9" t="n"/>
      <c r="E529" s="11" t="n"/>
      <c r="F529" s="13" t="n"/>
      <c r="G529" s="5" t="n"/>
      <c r="H529" s="9" t="n"/>
      <c r="I529" s="9" t="n"/>
      <c r="J529" s="9" t="n"/>
      <c r="K529" s="5" t="n"/>
      <c r="L529" s="5" t="n"/>
      <c r="M529" s="12" t="n"/>
      <c r="N529" s="9" t="n"/>
    </row>
    <row r="530" ht="61.5" customHeight="1">
      <c r="A530" s="9" t="n"/>
      <c r="B530" s="9" t="n"/>
      <c r="C530" s="9" t="n"/>
      <c r="D530" s="9" t="n"/>
      <c r="E530" s="11" t="n"/>
      <c r="F530" s="13" t="n"/>
      <c r="G530" s="5" t="n"/>
      <c r="H530" s="9" t="n"/>
      <c r="I530" s="9" t="n"/>
      <c r="J530" s="9" t="n"/>
      <c r="K530" s="5" t="n"/>
      <c r="L530" s="5" t="n"/>
      <c r="M530" s="12" t="n"/>
      <c r="N530" s="9" t="n"/>
    </row>
    <row r="531" ht="61.5" customHeight="1">
      <c r="A531" s="9" t="n"/>
      <c r="B531" s="9" t="n"/>
      <c r="C531" s="9" t="n"/>
      <c r="D531" s="9" t="n"/>
      <c r="E531" s="11" t="n"/>
      <c r="F531" s="13" t="n"/>
      <c r="G531" s="5" t="n"/>
      <c r="H531" s="9" t="n"/>
      <c r="I531" s="9" t="n"/>
      <c r="J531" s="9" t="n"/>
      <c r="K531" s="5" t="n"/>
      <c r="L531" s="5" t="n"/>
      <c r="M531" s="12" t="n"/>
      <c r="N531" s="9" t="n"/>
    </row>
    <row r="532" ht="61.5" customHeight="1">
      <c r="A532" s="9" t="n"/>
      <c r="B532" s="9" t="n"/>
      <c r="C532" s="9" t="n"/>
      <c r="D532" s="9" t="n"/>
      <c r="E532" s="11" t="n"/>
      <c r="F532" s="13" t="n"/>
      <c r="G532" s="5" t="n"/>
      <c r="H532" s="9" t="n"/>
      <c r="I532" s="9" t="n"/>
      <c r="J532" s="9" t="n"/>
      <c r="K532" s="5" t="n"/>
      <c r="L532" s="5" t="n"/>
      <c r="M532" s="12" t="n"/>
      <c r="N532" s="9" t="n"/>
    </row>
    <row r="533" ht="61.5" customHeight="1">
      <c r="A533" s="9" t="n"/>
      <c r="B533" s="9" t="n"/>
      <c r="C533" s="9" t="n"/>
      <c r="D533" s="9" t="n"/>
      <c r="E533" s="11" t="n"/>
      <c r="F533" s="13" t="n"/>
      <c r="G533" s="5" t="n"/>
      <c r="H533" s="9" t="n"/>
      <c r="I533" s="9" t="n"/>
      <c r="J533" s="9" t="n"/>
      <c r="K533" s="5" t="n"/>
      <c r="L533" s="5" t="n"/>
      <c r="M533" s="12" t="n"/>
      <c r="N533" s="9" t="n"/>
    </row>
    <row r="534" ht="61.5" customHeight="1">
      <c r="A534" s="9" t="n"/>
      <c r="B534" s="9" t="n"/>
      <c r="C534" s="9" t="n"/>
      <c r="D534" s="9" t="n"/>
      <c r="E534" s="11" t="n"/>
      <c r="F534" s="13" t="n"/>
      <c r="G534" s="5" t="n"/>
      <c r="H534" s="9" t="n"/>
      <c r="I534" s="9" t="n"/>
      <c r="J534" s="9" t="n"/>
      <c r="K534" s="5" t="n"/>
      <c r="L534" s="5" t="n"/>
      <c r="M534" s="12" t="n"/>
      <c r="N534" s="9" t="n"/>
    </row>
    <row r="535" ht="61.5" customHeight="1">
      <c r="A535" s="9" t="n"/>
      <c r="B535" s="9" t="n"/>
      <c r="C535" s="9" t="n"/>
      <c r="D535" s="9" t="n"/>
      <c r="E535" s="11" t="n"/>
      <c r="F535" s="13" t="n"/>
      <c r="G535" s="5" t="n"/>
      <c r="H535" s="9" t="n"/>
      <c r="I535" s="9" t="n"/>
      <c r="J535" s="9" t="n"/>
      <c r="K535" s="5" t="n"/>
      <c r="L535" s="5" t="n"/>
      <c r="M535" s="12" t="n"/>
      <c r="N535" s="9" t="n"/>
    </row>
    <row r="536" ht="61.5" customHeight="1">
      <c r="A536" s="9" t="n"/>
      <c r="B536" s="9" t="n"/>
      <c r="C536" s="9" t="n"/>
      <c r="D536" s="9" t="n"/>
      <c r="E536" s="11" t="n"/>
      <c r="F536" s="13" t="n"/>
      <c r="G536" s="5" t="n"/>
      <c r="H536" s="9" t="n"/>
      <c r="I536" s="9" t="n"/>
      <c r="J536" s="9" t="n"/>
      <c r="K536" s="5" t="n"/>
      <c r="L536" s="5" t="n"/>
      <c r="M536" s="12" t="n"/>
      <c r="N536" s="9" t="n"/>
    </row>
    <row r="537" ht="61.5" customHeight="1">
      <c r="A537" s="9" t="n"/>
      <c r="B537" s="9" t="n"/>
      <c r="C537" s="9" t="n"/>
      <c r="D537" s="9" t="n"/>
      <c r="E537" s="11" t="n"/>
      <c r="F537" s="13" t="n"/>
      <c r="G537" s="5" t="n"/>
      <c r="H537" s="9" t="n"/>
      <c r="I537" s="9" t="n"/>
      <c r="J537" s="9" t="n"/>
      <c r="K537" s="5" t="n"/>
      <c r="L537" s="5" t="n"/>
      <c r="M537" s="12" t="n"/>
      <c r="N537" s="9" t="n"/>
    </row>
    <row r="538" ht="61.5" customHeight="1">
      <c r="A538" s="9" t="n"/>
      <c r="B538" s="9" t="n"/>
      <c r="C538" s="9" t="n"/>
      <c r="D538" s="9" t="n"/>
      <c r="E538" s="11" t="n"/>
      <c r="F538" s="13" t="n"/>
      <c r="G538" s="5" t="n"/>
      <c r="H538" s="9" t="n"/>
      <c r="I538" s="9" t="n"/>
      <c r="J538" s="9" t="n"/>
      <c r="K538" s="5" t="n"/>
      <c r="L538" s="5" t="n"/>
      <c r="M538" s="12" t="n"/>
      <c r="N538" s="9" t="n"/>
    </row>
    <row r="539" ht="61.5" customHeight="1">
      <c r="A539" s="9" t="n"/>
      <c r="B539" s="9" t="n"/>
      <c r="C539" s="9" t="n"/>
      <c r="D539" s="9" t="n"/>
      <c r="E539" s="11" t="n"/>
      <c r="F539" s="13" t="n"/>
      <c r="G539" s="5" t="n"/>
      <c r="H539" s="9" t="n"/>
      <c r="I539" s="9" t="n"/>
      <c r="J539" s="9" t="n"/>
      <c r="K539" s="5" t="n"/>
      <c r="L539" s="5" t="n"/>
      <c r="M539" s="12" t="n"/>
      <c r="N539" s="9" t="n"/>
    </row>
    <row r="540" ht="61.5" customHeight="1">
      <c r="A540" s="9" t="n"/>
      <c r="B540" s="9" t="n"/>
      <c r="C540" s="9" t="n"/>
      <c r="D540" s="9" t="n"/>
      <c r="E540" s="11" t="n"/>
      <c r="F540" s="13" t="n"/>
      <c r="G540" s="5" t="n"/>
      <c r="H540" s="9" t="n"/>
      <c r="I540" s="9" t="n"/>
      <c r="J540" s="9" t="n"/>
      <c r="K540" s="5" t="n"/>
      <c r="L540" s="5" t="n"/>
      <c r="M540" s="12" t="n"/>
      <c r="N540" s="9" t="n"/>
    </row>
    <row r="541" ht="61.5" customHeight="1">
      <c r="A541" s="9" t="n"/>
      <c r="B541" s="9" t="n"/>
      <c r="C541" s="9" t="n"/>
      <c r="D541" s="9" t="n"/>
      <c r="E541" s="11" t="n"/>
      <c r="F541" s="13" t="n"/>
      <c r="G541" s="5" t="n"/>
      <c r="H541" s="9" t="n"/>
      <c r="I541" s="9" t="n"/>
      <c r="J541" s="9" t="n"/>
      <c r="K541" s="5" t="n"/>
      <c r="L541" s="5" t="n"/>
      <c r="M541" s="12" t="n"/>
      <c r="N541" s="9" t="n"/>
    </row>
    <row r="542" ht="61.5" customHeight="1">
      <c r="A542" s="9" t="n"/>
      <c r="B542" s="9" t="n"/>
      <c r="C542" s="9" t="n"/>
      <c r="D542" s="9" t="n"/>
      <c r="E542" s="11" t="n"/>
      <c r="F542" s="13" t="n"/>
      <c r="G542" s="5" t="n"/>
      <c r="H542" s="9" t="n"/>
      <c r="I542" s="9" t="n"/>
      <c r="J542" s="9" t="n"/>
      <c r="K542" s="5" t="n"/>
      <c r="L542" s="5" t="n"/>
      <c r="M542" s="12" t="n"/>
      <c r="N542" s="9" t="n"/>
    </row>
    <row r="543" ht="61.5" customHeight="1">
      <c r="A543" s="9" t="n"/>
      <c r="B543" s="9" t="n"/>
      <c r="C543" s="9" t="n"/>
      <c r="D543" s="9" t="n"/>
      <c r="E543" s="11" t="n"/>
      <c r="F543" s="13" t="n"/>
      <c r="G543" s="5" t="n"/>
      <c r="H543" s="9" t="n"/>
      <c r="I543" s="9" t="n"/>
      <c r="J543" s="9" t="n"/>
      <c r="K543" s="5" t="n"/>
      <c r="L543" s="5" t="n"/>
      <c r="M543" s="12" t="n"/>
      <c r="N543" s="9" t="n"/>
    </row>
    <row r="544" ht="61.5" customHeight="1">
      <c r="A544" s="9" t="n"/>
      <c r="B544" s="9" t="n"/>
      <c r="C544" s="9" t="n"/>
      <c r="D544" s="9" t="n"/>
      <c r="E544" s="11" t="n"/>
      <c r="F544" s="13" t="n"/>
      <c r="G544" s="5" t="n"/>
      <c r="H544" s="9" t="n"/>
      <c r="I544" s="9" t="n"/>
      <c r="J544" s="9" t="n"/>
      <c r="K544" s="5" t="n"/>
      <c r="L544" s="5" t="n"/>
      <c r="M544" s="12" t="n"/>
      <c r="N544" s="9" t="n"/>
    </row>
    <row r="545" ht="61.5" customHeight="1">
      <c r="A545" s="9" t="n"/>
      <c r="B545" s="9" t="n"/>
      <c r="C545" s="9" t="n"/>
      <c r="D545" s="9" t="n"/>
      <c r="E545" s="11" t="n"/>
      <c r="F545" s="13" t="n"/>
      <c r="G545" s="5" t="n"/>
      <c r="H545" s="9" t="n"/>
      <c r="I545" s="9" t="n"/>
      <c r="J545" s="9" t="n"/>
      <c r="K545" s="5" t="n"/>
      <c r="L545" s="5" t="n"/>
      <c r="M545" s="12" t="n"/>
      <c r="N545" s="9" t="n"/>
    </row>
    <row r="546" ht="61.5" customHeight="1">
      <c r="A546" s="9" t="n"/>
      <c r="B546" s="9" t="n"/>
      <c r="C546" s="9" t="n"/>
      <c r="D546" s="9" t="n"/>
      <c r="E546" s="11" t="n"/>
      <c r="F546" s="13" t="n"/>
      <c r="G546" s="5" t="n"/>
      <c r="H546" s="9" t="n"/>
      <c r="I546" s="9" t="n"/>
      <c r="J546" s="9" t="n"/>
      <c r="K546" s="5" t="n"/>
      <c r="L546" s="5" t="n"/>
      <c r="M546" s="12" t="n"/>
      <c r="N546" s="9" t="n"/>
    </row>
    <row r="547" ht="61.5" customHeight="1">
      <c r="A547" s="9" t="n"/>
      <c r="B547" s="9" t="n"/>
      <c r="C547" s="9" t="n"/>
      <c r="D547" s="9" t="n"/>
      <c r="E547" s="11" t="n"/>
      <c r="F547" s="13" t="n"/>
      <c r="G547" s="5" t="n"/>
      <c r="H547" s="9" t="n"/>
      <c r="I547" s="9" t="n"/>
      <c r="J547" s="9" t="n"/>
      <c r="K547" s="5" t="n"/>
      <c r="L547" s="5" t="n"/>
      <c r="M547" s="12" t="n"/>
      <c r="N547" s="9" t="n"/>
    </row>
    <row r="548" ht="61.5" customHeight="1">
      <c r="A548" s="9" t="n"/>
      <c r="B548" s="9" t="n"/>
      <c r="C548" s="9" t="n"/>
      <c r="D548" s="9" t="n"/>
      <c r="E548" s="11" t="n"/>
      <c r="F548" s="13" t="n"/>
      <c r="G548" s="5" t="n"/>
      <c r="H548" s="9" t="n"/>
      <c r="I548" s="9" t="n"/>
      <c r="J548" s="9" t="n"/>
      <c r="K548" s="5" t="n"/>
      <c r="L548" s="5" t="n"/>
      <c r="M548" s="12" t="n"/>
      <c r="N548" s="9" t="n"/>
    </row>
    <row r="549" ht="61.5" customHeight="1">
      <c r="A549" s="9" t="n"/>
      <c r="B549" s="9" t="n"/>
      <c r="C549" s="9" t="n"/>
      <c r="D549" s="9" t="n"/>
      <c r="E549" s="11" t="n"/>
      <c r="F549" s="13" t="n"/>
      <c r="G549" s="5" t="n"/>
      <c r="H549" s="9" t="n"/>
      <c r="I549" s="9" t="n"/>
      <c r="J549" s="9" t="n"/>
      <c r="K549" s="5" t="n"/>
      <c r="L549" s="5" t="n"/>
      <c r="M549" s="12" t="n"/>
      <c r="N549" s="9" t="n"/>
    </row>
    <row r="550" ht="61.5" customHeight="1">
      <c r="A550" s="9" t="n"/>
      <c r="B550" s="9" t="n"/>
      <c r="C550" s="9" t="n"/>
      <c r="D550" s="9" t="n"/>
      <c r="E550" s="11" t="n"/>
      <c r="F550" s="13" t="n"/>
      <c r="G550" s="5" t="n"/>
      <c r="H550" s="9" t="n"/>
      <c r="I550" s="9" t="n"/>
      <c r="J550" s="9" t="n"/>
      <c r="K550" s="5" t="n"/>
      <c r="L550" s="5" t="n"/>
      <c r="M550" s="12" t="n"/>
      <c r="N550" s="9" t="n"/>
    </row>
    <row r="551" ht="61.5" customHeight="1">
      <c r="A551" s="9" t="n"/>
      <c r="B551" s="9" t="n"/>
      <c r="C551" s="9" t="n"/>
      <c r="D551" s="9" t="n"/>
      <c r="E551" s="11" t="n"/>
      <c r="F551" s="13" t="n"/>
      <c r="G551" s="5" t="n"/>
      <c r="H551" s="9" t="n"/>
      <c r="I551" s="9" t="n"/>
      <c r="J551" s="9" t="n"/>
      <c r="K551" s="5" t="n"/>
      <c r="L551" s="5" t="n"/>
      <c r="M551" s="12" t="n"/>
      <c r="N551" s="9" t="n"/>
    </row>
    <row r="552" ht="61.5" customHeight="1">
      <c r="A552" s="9" t="n"/>
      <c r="B552" s="9" t="n"/>
      <c r="C552" s="9" t="n"/>
      <c r="D552" s="9" t="n"/>
      <c r="E552" s="11" t="n"/>
      <c r="F552" s="13" t="n"/>
      <c r="G552" s="5" t="n"/>
      <c r="H552" s="9" t="n"/>
      <c r="I552" s="9" t="n"/>
      <c r="J552" s="9" t="n"/>
      <c r="K552" s="5" t="n"/>
      <c r="L552" s="5" t="n"/>
      <c r="M552" s="12" t="n"/>
      <c r="N552" s="9" t="n"/>
    </row>
    <row r="553" ht="61.5" customHeight="1">
      <c r="A553" s="9" t="n"/>
      <c r="B553" s="9" t="n"/>
      <c r="C553" s="9" t="n"/>
      <c r="D553" s="9" t="n"/>
      <c r="E553" s="11" t="n"/>
      <c r="F553" s="13" t="n"/>
      <c r="G553" s="5" t="n"/>
      <c r="H553" s="9" t="n"/>
      <c r="I553" s="9" t="n"/>
      <c r="J553" s="9" t="n"/>
      <c r="K553" s="5" t="n"/>
      <c r="L553" s="5" t="n"/>
      <c r="M553" s="12" t="n"/>
      <c r="N553" s="9" t="n"/>
    </row>
    <row r="554" ht="61.5" customHeight="1">
      <c r="A554" s="9" t="n"/>
      <c r="B554" s="9" t="n"/>
      <c r="C554" s="9" t="n"/>
      <c r="D554" s="9" t="n"/>
      <c r="E554" s="11" t="n"/>
      <c r="F554" s="13" t="n"/>
      <c r="G554" s="5" t="n"/>
      <c r="H554" s="9" t="n"/>
      <c r="I554" s="9" t="n"/>
      <c r="J554" s="9" t="n"/>
      <c r="K554" s="5" t="n"/>
      <c r="L554" s="5" t="n"/>
      <c r="M554" s="12" t="n"/>
      <c r="N554" s="9" t="n"/>
    </row>
    <row r="555" ht="61.5" customHeight="1">
      <c r="A555" s="9" t="n"/>
      <c r="B555" s="9" t="n"/>
      <c r="C555" s="9" t="n"/>
      <c r="D555" s="9" t="n"/>
      <c r="E555" s="11" t="n"/>
      <c r="F555" s="13" t="n"/>
      <c r="G555" s="5" t="n"/>
      <c r="H555" s="9" t="n"/>
      <c r="I555" s="9" t="n"/>
      <c r="J555" s="9" t="n"/>
      <c r="K555" s="5" t="n"/>
      <c r="L555" s="5" t="n"/>
      <c r="M555" s="12" t="n"/>
      <c r="N555" s="9" t="n"/>
    </row>
    <row r="556" ht="61.5" customHeight="1">
      <c r="A556" s="9" t="n"/>
      <c r="B556" s="9" t="n"/>
      <c r="C556" s="9" t="n"/>
      <c r="D556" s="9" t="n"/>
      <c r="E556" s="11" t="n"/>
      <c r="F556" s="13" t="n"/>
      <c r="G556" s="5" t="n"/>
      <c r="H556" s="9" t="n"/>
      <c r="I556" s="9" t="n"/>
      <c r="J556" s="9" t="n"/>
      <c r="K556" s="5" t="n"/>
      <c r="L556" s="5" t="n"/>
      <c r="M556" s="12" t="n"/>
      <c r="N556" s="9" t="n"/>
    </row>
    <row r="557" ht="61.5" customHeight="1">
      <c r="A557" s="9" t="n"/>
      <c r="B557" s="9" t="n"/>
      <c r="C557" s="9" t="n"/>
      <c r="D557" s="9" t="n"/>
      <c r="E557" s="11" t="n"/>
      <c r="F557" s="13" t="n"/>
      <c r="G557" s="5" t="n"/>
      <c r="H557" s="9" t="n"/>
      <c r="I557" s="9" t="n"/>
      <c r="J557" s="9" t="n"/>
      <c r="K557" s="5" t="n"/>
      <c r="L557" s="5" t="n"/>
      <c r="M557" s="12" t="n"/>
      <c r="N557" s="9" t="n"/>
    </row>
    <row r="558" ht="61.5" customHeight="1">
      <c r="A558" s="9" t="n"/>
      <c r="B558" s="9" t="n"/>
      <c r="C558" s="9" t="n"/>
      <c r="D558" s="9" t="n"/>
      <c r="E558" s="11" t="n"/>
      <c r="F558" s="13" t="n"/>
      <c r="G558" s="5" t="n"/>
      <c r="H558" s="9" t="n"/>
      <c r="I558" s="9" t="n"/>
      <c r="J558" s="9" t="n"/>
      <c r="K558" s="5" t="n"/>
      <c r="L558" s="5" t="n"/>
      <c r="M558" s="12" t="n"/>
      <c r="N558" s="9" t="n"/>
    </row>
    <row r="559" ht="61.5" customHeight="1">
      <c r="A559" s="9" t="n"/>
      <c r="B559" s="9" t="n"/>
      <c r="C559" s="9" t="n"/>
      <c r="D559" s="9" t="n"/>
      <c r="E559" s="11" t="n"/>
      <c r="F559" s="13" t="n"/>
      <c r="G559" s="5" t="n"/>
      <c r="H559" s="9" t="n"/>
      <c r="I559" s="9" t="n"/>
      <c r="J559" s="9" t="n"/>
      <c r="K559" s="5" t="n"/>
      <c r="L559" s="5" t="n"/>
      <c r="M559" s="12" t="n"/>
      <c r="N559" s="9" t="n"/>
    </row>
    <row r="560" ht="61.5" customHeight="1">
      <c r="A560" s="9" t="n"/>
      <c r="B560" s="9" t="n"/>
      <c r="C560" s="9" t="n"/>
      <c r="D560" s="9" t="n"/>
      <c r="E560" s="11" t="n"/>
      <c r="F560" s="13" t="n"/>
      <c r="G560" s="5" t="n"/>
      <c r="H560" s="9" t="n"/>
      <c r="I560" s="9" t="n"/>
      <c r="J560" s="9" t="n"/>
      <c r="K560" s="5" t="n"/>
      <c r="L560" s="5" t="n"/>
      <c r="M560" s="12" t="n"/>
      <c r="N560" s="9" t="n"/>
    </row>
    <row r="561" ht="61.5" customHeight="1">
      <c r="A561" s="9" t="n"/>
      <c r="B561" s="9" t="n"/>
      <c r="C561" s="9" t="n"/>
      <c r="D561" s="9" t="n"/>
      <c r="E561" s="11" t="n"/>
      <c r="F561" s="13" t="n"/>
      <c r="G561" s="5" t="n"/>
      <c r="H561" s="9" t="n"/>
      <c r="I561" s="9" t="n"/>
      <c r="J561" s="9" t="n"/>
      <c r="K561" s="5" t="n"/>
      <c r="L561" s="5" t="n"/>
      <c r="M561" s="12" t="n"/>
      <c r="N561" s="9" t="n"/>
    </row>
    <row r="562" ht="61.5" customHeight="1">
      <c r="A562" s="9" t="n"/>
      <c r="B562" s="9" t="n"/>
      <c r="C562" s="9" t="n"/>
      <c r="D562" s="9" t="n"/>
      <c r="E562" s="11" t="n"/>
      <c r="F562" s="13" t="n"/>
      <c r="G562" s="5" t="n"/>
      <c r="H562" s="9" t="n"/>
      <c r="I562" s="9" t="n"/>
      <c r="J562" s="9" t="n"/>
      <c r="K562" s="5" t="n"/>
      <c r="L562" s="5" t="n"/>
      <c r="M562" s="12" t="n"/>
      <c r="N562" s="9" t="n"/>
    </row>
    <row r="563" ht="61.5" customHeight="1">
      <c r="A563" s="9" t="n"/>
      <c r="B563" s="9" t="n"/>
      <c r="C563" s="9" t="n"/>
      <c r="D563" s="9" t="n"/>
      <c r="E563" s="11" t="n"/>
      <c r="F563" s="13" t="n"/>
      <c r="G563" s="5" t="n"/>
      <c r="H563" s="9" t="n"/>
      <c r="I563" s="9" t="n"/>
      <c r="J563" s="9" t="n"/>
      <c r="K563" s="5" t="n"/>
      <c r="L563" s="5" t="n"/>
      <c r="M563" s="12" t="n"/>
      <c r="N563" s="9" t="n"/>
    </row>
    <row r="564" ht="61.5" customHeight="1">
      <c r="A564" s="9" t="n"/>
      <c r="B564" s="9" t="n"/>
      <c r="C564" s="9" t="n"/>
      <c r="D564" s="9" t="n"/>
      <c r="E564" s="11" t="n"/>
      <c r="F564" s="13" t="n"/>
      <c r="G564" s="5" t="n"/>
      <c r="H564" s="9" t="n"/>
      <c r="I564" s="9" t="n"/>
      <c r="J564" s="9" t="n"/>
      <c r="K564" s="5" t="n"/>
      <c r="L564" s="5" t="n"/>
      <c r="M564" s="12" t="n"/>
      <c r="N564" s="9" t="n"/>
    </row>
    <row r="565" ht="61.5" customHeight="1">
      <c r="A565" s="9" t="n"/>
      <c r="B565" s="9" t="n"/>
      <c r="C565" s="9" t="n"/>
      <c r="D565" s="9" t="n"/>
      <c r="E565" s="11" t="n"/>
      <c r="F565" s="13" t="n"/>
      <c r="G565" s="5" t="n"/>
      <c r="H565" s="9" t="n"/>
      <c r="I565" s="9" t="n"/>
      <c r="J565" s="9" t="n"/>
      <c r="K565" s="5" t="n"/>
      <c r="L565" s="5" t="n"/>
      <c r="M565" s="12" t="n"/>
      <c r="N565" s="9" t="n"/>
    </row>
    <row r="566" ht="61.5" customHeight="1">
      <c r="A566" s="9" t="n"/>
      <c r="B566" s="9" t="n"/>
      <c r="C566" s="9" t="n"/>
      <c r="D566" s="9" t="n"/>
      <c r="E566" s="11" t="n"/>
      <c r="F566" s="13" t="n"/>
      <c r="G566" s="5" t="n"/>
      <c r="H566" s="9" t="n"/>
      <c r="I566" s="9" t="n"/>
      <c r="J566" s="9" t="n"/>
      <c r="K566" s="5" t="n"/>
      <c r="L566" s="5" t="n"/>
      <c r="M566" s="12" t="n"/>
      <c r="N566" s="9" t="n"/>
    </row>
    <row r="567" ht="61.5" customHeight="1">
      <c r="A567" s="9" t="n"/>
      <c r="B567" s="9" t="n"/>
      <c r="C567" s="9" t="n"/>
      <c r="D567" s="9" t="n"/>
      <c r="E567" s="11" t="n"/>
      <c r="F567" s="13" t="n"/>
      <c r="G567" s="5" t="n"/>
      <c r="H567" s="9" t="n"/>
      <c r="I567" s="9" t="n"/>
      <c r="J567" s="9" t="n"/>
      <c r="K567" s="5" t="n"/>
      <c r="L567" s="5" t="n"/>
      <c r="M567" s="12" t="n"/>
      <c r="N567" s="9" t="n"/>
    </row>
    <row r="568" ht="61.5" customHeight="1">
      <c r="A568" s="9" t="n"/>
      <c r="B568" s="9" t="n"/>
      <c r="C568" s="9" t="n"/>
      <c r="D568" s="9" t="n"/>
      <c r="E568" s="11" t="n"/>
      <c r="F568" s="13" t="n"/>
      <c r="G568" s="5" t="n"/>
      <c r="H568" s="9" t="n"/>
      <c r="I568" s="9" t="n"/>
      <c r="J568" s="9" t="n"/>
      <c r="K568" s="5" t="n"/>
      <c r="L568" s="5" t="n"/>
      <c r="M568" s="12" t="n"/>
      <c r="N568" s="9" t="n"/>
    </row>
    <row r="569" ht="61.5" customHeight="1">
      <c r="A569" s="9" t="n"/>
      <c r="B569" s="9" t="n"/>
      <c r="C569" s="9" t="n"/>
      <c r="D569" s="9" t="n"/>
      <c r="E569" s="11" t="n"/>
      <c r="F569" s="13" t="n"/>
      <c r="G569" s="5" t="n"/>
      <c r="H569" s="9" t="n"/>
      <c r="I569" s="9" t="n"/>
      <c r="J569" s="9" t="n"/>
      <c r="K569" s="5" t="n"/>
      <c r="L569" s="5" t="n"/>
      <c r="M569" s="12" t="n"/>
      <c r="N569" s="9" t="n"/>
    </row>
    <row r="570" ht="61.5" customHeight="1">
      <c r="A570" s="9" t="n"/>
      <c r="B570" s="9" t="n"/>
      <c r="C570" s="9" t="n"/>
      <c r="D570" s="9" t="n"/>
      <c r="E570" s="11" t="n"/>
      <c r="F570" s="13" t="n"/>
      <c r="G570" s="5" t="n"/>
      <c r="H570" s="9" t="n"/>
      <c r="I570" s="9" t="n"/>
      <c r="J570" s="9" t="n"/>
      <c r="K570" s="5" t="n"/>
      <c r="L570" s="5" t="n"/>
      <c r="M570" s="12" t="n"/>
      <c r="N570" s="9" t="n"/>
    </row>
    <row r="571" ht="61.5" customHeight="1">
      <c r="A571" s="9" t="n"/>
      <c r="B571" s="9" t="n"/>
      <c r="C571" s="9" t="n"/>
      <c r="D571" s="9" t="n"/>
      <c r="E571" s="11" t="n"/>
      <c r="F571" s="13" t="n"/>
      <c r="G571" s="5" t="n"/>
      <c r="H571" s="9" t="n"/>
      <c r="I571" s="9" t="n"/>
      <c r="J571" s="9" t="n"/>
      <c r="K571" s="5" t="n"/>
      <c r="L571" s="5" t="n"/>
      <c r="M571" s="12" t="n"/>
      <c r="N571" s="9" t="n"/>
    </row>
    <row r="572" ht="61.5" customHeight="1">
      <c r="A572" s="9" t="n"/>
      <c r="B572" s="9" t="n"/>
      <c r="C572" s="9" t="n"/>
      <c r="D572" s="9" t="n"/>
      <c r="E572" s="11" t="n"/>
      <c r="F572" s="13" t="n"/>
      <c r="G572" s="5" t="n"/>
      <c r="H572" s="9" t="n"/>
      <c r="I572" s="9" t="n"/>
      <c r="J572" s="9" t="n"/>
      <c r="K572" s="5" t="n"/>
      <c r="L572" s="5" t="n"/>
      <c r="M572" s="12" t="n"/>
      <c r="N572" s="9" t="n"/>
    </row>
    <row r="573" ht="61.5" customHeight="1">
      <c r="A573" s="9" t="n"/>
      <c r="B573" s="9" t="n"/>
      <c r="C573" s="9" t="n"/>
      <c r="D573" s="9" t="n"/>
      <c r="E573" s="11" t="n"/>
      <c r="F573" s="13" t="n"/>
      <c r="G573" s="5" t="n"/>
      <c r="H573" s="9" t="n"/>
      <c r="I573" s="9" t="n"/>
      <c r="J573" s="9" t="n"/>
      <c r="K573" s="5" t="n"/>
      <c r="L573" s="5" t="n"/>
      <c r="M573" s="12" t="n"/>
      <c r="N573" s="9" t="n"/>
    </row>
    <row r="574" ht="61.5" customHeight="1">
      <c r="A574" s="9" t="n"/>
      <c r="B574" s="9" t="n"/>
      <c r="C574" s="9" t="n"/>
      <c r="D574" s="9" t="n"/>
      <c r="E574" s="11" t="n"/>
      <c r="F574" s="13" t="n"/>
      <c r="G574" s="5" t="n"/>
      <c r="H574" s="9" t="n"/>
      <c r="I574" s="9" t="n"/>
      <c r="J574" s="9" t="n"/>
      <c r="K574" s="5" t="n"/>
      <c r="L574" s="5" t="n"/>
      <c r="M574" s="12" t="n"/>
      <c r="N574" s="9" t="n"/>
    </row>
    <row r="575" ht="61.5" customHeight="1">
      <c r="A575" s="9" t="n"/>
      <c r="B575" s="9" t="n"/>
      <c r="C575" s="9" t="n"/>
      <c r="D575" s="9" t="n"/>
      <c r="E575" s="11" t="n"/>
      <c r="F575" s="13" t="n"/>
      <c r="G575" s="5" t="n"/>
      <c r="H575" s="9" t="n"/>
      <c r="I575" s="9" t="n"/>
      <c r="J575" s="9" t="n"/>
      <c r="K575" s="5" t="n"/>
      <c r="L575" s="5" t="n"/>
      <c r="M575" s="12" t="n"/>
      <c r="N575" s="9" t="n"/>
    </row>
    <row r="576" ht="61.5" customHeight="1">
      <c r="A576" s="9" t="n"/>
      <c r="B576" s="9" t="n"/>
      <c r="C576" s="9" t="n"/>
      <c r="D576" s="9" t="n"/>
      <c r="E576" s="11" t="n"/>
      <c r="F576" s="13" t="n"/>
      <c r="G576" s="5" t="n"/>
      <c r="H576" s="9" t="n"/>
      <c r="I576" s="9" t="n"/>
      <c r="J576" s="9" t="n"/>
      <c r="K576" s="5" t="n"/>
      <c r="L576" s="5" t="n"/>
      <c r="M576" s="12" t="n"/>
      <c r="N576" s="9" t="n"/>
    </row>
    <row r="577" ht="61.5" customHeight="1">
      <c r="A577" s="9" t="n"/>
      <c r="B577" s="9" t="n"/>
      <c r="C577" s="9" t="n"/>
      <c r="D577" s="9" t="n"/>
      <c r="E577" s="11" t="n"/>
      <c r="F577" s="13" t="n"/>
      <c r="G577" s="5" t="n"/>
      <c r="H577" s="9" t="n"/>
      <c r="I577" s="9" t="n"/>
      <c r="J577" s="9" t="n"/>
      <c r="K577" s="5" t="n"/>
      <c r="L577" s="5" t="n"/>
      <c r="M577" s="12" t="n"/>
      <c r="N577" s="9" t="n"/>
    </row>
    <row r="578" ht="61.5" customHeight="1">
      <c r="A578" s="9" t="n"/>
      <c r="B578" s="9" t="n"/>
      <c r="C578" s="9" t="n"/>
      <c r="D578" s="9" t="n"/>
      <c r="E578" s="11" t="n"/>
      <c r="F578" s="13" t="n"/>
      <c r="G578" s="5" t="n"/>
      <c r="H578" s="9" t="n"/>
      <c r="I578" s="9" t="n"/>
      <c r="J578" s="9" t="n"/>
      <c r="K578" s="5" t="n"/>
      <c r="L578" s="5" t="n"/>
      <c r="M578" s="12" t="n"/>
      <c r="N578" s="9" t="n"/>
    </row>
    <row r="579" ht="61.5" customHeight="1">
      <c r="A579" s="9" t="n"/>
      <c r="B579" s="9" t="n"/>
      <c r="C579" s="9" t="n"/>
      <c r="D579" s="9" t="n"/>
      <c r="E579" s="11" t="n"/>
      <c r="F579" s="13" t="n"/>
      <c r="G579" s="5" t="n"/>
      <c r="H579" s="9" t="n"/>
      <c r="I579" s="9" t="n"/>
      <c r="J579" s="9" t="n"/>
      <c r="K579" s="5" t="n"/>
      <c r="L579" s="5" t="n"/>
      <c r="M579" s="12" t="n"/>
      <c r="N579" s="9" t="n"/>
    </row>
    <row r="580" ht="61.5" customHeight="1">
      <c r="A580" s="9" t="n"/>
      <c r="B580" s="9" t="n"/>
      <c r="C580" s="9" t="n"/>
      <c r="D580" s="9" t="n"/>
      <c r="E580" s="11" t="n"/>
      <c r="F580" s="13" t="n"/>
      <c r="G580" s="5" t="n"/>
      <c r="H580" s="9" t="n"/>
      <c r="I580" s="9" t="n"/>
      <c r="J580" s="9" t="n"/>
      <c r="K580" s="5" t="n"/>
      <c r="L580" s="5" t="n"/>
      <c r="M580" s="12" t="n"/>
      <c r="N580" s="9" t="n"/>
    </row>
    <row r="581" ht="61.5" customHeight="1">
      <c r="A581" s="9" t="n"/>
      <c r="B581" s="9" t="n"/>
      <c r="C581" s="9" t="n"/>
      <c r="D581" s="9" t="n"/>
      <c r="E581" s="11" t="n"/>
      <c r="F581" s="13" t="n"/>
      <c r="G581" s="5" t="n"/>
      <c r="H581" s="9" t="n"/>
      <c r="I581" s="9" t="n"/>
      <c r="J581" s="9" t="n"/>
      <c r="K581" s="5" t="n"/>
      <c r="L581" s="5" t="n"/>
      <c r="M581" s="12" t="n"/>
      <c r="N581" s="9" t="n"/>
    </row>
    <row r="582" ht="61.5" customHeight="1">
      <c r="A582" s="9" t="n"/>
      <c r="B582" s="9" t="n"/>
      <c r="C582" s="9" t="n"/>
      <c r="D582" s="9" t="n"/>
      <c r="E582" s="11" t="n"/>
      <c r="F582" s="13" t="n"/>
      <c r="G582" s="5" t="n"/>
      <c r="H582" s="9" t="n"/>
      <c r="I582" s="9" t="n"/>
      <c r="J582" s="9" t="n"/>
      <c r="K582" s="5" t="n"/>
      <c r="L582" s="5" t="n"/>
      <c r="M582" s="12" t="n"/>
      <c r="N582" s="9" t="n"/>
    </row>
    <row r="583" ht="61.5" customHeight="1">
      <c r="A583" s="9" t="n"/>
      <c r="B583" s="9" t="n"/>
      <c r="C583" s="9" t="n"/>
      <c r="D583" s="9" t="n"/>
      <c r="E583" s="11" t="n"/>
      <c r="F583" s="13" t="n"/>
      <c r="G583" s="5" t="n"/>
      <c r="H583" s="9" t="n"/>
      <c r="I583" s="9" t="n"/>
      <c r="J583" s="9" t="n"/>
      <c r="K583" s="5" t="n"/>
      <c r="L583" s="5" t="n"/>
      <c r="M583" s="12" t="n"/>
      <c r="N583" s="9" t="n"/>
    </row>
    <row r="584" ht="61.5" customHeight="1">
      <c r="A584" s="9" t="n"/>
      <c r="B584" s="9" t="n"/>
      <c r="C584" s="9" t="n"/>
      <c r="D584" s="9" t="n"/>
      <c r="E584" s="11" t="n"/>
      <c r="F584" s="13" t="n"/>
      <c r="G584" s="5" t="n"/>
      <c r="H584" s="9" t="n"/>
      <c r="I584" s="9" t="n"/>
      <c r="J584" s="9" t="n"/>
      <c r="K584" s="5" t="n"/>
      <c r="L584" s="5" t="n"/>
      <c r="M584" s="12" t="n"/>
      <c r="N584" s="9" t="n"/>
    </row>
    <row r="585" ht="61.5" customHeight="1">
      <c r="A585" s="9" t="n"/>
      <c r="B585" s="9" t="n"/>
      <c r="C585" s="9" t="n"/>
      <c r="D585" s="9" t="n"/>
      <c r="E585" s="11" t="n"/>
      <c r="F585" s="13" t="n"/>
      <c r="G585" s="5" t="n"/>
      <c r="H585" s="9" t="n"/>
      <c r="I585" s="9" t="n"/>
      <c r="J585" s="9" t="n"/>
      <c r="K585" s="5" t="n"/>
      <c r="L585" s="5" t="n"/>
      <c r="M585" s="12" t="n"/>
      <c r="N585" s="9" t="n"/>
    </row>
    <row r="586" ht="61.5" customHeight="1">
      <c r="A586" s="9" t="n"/>
      <c r="B586" s="9" t="n"/>
      <c r="C586" s="9" t="n"/>
      <c r="D586" s="9" t="n"/>
      <c r="E586" s="11" t="n"/>
      <c r="F586" s="13" t="n"/>
      <c r="G586" s="5" t="n"/>
      <c r="H586" s="9" t="n"/>
      <c r="I586" s="9" t="n"/>
      <c r="J586" s="9" t="n"/>
      <c r="K586" s="5" t="n"/>
      <c r="L586" s="5" t="n"/>
      <c r="M586" s="12" t="n"/>
      <c r="N586" s="9" t="n"/>
    </row>
    <row r="587" ht="61.5" customHeight="1">
      <c r="A587" s="9" t="n"/>
      <c r="B587" s="9" t="n"/>
      <c r="C587" s="9" t="n"/>
      <c r="D587" s="9" t="n"/>
      <c r="E587" s="11" t="n"/>
      <c r="F587" s="13" t="n"/>
      <c r="G587" s="5" t="n"/>
      <c r="H587" s="9" t="n"/>
      <c r="I587" s="9" t="n"/>
      <c r="J587" s="9" t="n"/>
      <c r="K587" s="5" t="n"/>
      <c r="L587" s="5" t="n"/>
      <c r="M587" s="12" t="n"/>
      <c r="N587" s="9" t="n"/>
    </row>
    <row r="588" ht="61.5" customHeight="1">
      <c r="A588" s="9" t="n"/>
      <c r="B588" s="9" t="n"/>
      <c r="C588" s="9" t="n"/>
      <c r="D588" s="9" t="n"/>
      <c r="E588" s="11" t="n"/>
      <c r="F588" s="13" t="n"/>
      <c r="G588" s="5" t="n"/>
      <c r="H588" s="9" t="n"/>
      <c r="I588" s="9" t="n"/>
      <c r="J588" s="9" t="n"/>
      <c r="K588" s="5" t="n"/>
      <c r="L588" s="5" t="n"/>
      <c r="M588" s="12" t="n"/>
      <c r="N588" s="9" t="n"/>
    </row>
    <row r="589" ht="61.5" customHeight="1">
      <c r="A589" s="9" t="n"/>
      <c r="B589" s="9" t="n"/>
      <c r="C589" s="9" t="n"/>
      <c r="D589" s="9" t="n"/>
      <c r="E589" s="11" t="n"/>
      <c r="F589" s="13" t="n"/>
      <c r="G589" s="5" t="n"/>
      <c r="H589" s="9" t="n"/>
      <c r="I589" s="9" t="n"/>
      <c r="J589" s="9" t="n"/>
      <c r="K589" s="5" t="n"/>
      <c r="L589" s="5" t="n"/>
      <c r="M589" s="12" t="n"/>
      <c r="N589" s="9" t="n"/>
    </row>
    <row r="590" ht="61.5" customHeight="1">
      <c r="A590" s="9" t="n"/>
      <c r="B590" s="9" t="n"/>
      <c r="C590" s="9" t="n"/>
      <c r="D590" s="9" t="n"/>
      <c r="E590" s="11" t="n"/>
      <c r="F590" s="13" t="n"/>
      <c r="G590" s="5" t="n"/>
      <c r="H590" s="9" t="n"/>
      <c r="I590" s="9" t="n"/>
      <c r="J590" s="9" t="n"/>
      <c r="K590" s="5" t="n"/>
      <c r="L590" s="5" t="n"/>
      <c r="M590" s="12" t="n"/>
      <c r="N590" s="9" t="n"/>
    </row>
    <row r="591" ht="61.5" customHeight="1">
      <c r="A591" s="9" t="n"/>
      <c r="B591" s="9" t="n"/>
      <c r="C591" s="9" t="n"/>
      <c r="D591" s="9" t="n"/>
      <c r="E591" s="11" t="n"/>
      <c r="F591" s="13" t="n"/>
      <c r="G591" s="5" t="n"/>
      <c r="H591" s="9" t="n"/>
      <c r="I591" s="9" t="n"/>
      <c r="J591" s="9" t="n"/>
      <c r="K591" s="5" t="n"/>
      <c r="L591" s="5" t="n"/>
      <c r="M591" s="12" t="n"/>
      <c r="N591" s="9" t="n"/>
    </row>
    <row r="592" ht="61.5" customHeight="1">
      <c r="A592" s="9" t="n"/>
      <c r="B592" s="9" t="n"/>
      <c r="C592" s="9" t="n"/>
      <c r="D592" s="9" t="n"/>
      <c r="E592" s="11" t="n"/>
      <c r="F592" s="13" t="n"/>
      <c r="G592" s="5" t="n"/>
      <c r="H592" s="9" t="n"/>
      <c r="I592" s="9" t="n"/>
      <c r="J592" s="9" t="n"/>
      <c r="K592" s="5" t="n"/>
      <c r="L592" s="5" t="n"/>
      <c r="M592" s="12" t="n"/>
      <c r="N592" s="9" t="n"/>
    </row>
    <row r="593" ht="61.5" customHeight="1">
      <c r="A593" s="9" t="n"/>
      <c r="B593" s="9" t="n"/>
      <c r="C593" s="9" t="n"/>
      <c r="D593" s="9" t="n"/>
      <c r="E593" s="11" t="n"/>
      <c r="F593" s="13" t="n"/>
      <c r="G593" s="5" t="n"/>
      <c r="H593" s="9" t="n"/>
      <c r="I593" s="9" t="n"/>
      <c r="J593" s="9" t="n"/>
      <c r="K593" s="5" t="n"/>
      <c r="L593" s="5" t="n"/>
      <c r="M593" s="12" t="n"/>
      <c r="N593" s="9" t="n"/>
    </row>
    <row r="594" ht="61.5" customHeight="1">
      <c r="A594" s="9" t="n"/>
      <c r="B594" s="9" t="n"/>
      <c r="C594" s="9" t="n"/>
      <c r="D594" s="9" t="n"/>
      <c r="E594" s="11" t="n"/>
      <c r="F594" s="13" t="n"/>
      <c r="G594" s="5" t="n"/>
      <c r="H594" s="9" t="n"/>
      <c r="I594" s="9" t="n"/>
      <c r="J594" s="9" t="n"/>
      <c r="K594" s="5" t="n"/>
      <c r="L594" s="5" t="n"/>
      <c r="M594" s="12" t="n"/>
      <c r="N594" s="9" t="n"/>
    </row>
    <row r="595" ht="61.5" customHeight="1">
      <c r="A595" s="9" t="n"/>
      <c r="B595" s="9" t="n"/>
      <c r="C595" s="9" t="n"/>
      <c r="D595" s="9" t="n"/>
      <c r="E595" s="11" t="n"/>
      <c r="F595" s="13" t="n"/>
      <c r="G595" s="5" t="n"/>
      <c r="H595" s="9" t="n"/>
      <c r="I595" s="9" t="n"/>
      <c r="J595" s="9" t="n"/>
      <c r="K595" s="5" t="n"/>
      <c r="L595" s="5" t="n"/>
      <c r="M595" s="12" t="n"/>
      <c r="N595" s="9" t="n"/>
    </row>
    <row r="596" ht="61.5" customHeight="1">
      <c r="A596" s="9" t="n"/>
      <c r="B596" s="9" t="n"/>
      <c r="C596" s="9" t="n"/>
      <c r="D596" s="9" t="n"/>
      <c r="E596" s="11" t="n"/>
      <c r="F596" s="13" t="n"/>
      <c r="G596" s="5" t="n"/>
      <c r="H596" s="9" t="n"/>
      <c r="I596" s="9" t="n"/>
      <c r="J596" s="9" t="n"/>
      <c r="K596" s="5" t="n"/>
      <c r="L596" s="5" t="n"/>
      <c r="M596" s="12" t="n"/>
      <c r="N596" s="9" t="n"/>
    </row>
    <row r="597" ht="61.5" customHeight="1">
      <c r="A597" s="9" t="n"/>
      <c r="B597" s="9" t="n"/>
      <c r="C597" s="9" t="n"/>
      <c r="D597" s="9" t="n"/>
      <c r="E597" s="11" t="n"/>
      <c r="F597" s="13" t="n"/>
      <c r="G597" s="5" t="n"/>
      <c r="H597" s="9" t="n"/>
      <c r="I597" s="9" t="n"/>
      <c r="J597" s="9" t="n"/>
      <c r="K597" s="5" t="n"/>
      <c r="L597" s="5" t="n"/>
      <c r="M597" s="12" t="n"/>
      <c r="N597" s="9" t="n"/>
    </row>
    <row r="598" ht="61.5" customHeight="1">
      <c r="A598" s="9" t="n"/>
      <c r="B598" s="9" t="n"/>
      <c r="C598" s="9" t="n"/>
      <c r="D598" s="9" t="n"/>
      <c r="E598" s="11" t="n"/>
      <c r="F598" s="13" t="n"/>
      <c r="G598" s="5" t="n"/>
      <c r="H598" s="9" t="n"/>
      <c r="I598" s="9" t="n"/>
      <c r="J598" s="9" t="n"/>
      <c r="K598" s="5" t="n"/>
      <c r="L598" s="5" t="n"/>
      <c r="M598" s="12" t="n"/>
      <c r="N598" s="9" t="n"/>
    </row>
    <row r="599" ht="61.5" customHeight="1">
      <c r="A599" s="9" t="n"/>
      <c r="B599" s="9" t="n"/>
      <c r="C599" s="9" t="n"/>
      <c r="D599" s="9" t="n"/>
      <c r="E599" s="11" t="n"/>
      <c r="F599" s="13" t="n"/>
      <c r="G599" s="5" t="n"/>
      <c r="H599" s="9" t="n"/>
      <c r="I599" s="9" t="n"/>
      <c r="J599" s="9" t="n"/>
      <c r="K599" s="5" t="n"/>
      <c r="L599" s="5" t="n"/>
      <c r="M599" s="12" t="n"/>
      <c r="N599" s="9" t="n"/>
    </row>
    <row r="600" ht="61.5" customHeight="1">
      <c r="A600" s="9" t="n"/>
      <c r="B600" s="9" t="n"/>
      <c r="C600" s="9" t="n"/>
      <c r="D600" s="9" t="n"/>
      <c r="E600" s="11" t="n"/>
      <c r="F600" s="13" t="n"/>
      <c r="G600" s="5" t="n"/>
      <c r="H600" s="9" t="n"/>
      <c r="I600" s="9" t="n"/>
      <c r="J600" s="9" t="n"/>
      <c r="K600" s="5" t="n"/>
      <c r="L600" s="5" t="n"/>
      <c r="M600" s="12" t="n"/>
      <c r="N600" s="9" t="n"/>
    </row>
    <row r="601" ht="61.5" customHeight="1">
      <c r="A601" s="9" t="n"/>
      <c r="B601" s="9" t="n"/>
      <c r="C601" s="9" t="n"/>
      <c r="D601" s="9" t="n"/>
      <c r="E601" s="11" t="n"/>
      <c r="F601" s="13" t="n"/>
      <c r="G601" s="5" t="n"/>
      <c r="H601" s="9" t="n"/>
      <c r="I601" s="9" t="n"/>
      <c r="J601" s="9" t="n"/>
      <c r="K601" s="5" t="n"/>
      <c r="L601" s="5" t="n"/>
      <c r="M601" s="12" t="n"/>
      <c r="N601" s="9" t="n"/>
    </row>
    <row r="602" ht="61.5" customHeight="1">
      <c r="A602" s="9" t="n"/>
      <c r="B602" s="9" t="n"/>
      <c r="C602" s="9" t="n"/>
      <c r="D602" s="9" t="n"/>
      <c r="E602" s="11" t="n"/>
      <c r="F602" s="13" t="n"/>
      <c r="G602" s="5" t="n"/>
      <c r="H602" s="9" t="n"/>
      <c r="I602" s="9" t="n"/>
      <c r="J602" s="9" t="n"/>
      <c r="K602" s="5" t="n"/>
      <c r="L602" s="5" t="n"/>
      <c r="M602" s="12" t="n"/>
      <c r="N602" s="9" t="n"/>
    </row>
    <row r="603" ht="61.5" customHeight="1">
      <c r="A603" s="9" t="n"/>
      <c r="B603" s="9" t="n"/>
      <c r="C603" s="9" t="n"/>
      <c r="D603" s="9" t="n"/>
      <c r="E603" s="11" t="n"/>
      <c r="F603" s="13" t="n"/>
      <c r="G603" s="5" t="n"/>
      <c r="H603" s="9" t="n"/>
      <c r="I603" s="9" t="n"/>
      <c r="J603" s="9" t="n"/>
      <c r="K603" s="5" t="n"/>
      <c r="L603" s="5" t="n"/>
      <c r="M603" s="12" t="n"/>
      <c r="N603" s="9" t="n"/>
    </row>
    <row r="604" ht="61.5" customHeight="1">
      <c r="A604" s="9" t="n"/>
      <c r="B604" s="9" t="n"/>
      <c r="C604" s="9" t="n"/>
      <c r="D604" s="9" t="n"/>
      <c r="E604" s="11" t="n"/>
      <c r="F604" s="13" t="n"/>
      <c r="G604" s="5" t="n"/>
      <c r="H604" s="9" t="n"/>
      <c r="I604" s="9" t="n"/>
      <c r="J604" s="9" t="n"/>
      <c r="K604" s="5" t="n"/>
      <c r="L604" s="5" t="n"/>
      <c r="M604" s="12" t="n"/>
      <c r="N604" s="9" t="n"/>
    </row>
    <row r="605" ht="61.5" customHeight="1">
      <c r="A605" s="9" t="n"/>
      <c r="B605" s="9" t="n"/>
      <c r="C605" s="9" t="n"/>
      <c r="D605" s="9" t="n"/>
      <c r="E605" s="11" t="n"/>
      <c r="F605" s="13" t="n"/>
      <c r="G605" s="5" t="n"/>
      <c r="H605" s="9" t="n"/>
      <c r="I605" s="9" t="n"/>
      <c r="J605" s="9" t="n"/>
      <c r="K605" s="5" t="n"/>
      <c r="L605" s="5" t="n"/>
      <c r="M605" s="12" t="n"/>
      <c r="N605" s="9" t="n"/>
    </row>
    <row r="606" ht="61.5" customHeight="1">
      <c r="A606" s="9" t="n"/>
      <c r="B606" s="9" t="n"/>
      <c r="C606" s="9" t="n"/>
      <c r="D606" s="9" t="n"/>
      <c r="E606" s="11" t="n"/>
      <c r="F606" s="13" t="n"/>
      <c r="G606" s="5" t="n"/>
      <c r="H606" s="9" t="n"/>
      <c r="I606" s="9" t="n"/>
      <c r="J606" s="9" t="n"/>
      <c r="K606" s="5" t="n"/>
      <c r="L606" s="5" t="n"/>
      <c r="M606" s="12" t="n"/>
      <c r="N606" s="9" t="n"/>
    </row>
    <row r="607" ht="61.5" customHeight="1">
      <c r="A607" s="9" t="n"/>
      <c r="B607" s="9" t="n"/>
      <c r="C607" s="9" t="n"/>
      <c r="D607" s="9" t="n"/>
      <c r="E607" s="11" t="n"/>
      <c r="F607" s="13" t="n"/>
      <c r="G607" s="5" t="n"/>
      <c r="H607" s="9" t="n"/>
      <c r="I607" s="9" t="n"/>
      <c r="J607" s="9" t="n"/>
      <c r="K607" s="5" t="n"/>
      <c r="L607" s="5" t="n"/>
      <c r="M607" s="12" t="n"/>
      <c r="N607" s="9" t="n"/>
    </row>
    <row r="608" ht="61.5" customHeight="1">
      <c r="A608" s="9" t="n"/>
      <c r="B608" s="9" t="n"/>
      <c r="C608" s="9" t="n"/>
      <c r="D608" s="9" t="n"/>
      <c r="E608" s="11" t="n"/>
      <c r="F608" s="13" t="n"/>
      <c r="G608" s="5" t="n"/>
      <c r="H608" s="9" t="n"/>
      <c r="I608" s="9" t="n"/>
      <c r="J608" s="9" t="n"/>
      <c r="K608" s="5" t="n"/>
      <c r="L608" s="5" t="n"/>
      <c r="M608" s="12" t="n"/>
      <c r="N608" s="9" t="n"/>
    </row>
    <row r="609" ht="61.5" customHeight="1">
      <c r="A609" s="9" t="n"/>
      <c r="B609" s="9" t="n"/>
      <c r="C609" s="9" t="n"/>
      <c r="D609" s="9" t="n"/>
      <c r="E609" s="11" t="n"/>
      <c r="F609" s="13" t="n"/>
      <c r="G609" s="5" t="n"/>
      <c r="H609" s="9" t="n"/>
      <c r="I609" s="9" t="n"/>
      <c r="J609" s="9" t="n"/>
      <c r="K609" s="5" t="n"/>
      <c r="L609" s="5" t="n"/>
      <c r="M609" s="12" t="n"/>
      <c r="N609" s="9" t="n"/>
    </row>
    <row r="610" ht="61.5" customHeight="1">
      <c r="A610" s="9" t="n"/>
      <c r="B610" s="9" t="n"/>
      <c r="C610" s="9" t="n"/>
      <c r="D610" s="9" t="n"/>
      <c r="E610" s="11" t="n"/>
      <c r="F610" s="13" t="n"/>
      <c r="G610" s="5" t="n"/>
      <c r="H610" s="9" t="n"/>
      <c r="I610" s="9" t="n"/>
      <c r="J610" s="9" t="n"/>
      <c r="K610" s="5" t="n"/>
      <c r="L610" s="5" t="n"/>
      <c r="M610" s="12" t="n"/>
      <c r="N610" s="9" t="n"/>
    </row>
    <row r="611" ht="61.5" customHeight="1">
      <c r="A611" s="9" t="n"/>
      <c r="B611" s="9" t="n"/>
      <c r="C611" s="9" t="n"/>
      <c r="D611" s="9" t="n"/>
      <c r="E611" s="11" t="n"/>
      <c r="F611" s="13" t="n"/>
      <c r="G611" s="5" t="n"/>
      <c r="H611" s="9" t="n"/>
      <c r="I611" s="9" t="n"/>
      <c r="J611" s="9" t="n"/>
      <c r="K611" s="5" t="n"/>
      <c r="L611" s="5" t="n"/>
      <c r="M611" s="12" t="n"/>
      <c r="N611" s="9" t="n"/>
    </row>
    <row r="612" ht="61.5" customHeight="1">
      <c r="A612" s="9" t="n"/>
      <c r="B612" s="9" t="n"/>
      <c r="C612" s="9" t="n"/>
      <c r="D612" s="9" t="n"/>
      <c r="E612" s="11" t="n"/>
      <c r="F612" s="13" t="n"/>
      <c r="G612" s="5" t="n"/>
      <c r="H612" s="9" t="n"/>
      <c r="I612" s="9" t="n"/>
      <c r="J612" s="9" t="n"/>
      <c r="K612" s="5" t="n"/>
      <c r="L612" s="5" t="n"/>
      <c r="M612" s="12" t="n"/>
      <c r="N612" s="9" t="n"/>
    </row>
    <row r="613" ht="61.5" customHeight="1">
      <c r="A613" s="9" t="n"/>
      <c r="B613" s="9" t="n"/>
      <c r="C613" s="9" t="n"/>
      <c r="D613" s="9" t="n"/>
      <c r="E613" s="11" t="n"/>
      <c r="F613" s="13" t="n"/>
      <c r="G613" s="5" t="n"/>
      <c r="H613" s="9" t="n"/>
      <c r="I613" s="9" t="n"/>
      <c r="J613" s="9" t="n"/>
      <c r="K613" s="5" t="n"/>
      <c r="L613" s="5" t="n"/>
      <c r="M613" s="12" t="n"/>
      <c r="N613" s="9" t="n"/>
    </row>
    <row r="614" ht="61.5" customHeight="1">
      <c r="A614" s="9" t="n"/>
      <c r="B614" s="9" t="n"/>
      <c r="C614" s="9" t="n"/>
      <c r="D614" s="9" t="n"/>
      <c r="E614" s="11" t="n"/>
      <c r="F614" s="13" t="n"/>
      <c r="G614" s="5" t="n"/>
      <c r="H614" s="9" t="n"/>
      <c r="I614" s="9" t="n"/>
      <c r="J614" s="9" t="n"/>
      <c r="K614" s="5" t="n"/>
      <c r="L614" s="5" t="n"/>
      <c r="M614" s="12" t="n"/>
      <c r="N614" s="9" t="n"/>
    </row>
    <row r="615" ht="61.5" customHeight="1">
      <c r="A615" s="9" t="n"/>
      <c r="B615" s="9" t="n"/>
      <c r="C615" s="9" t="n"/>
      <c r="D615" s="9" t="n"/>
      <c r="E615" s="11" t="n"/>
      <c r="F615" s="13" t="n"/>
      <c r="G615" s="5" t="n"/>
      <c r="H615" s="9" t="n"/>
      <c r="I615" s="9" t="n"/>
      <c r="J615" s="9" t="n"/>
      <c r="K615" s="5" t="n"/>
      <c r="L615" s="5" t="n"/>
      <c r="M615" s="12" t="n"/>
      <c r="N615" s="9" t="n"/>
    </row>
    <row r="616" ht="61.5" customHeight="1">
      <c r="A616" s="9" t="n"/>
      <c r="B616" s="9" t="n"/>
      <c r="C616" s="9" t="n"/>
      <c r="D616" s="9" t="n"/>
      <c r="E616" s="11" t="n"/>
      <c r="F616" s="13" t="n"/>
      <c r="G616" s="5" t="n"/>
      <c r="H616" s="9" t="n"/>
      <c r="I616" s="9" t="n"/>
      <c r="J616" s="9" t="n"/>
      <c r="K616" s="5" t="n"/>
      <c r="L616" s="5" t="n"/>
      <c r="M616" s="12" t="n"/>
      <c r="N616" s="9" t="n"/>
    </row>
    <row r="617" ht="61.5" customHeight="1">
      <c r="A617" s="9" t="n"/>
      <c r="B617" s="9" t="n"/>
      <c r="C617" s="9" t="n"/>
      <c r="D617" s="9" t="n"/>
      <c r="E617" s="11" t="n"/>
      <c r="F617" s="13" t="n"/>
      <c r="G617" s="5" t="n"/>
      <c r="H617" s="9" t="n"/>
      <c r="I617" s="9" t="n"/>
      <c r="J617" s="9" t="n"/>
      <c r="K617" s="5" t="n"/>
      <c r="L617" s="5" t="n"/>
      <c r="M617" s="12" t="n"/>
      <c r="N617" s="9" t="n"/>
    </row>
    <row r="618" ht="61.5" customHeight="1">
      <c r="A618" s="9" t="n"/>
      <c r="B618" s="9" t="n"/>
      <c r="C618" s="9" t="n"/>
      <c r="D618" s="9" t="n"/>
      <c r="E618" s="11" t="n"/>
      <c r="F618" s="13" t="n"/>
      <c r="G618" s="5" t="n"/>
      <c r="H618" s="9" t="n"/>
      <c r="I618" s="9" t="n"/>
      <c r="J618" s="9" t="n"/>
      <c r="K618" s="5" t="n"/>
      <c r="L618" s="5" t="n"/>
      <c r="M618" s="12" t="n"/>
      <c r="N618" s="9" t="n"/>
    </row>
    <row r="619" ht="61.5" customHeight="1">
      <c r="A619" s="9" t="n"/>
      <c r="B619" s="9" t="n"/>
      <c r="C619" s="9" t="n"/>
      <c r="D619" s="9" t="n"/>
      <c r="E619" s="11" t="n"/>
      <c r="F619" s="13" t="n"/>
      <c r="G619" s="5" t="n"/>
      <c r="H619" s="9" t="n"/>
      <c r="I619" s="9" t="n"/>
      <c r="J619" s="9" t="n"/>
      <c r="K619" s="5" t="n"/>
      <c r="L619" s="5" t="n"/>
      <c r="M619" s="12" t="n"/>
      <c r="N619" s="9" t="n"/>
    </row>
    <row r="620" ht="61.5" customHeight="1">
      <c r="A620" s="9" t="n"/>
      <c r="B620" s="9" t="n"/>
      <c r="C620" s="9" t="n"/>
      <c r="D620" s="9" t="n"/>
      <c r="E620" s="11" t="n"/>
      <c r="F620" s="13" t="n"/>
      <c r="G620" s="5" t="n"/>
      <c r="H620" s="9" t="n"/>
      <c r="I620" s="9" t="n"/>
      <c r="J620" s="9" t="n"/>
      <c r="K620" s="5" t="n"/>
      <c r="L620" s="5" t="n"/>
      <c r="M620" s="12" t="n"/>
      <c r="N620" s="9" t="n"/>
    </row>
    <row r="621" ht="61.5" customHeight="1">
      <c r="A621" s="9" t="n"/>
      <c r="B621" s="9" t="n"/>
      <c r="C621" s="9" t="n"/>
      <c r="D621" s="9" t="n"/>
      <c r="E621" s="11" t="n"/>
      <c r="F621" s="13" t="n"/>
      <c r="G621" s="5" t="n"/>
      <c r="H621" s="9" t="n"/>
      <c r="I621" s="9" t="n"/>
      <c r="J621" s="9" t="n"/>
      <c r="K621" s="5" t="n"/>
      <c r="L621" s="5" t="n"/>
      <c r="M621" s="12" t="n"/>
      <c r="N621" s="9" t="n"/>
    </row>
    <row r="622" ht="61.5" customHeight="1">
      <c r="A622" s="9" t="n"/>
      <c r="B622" s="9" t="n"/>
      <c r="C622" s="9" t="n"/>
      <c r="D622" s="9" t="n"/>
      <c r="E622" s="11" t="n"/>
      <c r="F622" s="13" t="n"/>
      <c r="G622" s="5" t="n"/>
      <c r="H622" s="9" t="n"/>
      <c r="I622" s="9" t="n"/>
      <c r="J622" s="9" t="n"/>
      <c r="K622" s="5" t="n"/>
      <c r="L622" s="5" t="n"/>
      <c r="M622" s="12" t="n"/>
      <c r="N622" s="9" t="n"/>
    </row>
    <row r="623" ht="61.5" customHeight="1">
      <c r="A623" s="9" t="n"/>
      <c r="B623" s="9" t="n"/>
      <c r="C623" s="9" t="n"/>
      <c r="D623" s="9" t="n"/>
      <c r="E623" s="11" t="n"/>
      <c r="F623" s="13" t="n"/>
      <c r="G623" s="5" t="n"/>
      <c r="H623" s="9" t="n"/>
      <c r="I623" s="9" t="n"/>
      <c r="J623" s="9" t="n"/>
      <c r="K623" s="5" t="n"/>
      <c r="L623" s="5" t="n"/>
      <c r="M623" s="12" t="n"/>
      <c r="N623" s="9" t="n"/>
    </row>
    <row r="624" ht="61.5" customHeight="1">
      <c r="A624" s="9" t="n"/>
      <c r="B624" s="9" t="n"/>
      <c r="C624" s="9" t="n"/>
      <c r="D624" s="9" t="n"/>
      <c r="E624" s="11" t="n"/>
      <c r="F624" s="13" t="n"/>
      <c r="G624" s="5" t="n"/>
      <c r="H624" s="9" t="n"/>
      <c r="I624" s="9" t="n"/>
      <c r="J624" s="9" t="n"/>
      <c r="K624" s="5" t="n"/>
      <c r="L624" s="5" t="n"/>
      <c r="M624" s="12" t="n"/>
      <c r="N624" s="9" t="n"/>
    </row>
    <row r="625" ht="61.5" customHeight="1">
      <c r="A625" s="9" t="n"/>
      <c r="B625" s="9" t="n"/>
      <c r="C625" s="9" t="n"/>
      <c r="D625" s="9" t="n"/>
      <c r="E625" s="11" t="n"/>
      <c r="F625" s="13" t="n"/>
      <c r="G625" s="5" t="n"/>
      <c r="H625" s="9" t="n"/>
      <c r="I625" s="9" t="n"/>
      <c r="J625" s="9" t="n"/>
      <c r="K625" s="5" t="n"/>
      <c r="L625" s="5" t="n"/>
      <c r="M625" s="12" t="n"/>
      <c r="N625" s="9" t="n"/>
    </row>
    <row r="626" ht="61.5" customHeight="1">
      <c r="A626" s="9" t="n"/>
      <c r="B626" s="9" t="n"/>
      <c r="C626" s="9" t="n"/>
      <c r="D626" s="9" t="n"/>
      <c r="E626" s="11" t="n"/>
      <c r="F626" s="13" t="n"/>
      <c r="G626" s="5" t="n"/>
      <c r="H626" s="9" t="n"/>
      <c r="I626" s="9" t="n"/>
      <c r="J626" s="9" t="n"/>
      <c r="K626" s="5" t="n"/>
      <c r="L626" s="5" t="n"/>
      <c r="M626" s="12" t="n"/>
      <c r="N626" s="9" t="n"/>
    </row>
    <row r="627" ht="61.5" customHeight="1">
      <c r="A627" s="9" t="n"/>
      <c r="B627" s="9" t="n"/>
      <c r="C627" s="9" t="n"/>
      <c r="D627" s="9" t="n"/>
      <c r="E627" s="11" t="n"/>
      <c r="F627" s="13" t="n"/>
      <c r="G627" s="5" t="n"/>
      <c r="H627" s="9" t="n"/>
      <c r="I627" s="9" t="n"/>
      <c r="J627" s="9" t="n"/>
      <c r="K627" s="5" t="n"/>
      <c r="L627" s="5" t="n"/>
      <c r="M627" s="12" t="n"/>
      <c r="N627" s="9" t="n"/>
    </row>
    <row r="628" ht="61.5" customHeight="1">
      <c r="A628" s="9" t="n"/>
      <c r="B628" s="9" t="n"/>
      <c r="C628" s="9" t="n"/>
      <c r="D628" s="9" t="n"/>
      <c r="E628" s="11" t="n"/>
      <c r="F628" s="13" t="n"/>
      <c r="G628" s="5" t="n"/>
      <c r="H628" s="9" t="n"/>
      <c r="I628" s="9" t="n"/>
      <c r="J628" s="9" t="n"/>
      <c r="K628" s="5" t="n"/>
      <c r="L628" s="5" t="n"/>
      <c r="M628" s="12" t="n"/>
      <c r="N628" s="9" t="n"/>
    </row>
    <row r="629" ht="61.5" customHeight="1">
      <c r="A629" s="9" t="n"/>
      <c r="B629" s="9" t="n"/>
      <c r="C629" s="9" t="n"/>
      <c r="D629" s="9" t="n"/>
      <c r="E629" s="11" t="n"/>
      <c r="F629" s="13" t="n"/>
      <c r="G629" s="5" t="n"/>
      <c r="H629" s="9" t="n"/>
      <c r="I629" s="9" t="n"/>
      <c r="J629" s="9" t="n"/>
      <c r="K629" s="5" t="n"/>
      <c r="L629" s="5" t="n"/>
      <c r="M629" s="12" t="n"/>
      <c r="N629" s="9" t="n"/>
    </row>
    <row r="630" ht="61.5" customHeight="1">
      <c r="A630" s="9" t="n"/>
      <c r="B630" s="9" t="n"/>
      <c r="C630" s="9" t="n"/>
      <c r="D630" s="9" t="n"/>
      <c r="E630" s="11" t="n"/>
      <c r="F630" s="13" t="n"/>
      <c r="G630" s="5" t="n"/>
      <c r="H630" s="9" t="n"/>
      <c r="I630" s="9" t="n"/>
      <c r="J630" s="9" t="n"/>
      <c r="K630" s="5" t="n"/>
      <c r="L630" s="5" t="n"/>
      <c r="M630" s="12" t="n"/>
      <c r="N630" s="9" t="n"/>
    </row>
    <row r="631" ht="61.5" customHeight="1">
      <c r="A631" s="9" t="n"/>
      <c r="B631" s="9" t="n"/>
      <c r="C631" s="9" t="n"/>
      <c r="D631" s="9" t="n"/>
      <c r="E631" s="11" t="n"/>
      <c r="F631" s="13" t="n"/>
      <c r="G631" s="5" t="n"/>
      <c r="H631" s="9" t="n"/>
      <c r="I631" s="9" t="n"/>
      <c r="J631" s="9" t="n"/>
      <c r="K631" s="5" t="n"/>
      <c r="L631" s="5" t="n"/>
      <c r="M631" s="12" t="n"/>
      <c r="N631" s="9" t="n"/>
    </row>
    <row r="632" ht="61.5" customHeight="1">
      <c r="A632" s="9" t="n"/>
      <c r="B632" s="9" t="n"/>
      <c r="C632" s="9" t="n"/>
      <c r="D632" s="9" t="n"/>
      <c r="E632" s="11" t="n"/>
      <c r="F632" s="13" t="n"/>
      <c r="G632" s="5" t="n"/>
      <c r="H632" s="9" t="n"/>
      <c r="I632" s="9" t="n"/>
      <c r="J632" s="9" t="n"/>
      <c r="K632" s="5" t="n"/>
      <c r="L632" s="5" t="n"/>
      <c r="M632" s="12" t="n"/>
      <c r="N632" s="9" t="n"/>
    </row>
    <row r="633" ht="61.5" customHeight="1">
      <c r="A633" s="9" t="n"/>
      <c r="B633" s="9" t="n"/>
      <c r="C633" s="9" t="n"/>
      <c r="D633" s="9" t="n"/>
      <c r="E633" s="11" t="n"/>
      <c r="F633" s="13" t="n"/>
      <c r="G633" s="5" t="n"/>
      <c r="H633" s="9" t="n"/>
      <c r="I633" s="9" t="n"/>
      <c r="J633" s="9" t="n"/>
      <c r="K633" s="5" t="n"/>
      <c r="L633" s="5" t="n"/>
      <c r="M633" s="12" t="n"/>
      <c r="N633" s="9" t="n"/>
    </row>
    <row r="634" ht="61.5" customHeight="1">
      <c r="A634" s="9" t="n"/>
      <c r="B634" s="9" t="n"/>
      <c r="C634" s="9" t="n"/>
      <c r="D634" s="9" t="n"/>
      <c r="E634" s="11" t="n"/>
      <c r="F634" s="13" t="n"/>
      <c r="G634" s="5" t="n"/>
      <c r="H634" s="9" t="n"/>
      <c r="I634" s="9" t="n"/>
      <c r="J634" s="9" t="n"/>
      <c r="K634" s="5" t="n"/>
      <c r="L634" s="5" t="n"/>
      <c r="M634" s="12" t="n"/>
      <c r="N634" s="9" t="n"/>
    </row>
    <row r="635" ht="61.5" customHeight="1">
      <c r="A635" s="9" t="n"/>
      <c r="B635" s="9" t="n"/>
      <c r="C635" s="9" t="n"/>
      <c r="D635" s="9" t="n"/>
      <c r="E635" s="11" t="n"/>
      <c r="F635" s="13" t="n"/>
      <c r="G635" s="5" t="n"/>
      <c r="H635" s="9" t="n"/>
      <c r="I635" s="9" t="n"/>
      <c r="J635" s="9" t="n"/>
      <c r="K635" s="5" t="n"/>
      <c r="L635" s="5" t="n"/>
      <c r="M635" s="12" t="n"/>
      <c r="N635" s="9" t="n"/>
    </row>
    <row r="636" ht="61.5" customHeight="1">
      <c r="A636" s="9" t="n"/>
      <c r="B636" s="9" t="n"/>
      <c r="C636" s="9" t="n"/>
      <c r="D636" s="9" t="n"/>
      <c r="E636" s="11" t="n"/>
      <c r="F636" s="13" t="n"/>
      <c r="G636" s="5" t="n"/>
      <c r="H636" s="9" t="n"/>
      <c r="I636" s="9" t="n"/>
      <c r="J636" s="9" t="n"/>
      <c r="K636" s="5" t="n"/>
      <c r="L636" s="5" t="n"/>
      <c r="M636" s="12" t="n"/>
      <c r="N636" s="9" t="n"/>
    </row>
    <row r="637" ht="61.5" customHeight="1">
      <c r="A637" s="9" t="n"/>
      <c r="B637" s="9" t="n"/>
      <c r="C637" s="9" t="n"/>
      <c r="D637" s="9" t="n"/>
      <c r="E637" s="11" t="n"/>
      <c r="F637" s="13" t="n"/>
      <c r="G637" s="5" t="n"/>
      <c r="H637" s="9" t="n"/>
      <c r="I637" s="9" t="n"/>
      <c r="J637" s="9" t="n"/>
      <c r="K637" s="5" t="n"/>
      <c r="L637" s="5" t="n"/>
      <c r="M637" s="12" t="n"/>
      <c r="N637" s="9" t="n"/>
    </row>
    <row r="638" ht="61.5" customHeight="1">
      <c r="A638" s="9" t="n"/>
      <c r="B638" s="9" t="n"/>
      <c r="C638" s="9" t="n"/>
      <c r="D638" s="9" t="n"/>
      <c r="E638" s="11" t="n"/>
      <c r="F638" s="13" t="n"/>
      <c r="G638" s="5" t="n"/>
      <c r="H638" s="9" t="n"/>
      <c r="I638" s="9" t="n"/>
      <c r="J638" s="9" t="n"/>
      <c r="K638" s="5" t="n"/>
      <c r="L638" s="5" t="n"/>
      <c r="M638" s="12" t="n"/>
      <c r="N638" s="9" t="n"/>
    </row>
    <row r="639" ht="61.5" customHeight="1">
      <c r="A639" s="9" t="n"/>
      <c r="B639" s="9" t="n"/>
      <c r="C639" s="9" t="n"/>
      <c r="D639" s="9" t="n"/>
      <c r="E639" s="11" t="n"/>
      <c r="F639" s="13" t="n"/>
      <c r="G639" s="5" t="n"/>
      <c r="H639" s="9" t="n"/>
      <c r="I639" s="9" t="n"/>
      <c r="J639" s="9" t="n"/>
      <c r="K639" s="5" t="n"/>
      <c r="L639" s="5" t="n"/>
      <c r="M639" s="12" t="n"/>
      <c r="N639" s="9" t="n"/>
    </row>
    <row r="640" ht="61.5" customHeight="1">
      <c r="A640" s="9" t="n"/>
      <c r="B640" s="9" t="n"/>
      <c r="C640" s="9" t="n"/>
      <c r="D640" s="9" t="n"/>
      <c r="E640" s="11" t="n"/>
      <c r="F640" s="13" t="n"/>
      <c r="G640" s="5" t="n"/>
      <c r="H640" s="9" t="n"/>
      <c r="I640" s="9" t="n"/>
      <c r="J640" s="9" t="n"/>
      <c r="K640" s="5" t="n"/>
      <c r="L640" s="5" t="n"/>
      <c r="M640" s="12" t="n"/>
      <c r="N640" s="9" t="n"/>
    </row>
    <row r="641" ht="61.5" customHeight="1">
      <c r="A641" s="9" t="n"/>
      <c r="B641" s="9" t="n"/>
      <c r="C641" s="9" t="n"/>
      <c r="D641" s="9" t="n"/>
      <c r="E641" s="11" t="n"/>
      <c r="F641" s="13" t="n"/>
      <c r="G641" s="5" t="n"/>
      <c r="H641" s="9" t="n"/>
      <c r="I641" s="9" t="n"/>
      <c r="J641" s="9" t="n"/>
      <c r="K641" s="5" t="n"/>
      <c r="L641" s="5" t="n"/>
      <c r="M641" s="12" t="n"/>
      <c r="N641" s="9" t="n"/>
    </row>
    <row r="642" ht="61.5" customHeight="1">
      <c r="A642" s="9" t="n"/>
      <c r="B642" s="9" t="n"/>
      <c r="C642" s="9" t="n"/>
      <c r="D642" s="9" t="n"/>
      <c r="E642" s="11" t="n"/>
      <c r="F642" s="13" t="n"/>
      <c r="G642" s="5" t="n"/>
      <c r="H642" s="9" t="n"/>
      <c r="I642" s="9" t="n"/>
      <c r="J642" s="9" t="n"/>
      <c r="K642" s="5" t="n"/>
      <c r="L642" s="5" t="n"/>
      <c r="M642" s="12" t="n"/>
      <c r="N642" s="9" t="n"/>
    </row>
    <row r="643" ht="61.5" customHeight="1">
      <c r="A643" s="9" t="n"/>
      <c r="B643" s="9" t="n"/>
      <c r="C643" s="9" t="n"/>
      <c r="D643" s="9" t="n"/>
      <c r="E643" s="11" t="n"/>
      <c r="F643" s="13" t="n"/>
      <c r="G643" s="5" t="n"/>
      <c r="H643" s="9" t="n"/>
      <c r="I643" s="9" t="n"/>
      <c r="J643" s="9" t="n"/>
      <c r="K643" s="5" t="n"/>
      <c r="L643" s="5" t="n"/>
      <c r="M643" s="12" t="n"/>
      <c r="N643" s="9" t="n"/>
    </row>
    <row r="644" ht="61.5" customHeight="1">
      <c r="A644" s="9" t="n"/>
      <c r="B644" s="9" t="n"/>
      <c r="C644" s="9" t="n"/>
      <c r="D644" s="9" t="n"/>
      <c r="E644" s="11" t="n"/>
      <c r="F644" s="13" t="n"/>
      <c r="G644" s="5" t="n"/>
      <c r="H644" s="9" t="n"/>
      <c r="I644" s="9" t="n"/>
      <c r="J644" s="9" t="n"/>
      <c r="K644" s="5" t="n"/>
      <c r="L644" s="5" t="n"/>
      <c r="M644" s="12" t="n"/>
      <c r="N644" s="9" t="n"/>
    </row>
    <row r="645" ht="61.5" customHeight="1">
      <c r="A645" s="9" t="n"/>
      <c r="B645" s="9" t="n"/>
      <c r="C645" s="9" t="n"/>
      <c r="D645" s="9" t="n"/>
      <c r="E645" s="11" t="n"/>
      <c r="F645" s="13" t="n"/>
      <c r="G645" s="5" t="n"/>
      <c r="H645" s="9" t="n"/>
      <c r="I645" s="9" t="n"/>
      <c r="J645" s="9" t="n"/>
      <c r="K645" s="5" t="n"/>
      <c r="L645" s="5" t="n"/>
      <c r="M645" s="12" t="n"/>
      <c r="N645" s="9" t="n"/>
    </row>
    <row r="646" ht="61.5" customHeight="1">
      <c r="A646" s="9" t="n"/>
      <c r="B646" s="9" t="n"/>
      <c r="C646" s="9" t="n"/>
      <c r="D646" s="9" t="n"/>
      <c r="E646" s="11" t="n"/>
      <c r="F646" s="13" t="n"/>
      <c r="G646" s="5" t="n"/>
      <c r="H646" s="9" t="n"/>
      <c r="I646" s="9" t="n"/>
      <c r="J646" s="9" t="n"/>
      <c r="K646" s="5" t="n"/>
      <c r="L646" s="5" t="n"/>
      <c r="M646" s="12" t="n"/>
      <c r="N646" s="9" t="n"/>
    </row>
    <row r="647" ht="61.5" customHeight="1">
      <c r="A647" s="9" t="n"/>
      <c r="B647" s="9" t="n"/>
      <c r="C647" s="9" t="n"/>
      <c r="D647" s="9" t="n"/>
      <c r="E647" s="11" t="n"/>
      <c r="F647" s="13" t="n"/>
      <c r="G647" s="5" t="n"/>
      <c r="H647" s="9" t="n"/>
      <c r="I647" s="9" t="n"/>
      <c r="J647" s="9" t="n"/>
      <c r="K647" s="5" t="n"/>
      <c r="L647" s="5" t="n"/>
      <c r="M647" s="12" t="n"/>
      <c r="N647" s="9" t="n"/>
    </row>
    <row r="648" ht="61.5" customHeight="1">
      <c r="A648" s="9" t="n"/>
      <c r="B648" s="9" t="n"/>
      <c r="C648" s="9" t="n"/>
      <c r="D648" s="9" t="n"/>
      <c r="E648" s="11" t="n"/>
      <c r="F648" s="13" t="n"/>
      <c r="G648" s="5" t="n"/>
      <c r="H648" s="9" t="n"/>
      <c r="I648" s="9" t="n"/>
      <c r="J648" s="9" t="n"/>
      <c r="K648" s="5" t="n"/>
      <c r="L648" s="5" t="n"/>
      <c r="M648" s="12" t="n"/>
      <c r="N648" s="9" t="n"/>
    </row>
    <row r="649" ht="61.5" customHeight="1">
      <c r="A649" s="9" t="n"/>
      <c r="B649" s="9" t="n"/>
      <c r="C649" s="9" t="n"/>
      <c r="D649" s="9" t="n"/>
      <c r="E649" s="11" t="n"/>
      <c r="F649" s="13" t="n"/>
      <c r="G649" s="5" t="n"/>
      <c r="H649" s="9" t="n"/>
      <c r="I649" s="9" t="n"/>
      <c r="J649" s="9" t="n"/>
      <c r="K649" s="5" t="n"/>
      <c r="L649" s="5" t="n"/>
      <c r="M649" s="12" t="n"/>
      <c r="N649" s="9" t="n"/>
    </row>
    <row r="650" ht="61.5" customHeight="1">
      <c r="A650" s="9" t="n"/>
      <c r="B650" s="9" t="n"/>
      <c r="C650" s="9" t="n"/>
      <c r="D650" s="9" t="n"/>
      <c r="E650" s="11" t="n"/>
      <c r="F650" s="13" t="n"/>
      <c r="G650" s="5" t="n"/>
      <c r="H650" s="9" t="n"/>
      <c r="I650" s="9" t="n"/>
      <c r="J650" s="9" t="n"/>
      <c r="K650" s="5" t="n"/>
      <c r="L650" s="5" t="n"/>
      <c r="M650" s="12" t="n"/>
      <c r="N650" s="9" t="n"/>
    </row>
    <row r="651" ht="61.5" customHeight="1">
      <c r="A651" s="9" t="n"/>
      <c r="B651" s="9" t="n"/>
      <c r="C651" s="9" t="n"/>
      <c r="D651" s="9" t="n"/>
      <c r="E651" s="11" t="n"/>
      <c r="F651" s="13" t="n"/>
      <c r="G651" s="5" t="n"/>
      <c r="H651" s="9" t="n"/>
      <c r="I651" s="9" t="n"/>
      <c r="J651" s="9" t="n"/>
      <c r="K651" s="5" t="n"/>
      <c r="L651" s="5" t="n"/>
      <c r="M651" s="12" t="n"/>
      <c r="N651" s="9" t="n"/>
    </row>
    <row r="652" ht="61.5" customHeight="1">
      <c r="A652" s="9" t="n"/>
      <c r="B652" s="9" t="n"/>
      <c r="C652" s="9" t="n"/>
      <c r="D652" s="9" t="n"/>
      <c r="E652" s="11" t="n"/>
      <c r="F652" s="13" t="n"/>
      <c r="G652" s="5" t="n"/>
      <c r="H652" s="9" t="n"/>
      <c r="I652" s="9" t="n"/>
      <c r="J652" s="9" t="n"/>
      <c r="K652" s="5" t="n"/>
      <c r="L652" s="5" t="n"/>
      <c r="M652" s="12" t="n"/>
      <c r="N652" s="9" t="n"/>
    </row>
    <row r="653" ht="61.5" customHeight="1">
      <c r="A653" s="9" t="n"/>
      <c r="B653" s="9" t="n"/>
      <c r="C653" s="9" t="n"/>
      <c r="D653" s="9" t="n"/>
      <c r="E653" s="11" t="n"/>
      <c r="F653" s="13" t="n"/>
      <c r="G653" s="5" t="n"/>
      <c r="H653" s="9" t="n"/>
      <c r="I653" s="9" t="n"/>
      <c r="J653" s="9" t="n"/>
      <c r="K653" s="5" t="n"/>
      <c r="L653" s="5" t="n"/>
      <c r="M653" s="12" t="n"/>
      <c r="N653" s="9" t="n"/>
    </row>
    <row r="654" ht="61.5" customHeight="1">
      <c r="A654" s="9" t="n"/>
      <c r="B654" s="9" t="n"/>
      <c r="C654" s="9" t="n"/>
      <c r="D654" s="9" t="n"/>
      <c r="E654" s="11" t="n"/>
      <c r="F654" s="13" t="n"/>
      <c r="G654" s="5" t="n"/>
      <c r="H654" s="9" t="n"/>
      <c r="I654" s="9" t="n"/>
      <c r="J654" s="9" t="n"/>
      <c r="K654" s="5" t="n"/>
      <c r="L654" s="5" t="n"/>
      <c r="M654" s="12" t="n"/>
      <c r="N654" s="9" t="n"/>
    </row>
    <row r="655" ht="61.5" customHeight="1">
      <c r="A655" s="9" t="n"/>
      <c r="B655" s="9" t="n"/>
      <c r="C655" s="9" t="n"/>
      <c r="D655" s="9" t="n"/>
      <c r="E655" s="11" t="n"/>
      <c r="F655" s="13" t="n"/>
      <c r="G655" s="5" t="n"/>
      <c r="H655" s="9" t="n"/>
      <c r="I655" s="9" t="n"/>
      <c r="J655" s="9" t="n"/>
      <c r="K655" s="5" t="n"/>
      <c r="L655" s="5" t="n"/>
      <c r="M655" s="12" t="n"/>
      <c r="N655" s="9" t="n"/>
    </row>
    <row r="656" ht="61.5" customHeight="1">
      <c r="A656" s="9" t="n"/>
      <c r="B656" s="9" t="n"/>
      <c r="C656" s="9" t="n"/>
      <c r="D656" s="9" t="n"/>
      <c r="E656" s="11" t="n"/>
      <c r="F656" s="13" t="n"/>
      <c r="G656" s="5" t="n"/>
      <c r="H656" s="9" t="n"/>
      <c r="I656" s="9" t="n"/>
      <c r="J656" s="9" t="n"/>
      <c r="K656" s="5" t="n"/>
      <c r="L656" s="5" t="n"/>
      <c r="M656" s="12" t="n"/>
      <c r="N656" s="9" t="n"/>
    </row>
    <row r="657" ht="61.5" customHeight="1">
      <c r="A657" s="9" t="n"/>
      <c r="B657" s="9" t="n"/>
      <c r="C657" s="9" t="n"/>
      <c r="D657" s="9" t="n"/>
      <c r="E657" s="11" t="n"/>
      <c r="F657" s="13" t="n"/>
      <c r="G657" s="5" t="n"/>
      <c r="H657" s="9" t="n"/>
      <c r="I657" s="9" t="n"/>
      <c r="J657" s="9" t="n"/>
      <c r="K657" s="5" t="n"/>
      <c r="L657" s="5" t="n"/>
      <c r="M657" s="12" t="n"/>
      <c r="N657" s="9" t="n"/>
    </row>
    <row r="658" ht="61.5" customHeight="1">
      <c r="A658" s="9" t="n"/>
      <c r="B658" s="9" t="n"/>
      <c r="C658" s="9" t="n"/>
      <c r="D658" s="9" t="n"/>
      <c r="E658" s="11" t="n"/>
      <c r="F658" s="13" t="n"/>
      <c r="G658" s="5" t="n"/>
      <c r="H658" s="9" t="n"/>
      <c r="I658" s="9" t="n"/>
      <c r="J658" s="9" t="n"/>
      <c r="K658" s="5" t="n"/>
      <c r="L658" s="5" t="n"/>
      <c r="M658" s="12" t="n"/>
      <c r="N658" s="9" t="n"/>
    </row>
    <row r="659" ht="61.5" customHeight="1">
      <c r="A659" s="9" t="n"/>
      <c r="B659" s="9" t="n"/>
      <c r="C659" s="9" t="n"/>
      <c r="D659" s="9" t="n"/>
      <c r="E659" s="11" t="n"/>
      <c r="F659" s="13" t="n"/>
      <c r="G659" s="5" t="n"/>
      <c r="H659" s="9" t="n"/>
      <c r="I659" s="9" t="n"/>
      <c r="J659" s="9" t="n"/>
      <c r="K659" s="5" t="n"/>
      <c r="L659" s="5" t="n"/>
      <c r="M659" s="12" t="n"/>
      <c r="N659" s="9" t="n"/>
    </row>
    <row r="660" ht="61.5" customHeight="1">
      <c r="A660" s="9" t="n"/>
      <c r="B660" s="9" t="n"/>
      <c r="C660" s="9" t="n"/>
      <c r="D660" s="9" t="n"/>
      <c r="E660" s="11" t="n"/>
      <c r="F660" s="13" t="n"/>
      <c r="G660" s="5" t="n"/>
      <c r="H660" s="9" t="n"/>
      <c r="I660" s="9" t="n"/>
      <c r="J660" s="9" t="n"/>
      <c r="K660" s="5" t="n"/>
      <c r="L660" s="5" t="n"/>
      <c r="M660" s="12" t="n"/>
      <c r="N660" s="9" t="n"/>
    </row>
    <row r="661" ht="61.5" customHeight="1">
      <c r="A661" s="9" t="n"/>
      <c r="B661" s="9" t="n"/>
      <c r="C661" s="9" t="n"/>
      <c r="D661" s="9" t="n"/>
      <c r="E661" s="11" t="n"/>
      <c r="F661" s="13" t="n"/>
      <c r="G661" s="5" t="n"/>
      <c r="H661" s="9" t="n"/>
      <c r="I661" s="9" t="n"/>
      <c r="J661" s="9" t="n"/>
      <c r="K661" s="5" t="n"/>
      <c r="L661" s="5" t="n"/>
      <c r="M661" s="12" t="n"/>
      <c r="N661" s="9" t="n"/>
    </row>
    <row r="662" ht="61.5" customHeight="1">
      <c r="A662" s="9" t="n"/>
      <c r="B662" s="9" t="n"/>
      <c r="C662" s="9" t="n"/>
      <c r="D662" s="9" t="n"/>
      <c r="E662" s="11" t="n"/>
      <c r="F662" s="13" t="n"/>
      <c r="G662" s="5" t="n"/>
      <c r="H662" s="9" t="n"/>
      <c r="I662" s="9" t="n"/>
      <c r="J662" s="9" t="n"/>
      <c r="K662" s="5" t="n"/>
      <c r="L662" s="5" t="n"/>
      <c r="M662" s="12" t="n"/>
      <c r="N662" s="9" t="n"/>
    </row>
    <row r="663" ht="61.5" customHeight="1">
      <c r="A663" s="9" t="n"/>
      <c r="B663" s="9" t="n"/>
      <c r="C663" s="9" t="n"/>
      <c r="D663" s="9" t="n"/>
      <c r="E663" s="11" t="n"/>
      <c r="F663" s="13" t="n"/>
      <c r="G663" s="5" t="n"/>
      <c r="H663" s="9" t="n"/>
      <c r="I663" s="9" t="n"/>
      <c r="J663" s="9" t="n"/>
      <c r="K663" s="5" t="n"/>
      <c r="L663" s="5" t="n"/>
      <c r="M663" s="12" t="n"/>
      <c r="N663" s="9" t="n"/>
    </row>
    <row r="664" ht="61.5" customHeight="1">
      <c r="A664" s="9" t="n"/>
      <c r="B664" s="9" t="n"/>
      <c r="C664" s="9" t="n"/>
      <c r="D664" s="9" t="n"/>
      <c r="E664" s="11" t="n"/>
      <c r="F664" s="13" t="n"/>
      <c r="G664" s="5" t="n"/>
      <c r="H664" s="9" t="n"/>
      <c r="I664" s="9" t="n"/>
      <c r="J664" s="9" t="n"/>
      <c r="K664" s="5" t="n"/>
      <c r="L664" s="5" t="n"/>
      <c r="M664" s="12" t="n"/>
      <c r="N664" s="9" t="n"/>
    </row>
    <row r="665" ht="61.5" customHeight="1">
      <c r="A665" s="9" t="n"/>
      <c r="B665" s="9" t="n"/>
      <c r="C665" s="9" t="n"/>
      <c r="D665" s="9" t="n"/>
      <c r="E665" s="11" t="n"/>
      <c r="F665" s="13" t="n"/>
      <c r="G665" s="5" t="n"/>
      <c r="H665" s="9" t="n"/>
      <c r="I665" s="9" t="n"/>
      <c r="J665" s="9" t="n"/>
      <c r="K665" s="5" t="n"/>
      <c r="L665" s="5" t="n"/>
      <c r="M665" s="12" t="n"/>
      <c r="N665" s="9" t="n"/>
    </row>
    <row r="666" ht="61.5" customHeight="1">
      <c r="A666" s="9" t="n"/>
      <c r="B666" s="9" t="n"/>
      <c r="C666" s="9" t="n"/>
      <c r="D666" s="9" t="n"/>
      <c r="E666" s="11" t="n"/>
      <c r="F666" s="13" t="n"/>
      <c r="G666" s="5" t="n"/>
      <c r="H666" s="9" t="n"/>
      <c r="I666" s="9" t="n"/>
      <c r="J666" s="9" t="n"/>
      <c r="K666" s="5" t="n"/>
      <c r="L666" s="5" t="n"/>
      <c r="M666" s="12" t="n"/>
      <c r="N666" s="9" t="n"/>
    </row>
    <row r="667" ht="61.5" customHeight="1">
      <c r="A667" s="9" t="n"/>
      <c r="B667" s="9" t="n"/>
      <c r="C667" s="9" t="n"/>
      <c r="D667" s="9" t="n"/>
      <c r="E667" s="11" t="n"/>
      <c r="F667" s="13" t="n"/>
      <c r="G667" s="5" t="n"/>
      <c r="H667" s="9" t="n"/>
      <c r="I667" s="9" t="n"/>
      <c r="J667" s="9" t="n"/>
      <c r="K667" s="5" t="n"/>
      <c r="L667" s="5" t="n"/>
      <c r="M667" s="12" t="n"/>
      <c r="N667" s="9" t="n"/>
    </row>
    <row r="668" ht="61.5" customHeight="1">
      <c r="A668" s="9" t="n"/>
      <c r="B668" s="9" t="n"/>
      <c r="C668" s="9" t="n"/>
      <c r="D668" s="9" t="n"/>
      <c r="E668" s="11" t="n"/>
      <c r="F668" s="13" t="n"/>
      <c r="G668" s="5" t="n"/>
      <c r="H668" s="9" t="n"/>
      <c r="I668" s="9" t="n"/>
      <c r="J668" s="9" t="n"/>
      <c r="K668" s="5" t="n"/>
      <c r="L668" s="5" t="n"/>
      <c r="M668" s="12" t="n"/>
      <c r="N668" s="9" t="n"/>
    </row>
    <row r="669" ht="61.5" customHeight="1">
      <c r="A669" s="9" t="n"/>
      <c r="B669" s="9" t="n"/>
      <c r="C669" s="9" t="n"/>
      <c r="D669" s="9" t="n"/>
      <c r="E669" s="11" t="n"/>
      <c r="F669" s="13" t="n"/>
      <c r="G669" s="5" t="n"/>
      <c r="H669" s="9" t="n"/>
      <c r="I669" s="9" t="n"/>
      <c r="J669" s="9" t="n"/>
      <c r="K669" s="5" t="n"/>
      <c r="L669" s="5" t="n"/>
      <c r="M669" s="12" t="n"/>
      <c r="N669" s="9" t="n"/>
    </row>
    <row r="670" ht="61.5" customHeight="1">
      <c r="A670" s="9" t="n"/>
      <c r="B670" s="9" t="n"/>
      <c r="C670" s="9" t="n"/>
      <c r="D670" s="9" t="n"/>
      <c r="E670" s="11" t="n"/>
      <c r="F670" s="13" t="n"/>
      <c r="G670" s="5" t="n"/>
      <c r="H670" s="9" t="n"/>
      <c r="I670" s="9" t="n"/>
      <c r="J670" s="9" t="n"/>
      <c r="K670" s="5" t="n"/>
      <c r="L670" s="5" t="n"/>
      <c r="M670" s="12" t="n"/>
      <c r="N670" s="9" t="n"/>
    </row>
    <row r="671" ht="61.5" customHeight="1">
      <c r="A671" s="9" t="n"/>
      <c r="B671" s="9" t="n"/>
      <c r="C671" s="9" t="n"/>
      <c r="D671" s="9" t="n"/>
      <c r="E671" s="11" t="n"/>
      <c r="F671" s="13" t="n"/>
      <c r="G671" s="5" t="n"/>
      <c r="H671" s="9" t="n"/>
      <c r="I671" s="9" t="n"/>
      <c r="J671" s="9" t="n"/>
      <c r="K671" s="5" t="n"/>
      <c r="L671" s="5" t="n"/>
      <c r="M671" s="12" t="n"/>
      <c r="N671" s="9" t="n"/>
    </row>
    <row r="672" ht="61.5" customHeight="1">
      <c r="A672" s="9" t="n"/>
      <c r="B672" s="9" t="n"/>
      <c r="C672" s="9" t="n"/>
      <c r="D672" s="9" t="n"/>
      <c r="E672" s="11" t="n"/>
      <c r="F672" s="13" t="n"/>
      <c r="G672" s="5" t="n"/>
      <c r="H672" s="9" t="n"/>
      <c r="I672" s="9" t="n"/>
      <c r="J672" s="9" t="n"/>
      <c r="K672" s="5" t="n"/>
      <c r="L672" s="5" t="n"/>
      <c r="M672" s="12" t="n"/>
      <c r="N672" s="9" t="n"/>
    </row>
    <row r="673" ht="61.5" customHeight="1">
      <c r="A673" s="9" t="n"/>
      <c r="B673" s="9" t="n"/>
      <c r="C673" s="9" t="n"/>
      <c r="D673" s="9" t="n"/>
      <c r="E673" s="11" t="n"/>
      <c r="F673" s="13" t="n"/>
      <c r="G673" s="5" t="n"/>
      <c r="H673" s="9" t="n"/>
      <c r="I673" s="9" t="n"/>
      <c r="J673" s="9" t="n"/>
      <c r="K673" s="5" t="n"/>
      <c r="L673" s="5" t="n"/>
      <c r="M673" s="12" t="n"/>
      <c r="N673" s="9" t="n"/>
    </row>
    <row r="674" ht="61.5" customHeight="1">
      <c r="A674" s="9" t="n"/>
      <c r="B674" s="9" t="n"/>
      <c r="C674" s="9" t="n"/>
      <c r="D674" s="9" t="n"/>
      <c r="E674" s="11" t="n"/>
      <c r="F674" s="13" t="n"/>
      <c r="G674" s="5" t="n"/>
      <c r="H674" s="9" t="n"/>
      <c r="I674" s="9" t="n"/>
      <c r="J674" s="9" t="n"/>
      <c r="K674" s="5" t="n"/>
      <c r="L674" s="5" t="n"/>
      <c r="M674" s="12" t="n"/>
      <c r="N674" s="9" t="n"/>
    </row>
    <row r="675" ht="61.5" customHeight="1">
      <c r="A675" s="9" t="n"/>
      <c r="B675" s="9" t="n"/>
      <c r="C675" s="9" t="n"/>
      <c r="D675" s="9" t="n"/>
      <c r="E675" s="11" t="n"/>
      <c r="F675" s="13" t="n"/>
      <c r="G675" s="5" t="n"/>
      <c r="H675" s="9" t="n"/>
      <c r="I675" s="9" t="n"/>
      <c r="J675" s="9" t="n"/>
      <c r="K675" s="5" t="n"/>
      <c r="L675" s="5" t="n"/>
      <c r="M675" s="12" t="n"/>
      <c r="N675" s="9" t="n"/>
    </row>
    <row r="676" ht="61.5" customHeight="1">
      <c r="A676" s="9" t="n"/>
      <c r="B676" s="9" t="n"/>
      <c r="C676" s="9" t="n"/>
      <c r="D676" s="9" t="n"/>
      <c r="E676" s="11" t="n"/>
      <c r="F676" s="13" t="n"/>
      <c r="G676" s="5" t="n"/>
      <c r="H676" s="9" t="n"/>
      <c r="I676" s="9" t="n"/>
      <c r="J676" s="9" t="n"/>
      <c r="K676" s="5" t="n"/>
      <c r="L676" s="5" t="n"/>
      <c r="M676" s="12" t="n"/>
      <c r="N676" s="9" t="n"/>
    </row>
    <row r="677" ht="61.5" customHeight="1">
      <c r="A677" s="9" t="n"/>
      <c r="B677" s="9" t="n"/>
      <c r="C677" s="9" t="n"/>
      <c r="D677" s="9" t="n"/>
      <c r="E677" s="11" t="n"/>
      <c r="F677" s="13" t="n"/>
      <c r="G677" s="5" t="n"/>
      <c r="H677" s="9" t="n"/>
      <c r="I677" s="9" t="n"/>
      <c r="J677" s="9" t="n"/>
      <c r="K677" s="5" t="n"/>
      <c r="L677" s="5" t="n"/>
      <c r="M677" s="12" t="n"/>
      <c r="N677" s="9" t="n"/>
    </row>
    <row r="678" ht="61.5" customHeight="1">
      <c r="A678" s="9" t="n"/>
      <c r="B678" s="9" t="n"/>
      <c r="C678" s="9" t="n"/>
      <c r="D678" s="9" t="n"/>
      <c r="E678" s="11" t="n"/>
      <c r="F678" s="13" t="n"/>
      <c r="G678" s="5" t="n"/>
      <c r="H678" s="9" t="n"/>
      <c r="I678" s="9" t="n"/>
      <c r="J678" s="9" t="n"/>
      <c r="K678" s="5" t="n"/>
      <c r="L678" s="5" t="n"/>
      <c r="M678" s="12" t="n"/>
      <c r="N678" s="9" t="n"/>
    </row>
    <row r="679" ht="61.5" customHeight="1">
      <c r="A679" s="9" t="n"/>
      <c r="B679" s="9" t="n"/>
      <c r="C679" s="9" t="n"/>
      <c r="D679" s="9" t="n"/>
      <c r="E679" s="11" t="n"/>
      <c r="F679" s="13" t="n"/>
      <c r="G679" s="5" t="n"/>
      <c r="H679" s="9" t="n"/>
      <c r="I679" s="9" t="n"/>
      <c r="J679" s="9" t="n"/>
      <c r="K679" s="5" t="n"/>
      <c r="L679" s="5" t="n"/>
      <c r="M679" s="12" t="n"/>
      <c r="N679" s="9" t="n"/>
    </row>
    <row r="680" ht="61.5" customHeight="1">
      <c r="A680" s="9" t="n"/>
      <c r="B680" s="9" t="n"/>
      <c r="C680" s="9" t="n"/>
      <c r="D680" s="9" t="n"/>
      <c r="E680" s="11" t="n"/>
      <c r="F680" s="13" t="n"/>
      <c r="G680" s="5" t="n"/>
      <c r="H680" s="9" t="n"/>
      <c r="I680" s="9" t="n"/>
      <c r="J680" s="9" t="n"/>
      <c r="K680" s="5" t="n"/>
      <c r="L680" s="5" t="n"/>
      <c r="M680" s="12" t="n"/>
      <c r="N680" s="9" t="n"/>
    </row>
    <row r="681" ht="61.5" customHeight="1">
      <c r="A681" s="9" t="n"/>
      <c r="B681" s="9" t="n"/>
      <c r="C681" s="9" t="n"/>
      <c r="D681" s="9" t="n"/>
      <c r="E681" s="11" t="n"/>
      <c r="F681" s="13" t="n"/>
      <c r="G681" s="5" t="n"/>
      <c r="H681" s="9" t="n"/>
      <c r="I681" s="9" t="n"/>
      <c r="J681" s="9" t="n"/>
      <c r="K681" s="5" t="n"/>
      <c r="L681" s="5" t="n"/>
      <c r="M681" s="12" t="n"/>
      <c r="N681" s="9" t="n"/>
    </row>
    <row r="682" ht="61.5" customHeight="1">
      <c r="A682" s="9" t="n"/>
      <c r="B682" s="9" t="n"/>
      <c r="C682" s="9" t="n"/>
      <c r="D682" s="9" t="n"/>
      <c r="E682" s="11" t="n"/>
      <c r="F682" s="13" t="n"/>
      <c r="G682" s="5" t="n"/>
      <c r="H682" s="9" t="n"/>
      <c r="I682" s="9" t="n"/>
      <c r="J682" s="9" t="n"/>
      <c r="K682" s="5" t="n"/>
      <c r="L682" s="5" t="n"/>
      <c r="M682" s="12" t="n"/>
      <c r="N682" s="9" t="n"/>
    </row>
    <row r="683" ht="61.5" customHeight="1">
      <c r="A683" s="9" t="n"/>
      <c r="B683" s="9" t="n"/>
      <c r="C683" s="9" t="n"/>
      <c r="D683" s="9" t="n"/>
      <c r="E683" s="11" t="n"/>
      <c r="F683" s="13" t="n"/>
      <c r="G683" s="5" t="n"/>
      <c r="H683" s="9" t="n"/>
      <c r="I683" s="9" t="n"/>
      <c r="J683" s="9" t="n"/>
      <c r="K683" s="5" t="n"/>
      <c r="L683" s="5" t="n"/>
      <c r="M683" s="12" t="n"/>
      <c r="N683" s="9" t="n"/>
    </row>
    <row r="684" ht="61.5" customHeight="1">
      <c r="A684" s="9" t="n"/>
      <c r="B684" s="9" t="n"/>
      <c r="C684" s="9" t="n"/>
      <c r="D684" s="9" t="n"/>
      <c r="E684" s="11" t="n"/>
      <c r="F684" s="13" t="n"/>
      <c r="G684" s="5" t="n"/>
      <c r="H684" s="9" t="n"/>
      <c r="I684" s="9" t="n"/>
      <c r="J684" s="9" t="n"/>
      <c r="K684" s="5" t="n"/>
      <c r="L684" s="5" t="n"/>
      <c r="M684" s="12" t="n"/>
      <c r="N684" s="9" t="n"/>
    </row>
    <row r="685" ht="61.5" customHeight="1">
      <c r="A685" s="9" t="n"/>
      <c r="B685" s="9" t="n"/>
      <c r="C685" s="9" t="n"/>
      <c r="D685" s="9" t="n"/>
      <c r="E685" s="11" t="n"/>
      <c r="F685" s="13" t="n"/>
      <c r="G685" s="5" t="n"/>
      <c r="H685" s="9" t="n"/>
      <c r="I685" s="9" t="n"/>
      <c r="J685" s="9" t="n"/>
      <c r="K685" s="5" t="n"/>
      <c r="L685" s="5" t="n"/>
      <c r="M685" s="12" t="n"/>
      <c r="N685" s="9" t="n"/>
    </row>
    <row r="686" ht="61.5" customHeight="1">
      <c r="A686" s="9" t="n"/>
      <c r="B686" s="9" t="n"/>
      <c r="C686" s="9" t="n"/>
      <c r="D686" s="9" t="n"/>
      <c r="E686" s="11" t="n"/>
      <c r="F686" s="13" t="n"/>
      <c r="G686" s="5" t="n"/>
      <c r="H686" s="9" t="n"/>
      <c r="I686" s="9" t="n"/>
      <c r="J686" s="9" t="n"/>
      <c r="K686" s="5" t="n"/>
      <c r="L686" s="5" t="n"/>
      <c r="M686" s="12" t="n"/>
      <c r="N686" s="9" t="n"/>
    </row>
    <row r="687" ht="61.5" customHeight="1">
      <c r="A687" s="9" t="n"/>
      <c r="B687" s="9" t="n"/>
      <c r="C687" s="9" t="n"/>
      <c r="D687" s="9" t="n"/>
      <c r="E687" s="11" t="n"/>
      <c r="F687" s="13" t="n"/>
      <c r="G687" s="5" t="n"/>
      <c r="H687" s="9" t="n"/>
      <c r="I687" s="9" t="n"/>
      <c r="J687" s="9" t="n"/>
      <c r="K687" s="5" t="n"/>
      <c r="L687" s="5" t="n"/>
      <c r="M687" s="12" t="n"/>
      <c r="N687" s="9" t="n"/>
    </row>
    <row r="688" ht="61.5" customHeight="1">
      <c r="A688" s="9" t="n"/>
      <c r="B688" s="9" t="n"/>
      <c r="C688" s="9" t="n"/>
      <c r="D688" s="9" t="n"/>
      <c r="E688" s="11" t="n"/>
      <c r="F688" s="13" t="n"/>
      <c r="G688" s="5" t="n"/>
      <c r="H688" s="9" t="n"/>
      <c r="I688" s="9" t="n"/>
      <c r="J688" s="9" t="n"/>
      <c r="K688" s="5" t="n"/>
      <c r="L688" s="5" t="n"/>
      <c r="M688" s="12" t="n"/>
      <c r="N688" s="9" t="n"/>
    </row>
    <row r="689" ht="61.5" customHeight="1">
      <c r="A689" s="9" t="n"/>
      <c r="B689" s="9" t="n"/>
      <c r="C689" s="9" t="n"/>
      <c r="D689" s="9" t="n"/>
      <c r="E689" s="11" t="n"/>
      <c r="F689" s="13" t="n"/>
      <c r="G689" s="5" t="n"/>
      <c r="H689" s="9" t="n"/>
      <c r="I689" s="9" t="n"/>
      <c r="J689" s="9" t="n"/>
      <c r="K689" s="5" t="n"/>
      <c r="L689" s="5" t="n"/>
      <c r="M689" s="12" t="n"/>
      <c r="N689" s="9" t="n"/>
    </row>
    <row r="690" ht="61.5" customHeight="1">
      <c r="A690" s="9" t="n"/>
      <c r="B690" s="9" t="n"/>
      <c r="C690" s="9" t="n"/>
      <c r="D690" s="9" t="n"/>
      <c r="E690" s="11" t="n"/>
      <c r="F690" s="13" t="n"/>
      <c r="G690" s="5" t="n"/>
      <c r="H690" s="9" t="n"/>
      <c r="I690" s="9" t="n"/>
      <c r="J690" s="9" t="n"/>
      <c r="K690" s="5" t="n"/>
      <c r="L690" s="5" t="n"/>
      <c r="M690" s="12" t="n"/>
      <c r="N690" s="9" t="n"/>
    </row>
    <row r="691" ht="61.5" customHeight="1">
      <c r="A691" s="9" t="n"/>
      <c r="B691" s="9" t="n"/>
      <c r="C691" s="9" t="n"/>
      <c r="D691" s="9" t="n"/>
      <c r="E691" s="11" t="n"/>
      <c r="F691" s="13" t="n"/>
      <c r="G691" s="5" t="n"/>
      <c r="H691" s="9" t="n"/>
      <c r="I691" s="9" t="n"/>
      <c r="J691" s="9" t="n"/>
      <c r="K691" s="5" t="n"/>
      <c r="L691" s="5" t="n"/>
      <c r="M691" s="12" t="n"/>
      <c r="N691" s="9" t="n"/>
    </row>
    <row r="692" ht="61.5" customHeight="1">
      <c r="A692" s="9" t="n"/>
      <c r="B692" s="9" t="n"/>
      <c r="C692" s="9" t="n"/>
      <c r="D692" s="9" t="n"/>
      <c r="E692" s="11" t="n"/>
      <c r="F692" s="13" t="n"/>
      <c r="G692" s="5" t="n"/>
      <c r="H692" s="9" t="n"/>
      <c r="I692" s="9" t="n"/>
      <c r="J692" s="9" t="n"/>
      <c r="K692" s="5" t="n"/>
      <c r="L692" s="5" t="n"/>
      <c r="M692" s="12" t="n"/>
      <c r="N692" s="9" t="n"/>
    </row>
    <row r="693" ht="61.5" customHeight="1">
      <c r="A693" s="9" t="n"/>
      <c r="B693" s="9" t="n"/>
      <c r="C693" s="9" t="n"/>
      <c r="D693" s="9" t="n"/>
      <c r="E693" s="11" t="n"/>
      <c r="F693" s="13" t="n"/>
      <c r="G693" s="5" t="n"/>
      <c r="H693" s="9" t="n"/>
      <c r="I693" s="9" t="n"/>
      <c r="J693" s="9" t="n"/>
      <c r="K693" s="5" t="n"/>
      <c r="L693" s="5" t="n"/>
      <c r="M693" s="12" t="n"/>
      <c r="N693" s="9" t="n"/>
    </row>
    <row r="694" ht="61.5" customHeight="1">
      <c r="A694" s="9" t="n"/>
      <c r="B694" s="9" t="n"/>
      <c r="C694" s="9" t="n"/>
      <c r="D694" s="9" t="n"/>
      <c r="E694" s="11" t="n"/>
      <c r="F694" s="13" t="n"/>
      <c r="G694" s="5" t="n"/>
      <c r="H694" s="9" t="n"/>
      <c r="I694" s="9" t="n"/>
      <c r="J694" s="9" t="n"/>
      <c r="K694" s="5" t="n"/>
      <c r="L694" s="5" t="n"/>
      <c r="M694" s="12" t="n"/>
      <c r="N694" s="9" t="n"/>
    </row>
    <row r="695" ht="61.5" customHeight="1">
      <c r="A695" s="9" t="n"/>
      <c r="B695" s="9" t="n"/>
      <c r="C695" s="9" t="n"/>
      <c r="D695" s="9" t="n"/>
      <c r="E695" s="11" t="n"/>
      <c r="F695" s="13" t="n"/>
      <c r="G695" s="5" t="n"/>
      <c r="H695" s="9" t="n"/>
      <c r="I695" s="9" t="n"/>
      <c r="J695" s="9" t="n"/>
      <c r="K695" s="5" t="n"/>
      <c r="L695" s="5" t="n"/>
      <c r="M695" s="12" t="n"/>
      <c r="N695" s="9" t="n"/>
    </row>
    <row r="696" ht="61.5" customHeight="1">
      <c r="A696" s="9" t="n"/>
      <c r="B696" s="9" t="n"/>
      <c r="C696" s="9" t="n"/>
      <c r="D696" s="9" t="n"/>
      <c r="E696" s="11" t="n"/>
      <c r="F696" s="13" t="n"/>
      <c r="G696" s="5" t="n"/>
      <c r="H696" s="9" t="n"/>
      <c r="I696" s="9" t="n"/>
      <c r="J696" s="9" t="n"/>
      <c r="K696" s="5" t="n"/>
      <c r="L696" s="5" t="n"/>
      <c r="M696" s="12" t="n"/>
      <c r="N696" s="9" t="n"/>
    </row>
    <row r="697" ht="61.5" customHeight="1">
      <c r="A697" s="9" t="n"/>
      <c r="B697" s="9" t="n"/>
      <c r="C697" s="9" t="n"/>
      <c r="D697" s="9" t="n"/>
      <c r="E697" s="11" t="n"/>
      <c r="F697" s="13" t="n"/>
      <c r="G697" s="5" t="n"/>
      <c r="H697" s="9" t="n"/>
      <c r="I697" s="9" t="n"/>
      <c r="J697" s="9" t="n"/>
      <c r="K697" s="5" t="n"/>
      <c r="L697" s="5" t="n"/>
      <c r="M697" s="12" t="n"/>
      <c r="N697" s="9" t="n"/>
    </row>
    <row r="698" ht="61.5" customHeight="1">
      <c r="A698" s="9" t="n"/>
      <c r="B698" s="9" t="n"/>
      <c r="C698" s="9" t="n"/>
      <c r="D698" s="9" t="n"/>
      <c r="E698" s="11" t="n"/>
      <c r="F698" s="13" t="n"/>
      <c r="G698" s="5" t="n"/>
      <c r="H698" s="9" t="n"/>
      <c r="I698" s="9" t="n"/>
      <c r="J698" s="9" t="n"/>
      <c r="K698" s="5" t="n"/>
      <c r="L698" s="5" t="n"/>
      <c r="M698" s="12" t="n"/>
      <c r="N698" s="9" t="n"/>
    </row>
    <row r="699" ht="61.5" customHeight="1">
      <c r="A699" s="9" t="n"/>
      <c r="B699" s="9" t="n"/>
      <c r="C699" s="9" t="n"/>
      <c r="D699" s="9" t="n"/>
      <c r="E699" s="11" t="n"/>
      <c r="F699" s="13" t="n"/>
      <c r="G699" s="5" t="n"/>
      <c r="H699" s="9" t="n"/>
      <c r="I699" s="9" t="n"/>
      <c r="J699" s="9" t="n"/>
      <c r="K699" s="5" t="n"/>
      <c r="L699" s="5" t="n"/>
      <c r="M699" s="12" t="n"/>
      <c r="N699" s="9" t="n"/>
    </row>
    <row r="700" ht="61.5" customHeight="1">
      <c r="A700" s="9" t="n"/>
      <c r="B700" s="9" t="n"/>
      <c r="C700" s="9" t="n"/>
      <c r="D700" s="9" t="n"/>
      <c r="E700" s="11" t="n"/>
      <c r="F700" s="13" t="n"/>
      <c r="G700" s="5" t="n"/>
      <c r="H700" s="9" t="n"/>
      <c r="I700" s="9" t="n"/>
      <c r="J700" s="9" t="n"/>
      <c r="K700" s="5" t="n"/>
      <c r="L700" s="5" t="n"/>
      <c r="M700" s="12" t="n"/>
      <c r="N700" s="9" t="n"/>
    </row>
    <row r="701" ht="61.5" customHeight="1">
      <c r="A701" s="9" t="n"/>
      <c r="B701" s="9" t="n"/>
      <c r="C701" s="9" t="n"/>
      <c r="D701" s="9" t="n"/>
      <c r="E701" s="11" t="n"/>
      <c r="F701" s="13" t="n"/>
      <c r="G701" s="5" t="n"/>
      <c r="H701" s="9" t="n"/>
      <c r="I701" s="9" t="n"/>
      <c r="J701" s="9" t="n"/>
      <c r="K701" s="5" t="n"/>
      <c r="L701" s="5" t="n"/>
      <c r="M701" s="12" t="n"/>
      <c r="N701" s="9" t="n"/>
    </row>
    <row r="702" ht="61.5" customHeight="1">
      <c r="A702" s="9" t="n"/>
      <c r="B702" s="9" t="n"/>
      <c r="C702" s="9" t="n"/>
      <c r="D702" s="9" t="n"/>
      <c r="E702" s="11" t="n"/>
      <c r="F702" s="13" t="n"/>
      <c r="G702" s="5" t="n"/>
      <c r="H702" s="9" t="n"/>
      <c r="I702" s="9" t="n"/>
      <c r="J702" s="9" t="n"/>
      <c r="K702" s="5" t="n"/>
      <c r="L702" s="5" t="n"/>
      <c r="M702" s="12" t="n"/>
      <c r="N702" s="9" t="n"/>
    </row>
    <row r="703" ht="61.5" customHeight="1">
      <c r="A703" s="9" t="n"/>
      <c r="B703" s="9" t="n"/>
      <c r="C703" s="9" t="n"/>
      <c r="D703" s="9" t="n"/>
      <c r="E703" s="11" t="n"/>
      <c r="F703" s="13" t="n"/>
      <c r="G703" s="5" t="n"/>
      <c r="H703" s="9" t="n"/>
      <c r="I703" s="9" t="n"/>
      <c r="J703" s="9" t="n"/>
      <c r="K703" s="5" t="n"/>
      <c r="L703" s="5" t="n"/>
      <c r="M703" s="12" t="n"/>
      <c r="N703" s="9" t="n"/>
    </row>
    <row r="704" ht="61.5" customHeight="1">
      <c r="A704" s="9" t="n"/>
      <c r="B704" s="9" t="n"/>
      <c r="C704" s="9" t="n"/>
      <c r="D704" s="9" t="n"/>
      <c r="E704" s="11" t="n"/>
      <c r="F704" s="13" t="n"/>
      <c r="G704" s="5" t="n"/>
      <c r="H704" s="9" t="n"/>
      <c r="I704" s="9" t="n"/>
      <c r="J704" s="9" t="n"/>
      <c r="K704" s="5" t="n"/>
      <c r="L704" s="5" t="n"/>
      <c r="M704" s="12" t="n"/>
      <c r="N704" s="9" t="n"/>
    </row>
    <row r="705" ht="61.5" customHeight="1">
      <c r="A705" s="9" t="n"/>
      <c r="B705" s="9" t="n"/>
      <c r="C705" s="9" t="n"/>
      <c r="D705" s="9" t="n"/>
      <c r="E705" s="11" t="n"/>
      <c r="F705" s="13" t="n"/>
      <c r="G705" s="5" t="n"/>
      <c r="H705" s="9" t="n"/>
      <c r="I705" s="9" t="n"/>
      <c r="J705" s="9" t="n"/>
      <c r="K705" s="5" t="n"/>
      <c r="L705" s="5" t="n"/>
      <c r="M705" s="12" t="n"/>
      <c r="N705" s="9" t="n"/>
    </row>
    <row r="706" ht="61.5" customHeight="1">
      <c r="A706" s="9" t="n"/>
      <c r="B706" s="9" t="n"/>
      <c r="C706" s="9" t="n"/>
      <c r="D706" s="9" t="n"/>
      <c r="E706" s="11" t="n"/>
      <c r="F706" s="13" t="n"/>
      <c r="G706" s="5" t="n"/>
      <c r="H706" s="9" t="n"/>
      <c r="I706" s="9" t="n"/>
      <c r="J706" s="9" t="n"/>
      <c r="K706" s="5" t="n"/>
      <c r="L706" s="5" t="n"/>
      <c r="M706" s="12" t="n"/>
      <c r="N706" s="9" t="n"/>
    </row>
    <row r="707" ht="61.5" customHeight="1">
      <c r="A707" s="9" t="n"/>
      <c r="B707" s="9" t="n"/>
      <c r="C707" s="9" t="n"/>
      <c r="D707" s="9" t="n"/>
      <c r="E707" s="11" t="n"/>
      <c r="F707" s="13" t="n"/>
      <c r="G707" s="5" t="n"/>
      <c r="H707" s="9" t="n"/>
      <c r="I707" s="9" t="n"/>
      <c r="J707" s="9" t="n"/>
      <c r="K707" s="5" t="n"/>
      <c r="L707" s="5" t="n"/>
      <c r="M707" s="12" t="n"/>
      <c r="N707" s="9" t="n"/>
    </row>
    <row r="708" ht="61.5" customHeight="1">
      <c r="A708" s="9" t="n"/>
      <c r="B708" s="9" t="n"/>
      <c r="C708" s="9" t="n"/>
      <c r="D708" s="9" t="n"/>
      <c r="E708" s="11" t="n"/>
      <c r="F708" s="13" t="n"/>
      <c r="G708" s="5" t="n"/>
      <c r="H708" s="9" t="n"/>
      <c r="I708" s="9" t="n"/>
      <c r="J708" s="9" t="n"/>
      <c r="K708" s="5" t="n"/>
      <c r="L708" s="5" t="n"/>
      <c r="M708" s="12" t="n"/>
      <c r="N708" s="9" t="n"/>
    </row>
    <row r="709" ht="61.5" customHeight="1">
      <c r="A709" s="9" t="n"/>
      <c r="B709" s="9" t="n"/>
      <c r="C709" s="9" t="n"/>
      <c r="D709" s="9" t="n"/>
      <c r="E709" s="11" t="n"/>
      <c r="F709" s="13" t="n"/>
      <c r="G709" s="5" t="n"/>
      <c r="H709" s="9" t="n"/>
      <c r="I709" s="9" t="n"/>
      <c r="J709" s="9" t="n"/>
      <c r="K709" s="5" t="n"/>
      <c r="L709" s="5" t="n"/>
      <c r="M709" s="12" t="n"/>
      <c r="N709" s="9" t="n"/>
    </row>
    <row r="710" ht="61.5" customHeight="1">
      <c r="A710" s="9" t="n"/>
      <c r="B710" s="9" t="n"/>
      <c r="C710" s="9" t="n"/>
      <c r="D710" s="9" t="n"/>
      <c r="E710" s="11" t="n"/>
      <c r="F710" s="13" t="n"/>
      <c r="G710" s="5" t="n"/>
      <c r="H710" s="9" t="n"/>
      <c r="I710" s="9" t="n"/>
      <c r="J710" s="9" t="n"/>
      <c r="K710" s="5" t="n"/>
      <c r="L710" s="5" t="n"/>
      <c r="M710" s="12" t="n"/>
      <c r="N710" s="9" t="n"/>
    </row>
    <row r="711" ht="61.5" customHeight="1">
      <c r="A711" s="9" t="n"/>
      <c r="B711" s="9" t="n"/>
      <c r="C711" s="9" t="n"/>
      <c r="D711" s="9" t="n"/>
      <c r="E711" s="11" t="n"/>
      <c r="F711" s="13" t="n"/>
      <c r="G711" s="5" t="n"/>
      <c r="H711" s="9" t="n"/>
      <c r="I711" s="9" t="n"/>
      <c r="J711" s="9" t="n"/>
      <c r="K711" s="5" t="n"/>
      <c r="L711" s="5" t="n"/>
      <c r="M711" s="12" t="n"/>
      <c r="N711" s="9" t="n"/>
    </row>
    <row r="712" ht="61.5" customHeight="1">
      <c r="A712" s="9" t="n"/>
      <c r="B712" s="9" t="n"/>
      <c r="C712" s="9" t="n"/>
      <c r="D712" s="9" t="n"/>
      <c r="E712" s="11" t="n"/>
      <c r="F712" s="13" t="n"/>
      <c r="G712" s="5" t="n"/>
      <c r="H712" s="9" t="n"/>
      <c r="I712" s="9" t="n"/>
      <c r="J712" s="9" t="n"/>
      <c r="K712" s="5" t="n"/>
      <c r="L712" s="5" t="n"/>
      <c r="M712" s="12" t="n"/>
      <c r="N712" s="9" t="n"/>
    </row>
    <row r="713" ht="61.5" customHeight="1">
      <c r="A713" s="9" t="n"/>
      <c r="B713" s="9" t="n"/>
      <c r="C713" s="9" t="n"/>
      <c r="D713" s="9" t="n"/>
      <c r="E713" s="11" t="n"/>
      <c r="F713" s="13" t="n"/>
      <c r="G713" s="5" t="n"/>
      <c r="H713" s="9" t="n"/>
      <c r="I713" s="9" t="n"/>
      <c r="J713" s="9" t="n"/>
      <c r="K713" s="5" t="n"/>
      <c r="L713" s="5" t="n"/>
      <c r="M713" s="12" t="n"/>
      <c r="N713" s="9" t="n"/>
    </row>
    <row r="714" ht="61.5" customHeight="1">
      <c r="A714" s="9" t="n"/>
      <c r="B714" s="9" t="n"/>
      <c r="C714" s="9" t="n"/>
      <c r="D714" s="9" t="n"/>
      <c r="E714" s="11" t="n"/>
      <c r="F714" s="13" t="n"/>
      <c r="G714" s="5" t="n"/>
      <c r="H714" s="9" t="n"/>
      <c r="I714" s="9" t="n"/>
      <c r="J714" s="9" t="n"/>
      <c r="K714" s="5" t="n"/>
      <c r="L714" s="5" t="n"/>
      <c r="M714" s="12" t="n"/>
      <c r="N714" s="9" t="n"/>
    </row>
    <row r="715" ht="61.5" customHeight="1">
      <c r="A715" s="9" t="n"/>
      <c r="B715" s="9" t="n"/>
      <c r="C715" s="9" t="n"/>
      <c r="D715" s="9" t="n"/>
      <c r="E715" s="11" t="n"/>
      <c r="F715" s="13" t="n"/>
      <c r="G715" s="5" t="n"/>
      <c r="H715" s="9" t="n"/>
      <c r="I715" s="9" t="n"/>
      <c r="J715" s="9" t="n"/>
      <c r="K715" s="5" t="n"/>
      <c r="L715" s="5" t="n"/>
      <c r="M715" s="12" t="n"/>
      <c r="N715" s="9" t="n"/>
    </row>
    <row r="716" ht="61.5" customHeight="1">
      <c r="A716" s="9" t="n"/>
      <c r="B716" s="9" t="n"/>
      <c r="C716" s="9" t="n"/>
      <c r="D716" s="9" t="n"/>
      <c r="E716" s="11" t="n"/>
      <c r="F716" s="13" t="n"/>
      <c r="G716" s="5" t="n"/>
      <c r="H716" s="9" t="n"/>
      <c r="I716" s="9" t="n"/>
      <c r="J716" s="9" t="n"/>
      <c r="K716" s="5" t="n"/>
      <c r="L716" s="5" t="n"/>
      <c r="M716" s="12" t="n"/>
      <c r="N716" s="9" t="n"/>
    </row>
    <row r="717" ht="61.5" customHeight="1">
      <c r="A717" s="9" t="n"/>
      <c r="B717" s="9" t="n"/>
      <c r="C717" s="9" t="n"/>
      <c r="D717" s="9" t="n"/>
      <c r="E717" s="11" t="n"/>
      <c r="F717" s="13" t="n"/>
      <c r="G717" s="5" t="n"/>
      <c r="H717" s="9" t="n"/>
      <c r="I717" s="9" t="n"/>
      <c r="J717" s="9" t="n"/>
      <c r="K717" s="5" t="n"/>
      <c r="L717" s="5" t="n"/>
      <c r="M717" s="12" t="n"/>
      <c r="N717" s="9" t="n"/>
    </row>
    <row r="718" ht="61.5" customHeight="1">
      <c r="A718" s="9" t="n"/>
      <c r="B718" s="9" t="n"/>
      <c r="C718" s="9" t="n"/>
      <c r="D718" s="9" t="n"/>
      <c r="E718" s="11" t="n"/>
      <c r="F718" s="13" t="n"/>
      <c r="G718" s="5" t="n"/>
      <c r="H718" s="9" t="n"/>
      <c r="I718" s="9" t="n"/>
      <c r="J718" s="9" t="n"/>
      <c r="K718" s="5" t="n"/>
      <c r="L718" s="5" t="n"/>
      <c r="M718" s="12" t="n"/>
      <c r="N718" s="9" t="n"/>
    </row>
    <row r="719" ht="61.5" customHeight="1">
      <c r="A719" s="9" t="n"/>
      <c r="B719" s="9" t="n"/>
      <c r="C719" s="9" t="n"/>
      <c r="D719" s="9" t="n"/>
      <c r="E719" s="11" t="n"/>
      <c r="F719" s="13" t="n"/>
      <c r="G719" s="5" t="n"/>
      <c r="H719" s="9" t="n"/>
      <c r="I719" s="9" t="n"/>
      <c r="J719" s="9" t="n"/>
      <c r="K719" s="5" t="n"/>
      <c r="L719" s="5" t="n"/>
      <c r="M719" s="12" t="n"/>
      <c r="N719" s="9" t="n"/>
    </row>
    <row r="720" ht="61.5" customHeight="1">
      <c r="A720" s="9" t="n"/>
      <c r="B720" s="9" t="n"/>
      <c r="C720" s="9" t="n"/>
      <c r="D720" s="9" t="n"/>
      <c r="E720" s="11" t="n"/>
      <c r="F720" s="13" t="n"/>
      <c r="G720" s="5" t="n"/>
      <c r="H720" s="9" t="n"/>
      <c r="I720" s="9" t="n"/>
      <c r="J720" s="9" t="n"/>
      <c r="K720" s="5" t="n"/>
      <c r="L720" s="5" t="n"/>
      <c r="M720" s="12" t="n"/>
      <c r="N720" s="9" t="n"/>
    </row>
    <row r="721" ht="61.5" customHeight="1">
      <c r="A721" s="9" t="n"/>
      <c r="B721" s="9" t="n"/>
      <c r="C721" s="9" t="n"/>
      <c r="D721" s="9" t="n"/>
      <c r="E721" s="11" t="n"/>
      <c r="F721" s="13" t="n"/>
      <c r="G721" s="5" t="n"/>
      <c r="H721" s="9" t="n"/>
      <c r="I721" s="9" t="n"/>
      <c r="J721" s="9" t="n"/>
      <c r="K721" s="5" t="n"/>
      <c r="L721" s="5" t="n"/>
      <c r="M721" s="12" t="n"/>
      <c r="N721" s="9" t="n"/>
    </row>
    <row r="722" ht="61.5" customHeight="1">
      <c r="A722" s="9" t="n"/>
      <c r="B722" s="9" t="n"/>
      <c r="C722" s="9" t="n"/>
      <c r="D722" s="9" t="n"/>
      <c r="E722" s="11" t="n"/>
      <c r="F722" s="13" t="n"/>
      <c r="G722" s="5" t="n"/>
      <c r="H722" s="9" t="n"/>
      <c r="I722" s="9" t="n"/>
      <c r="J722" s="9" t="n"/>
      <c r="K722" s="5" t="n"/>
      <c r="L722" s="5" t="n"/>
      <c r="M722" s="12" t="n"/>
      <c r="N722" s="9" t="n"/>
    </row>
    <row r="723" ht="61.5" customHeight="1">
      <c r="A723" s="9" t="n"/>
      <c r="B723" s="9" t="n"/>
      <c r="C723" s="9" t="n"/>
      <c r="D723" s="9" t="n"/>
      <c r="E723" s="11" t="n"/>
      <c r="F723" s="13" t="n"/>
      <c r="G723" s="5" t="n"/>
      <c r="H723" s="9" t="n"/>
      <c r="I723" s="9" t="n"/>
      <c r="J723" s="9" t="n"/>
      <c r="K723" s="5" t="n"/>
      <c r="L723" s="5" t="n"/>
      <c r="M723" s="12" t="n"/>
      <c r="N723" s="9" t="n"/>
    </row>
    <row r="724" ht="61.5" customHeight="1">
      <c r="A724" s="9" t="n"/>
      <c r="B724" s="9" t="n"/>
      <c r="C724" s="9" t="n"/>
      <c r="D724" s="9" t="n"/>
      <c r="E724" s="11" t="n"/>
      <c r="F724" s="13" t="n"/>
      <c r="G724" s="5" t="n"/>
      <c r="H724" s="9" t="n"/>
      <c r="I724" s="9" t="n"/>
      <c r="J724" s="9" t="n"/>
      <c r="K724" s="5" t="n"/>
      <c r="L724" s="5" t="n"/>
      <c r="M724" s="12" t="n"/>
      <c r="N724" s="9" t="n"/>
    </row>
    <row r="725" ht="61.5" customHeight="1">
      <c r="A725" s="9" t="n"/>
      <c r="B725" s="9" t="n"/>
      <c r="C725" s="9" t="n"/>
      <c r="D725" s="9" t="n"/>
      <c r="E725" s="11" t="n"/>
      <c r="F725" s="13" t="n"/>
      <c r="G725" s="5" t="n"/>
      <c r="H725" s="9" t="n"/>
      <c r="I725" s="9" t="n"/>
      <c r="J725" s="9" t="n"/>
      <c r="K725" s="5" t="n"/>
      <c r="L725" s="5" t="n"/>
      <c r="M725" s="12" t="n"/>
      <c r="N725" s="9" t="n"/>
    </row>
    <row r="726" ht="61.5" customHeight="1">
      <c r="A726" s="9" t="n"/>
      <c r="B726" s="9" t="n"/>
      <c r="C726" s="9" t="n"/>
      <c r="D726" s="9" t="n"/>
      <c r="E726" s="11" t="n"/>
      <c r="F726" s="13" t="n"/>
      <c r="G726" s="5" t="n"/>
      <c r="H726" s="9" t="n"/>
      <c r="I726" s="9" t="n"/>
      <c r="J726" s="9" t="n"/>
      <c r="K726" s="5" t="n"/>
      <c r="L726" s="5" t="n"/>
      <c r="M726" s="12" t="n"/>
      <c r="N726" s="9" t="n"/>
    </row>
    <row r="727" ht="61.5" customHeight="1">
      <c r="A727" s="9" t="n"/>
      <c r="B727" s="9" t="n"/>
      <c r="C727" s="9" t="n"/>
      <c r="D727" s="9" t="n"/>
      <c r="E727" s="11" t="n"/>
      <c r="F727" s="13" t="n"/>
      <c r="G727" s="5" t="n"/>
      <c r="H727" s="9" t="n"/>
      <c r="I727" s="9" t="n"/>
      <c r="J727" s="9" t="n"/>
      <c r="K727" s="5" t="n"/>
      <c r="L727" s="5" t="n"/>
      <c r="M727" s="12" t="n"/>
      <c r="N727" s="9" t="n"/>
    </row>
    <row r="728" ht="61.5" customHeight="1">
      <c r="A728" s="9" t="n"/>
      <c r="B728" s="9" t="n"/>
      <c r="C728" s="9" t="n"/>
      <c r="D728" s="9" t="n"/>
      <c r="E728" s="11" t="n"/>
      <c r="F728" s="13" t="n"/>
      <c r="G728" s="5" t="n"/>
      <c r="H728" s="9" t="n"/>
      <c r="I728" s="9" t="n"/>
      <c r="J728" s="9" t="n"/>
      <c r="K728" s="5" t="n"/>
      <c r="L728" s="5" t="n"/>
      <c r="M728" s="12" t="n"/>
      <c r="N728" s="9" t="n"/>
    </row>
    <row r="729" ht="61.5" customHeight="1">
      <c r="A729" s="9" t="n"/>
      <c r="B729" s="9" t="n"/>
      <c r="C729" s="9" t="n"/>
      <c r="D729" s="9" t="n"/>
      <c r="E729" s="11" t="n"/>
      <c r="F729" s="13" t="n"/>
      <c r="G729" s="5" t="n"/>
      <c r="H729" s="9" t="n"/>
      <c r="I729" s="9" t="n"/>
      <c r="J729" s="9" t="n"/>
      <c r="K729" s="5" t="n"/>
      <c r="L729" s="5" t="n"/>
      <c r="M729" s="12" t="n"/>
      <c r="N729" s="9" t="n"/>
    </row>
    <row r="730" ht="61.5" customHeight="1">
      <c r="A730" s="9" t="n"/>
      <c r="B730" s="9" t="n"/>
      <c r="C730" s="9" t="n"/>
      <c r="D730" s="9" t="n"/>
      <c r="E730" s="11" t="n"/>
      <c r="F730" s="13" t="n"/>
      <c r="G730" s="5" t="n"/>
      <c r="H730" s="9" t="n"/>
      <c r="I730" s="9" t="n"/>
      <c r="J730" s="9" t="n"/>
      <c r="K730" s="5" t="n"/>
      <c r="L730" s="5" t="n"/>
      <c r="M730" s="12" t="n"/>
      <c r="N730" s="9" t="n"/>
    </row>
    <row r="731" ht="61.5" customHeight="1">
      <c r="A731" s="9" t="n"/>
      <c r="B731" s="9" t="n"/>
      <c r="C731" s="9" t="n"/>
      <c r="D731" s="9" t="n"/>
      <c r="E731" s="11" t="n"/>
      <c r="F731" s="13" t="n"/>
      <c r="G731" s="5" t="n"/>
      <c r="H731" s="9" t="n"/>
      <c r="I731" s="9" t="n"/>
      <c r="J731" s="9" t="n"/>
      <c r="K731" s="5" t="n"/>
      <c r="L731" s="5" t="n"/>
      <c r="M731" s="12" t="n"/>
      <c r="N731" s="9" t="n"/>
    </row>
    <row r="732" ht="61.5" customHeight="1">
      <c r="A732" s="9" t="n"/>
      <c r="B732" s="9" t="n"/>
      <c r="C732" s="9" t="n"/>
      <c r="D732" s="9" t="n"/>
      <c r="E732" s="11" t="n"/>
      <c r="F732" s="13" t="n"/>
      <c r="G732" s="5" t="n"/>
      <c r="H732" s="9" t="n"/>
      <c r="I732" s="9" t="n"/>
      <c r="J732" s="9" t="n"/>
      <c r="K732" s="5" t="n"/>
      <c r="L732" s="5" t="n"/>
      <c r="M732" s="12" t="n"/>
      <c r="N732" s="9" t="n"/>
    </row>
    <row r="733" ht="61.5" customHeight="1">
      <c r="A733" s="9" t="n"/>
      <c r="B733" s="9" t="n"/>
      <c r="C733" s="9" t="n"/>
      <c r="D733" s="9" t="n"/>
      <c r="E733" s="11" t="n"/>
      <c r="F733" s="13" t="n"/>
      <c r="G733" s="5" t="n"/>
      <c r="H733" s="9" t="n"/>
      <c r="I733" s="9" t="n"/>
      <c r="J733" s="9" t="n"/>
      <c r="K733" s="5" t="n"/>
      <c r="L733" s="5" t="n"/>
      <c r="M733" s="12" t="n"/>
      <c r="N733" s="9" t="n"/>
    </row>
    <row r="734" ht="61.5" customHeight="1">
      <c r="A734" s="9" t="n"/>
      <c r="B734" s="9" t="n"/>
      <c r="C734" s="9" t="n"/>
      <c r="D734" s="9" t="n"/>
      <c r="E734" s="11" t="n"/>
      <c r="F734" s="13" t="n"/>
      <c r="G734" s="5" t="n"/>
      <c r="H734" s="9" t="n"/>
      <c r="I734" s="9" t="n"/>
      <c r="J734" s="9" t="n"/>
      <c r="K734" s="5" t="n"/>
      <c r="L734" s="5" t="n"/>
      <c r="M734" s="12" t="n"/>
      <c r="N734" s="9" t="n"/>
    </row>
    <row r="735" ht="61.5" customHeight="1">
      <c r="A735" s="9" t="n"/>
      <c r="B735" s="9" t="n"/>
      <c r="C735" s="9" t="n"/>
      <c r="D735" s="9" t="n"/>
      <c r="E735" s="11" t="n"/>
      <c r="F735" s="13" t="n"/>
      <c r="G735" s="5" t="n"/>
      <c r="H735" s="9" t="n"/>
      <c r="I735" s="9" t="n"/>
      <c r="J735" s="9" t="n"/>
      <c r="K735" s="5" t="n"/>
      <c r="L735" s="5" t="n"/>
      <c r="M735" s="12" t="n"/>
      <c r="N735" s="9" t="n"/>
    </row>
    <row r="736" ht="61.5" customHeight="1">
      <c r="A736" s="9" t="n"/>
      <c r="B736" s="9" t="n"/>
      <c r="C736" s="9" t="n"/>
      <c r="D736" s="9" t="n"/>
      <c r="E736" s="11" t="n"/>
      <c r="F736" s="13" t="n"/>
      <c r="G736" s="5" t="n"/>
      <c r="H736" s="9" t="n"/>
      <c r="I736" s="9" t="n"/>
      <c r="J736" s="9" t="n"/>
      <c r="K736" s="5" t="n"/>
      <c r="L736" s="5" t="n"/>
      <c r="M736" s="12" t="n"/>
      <c r="N736" s="9" t="n"/>
    </row>
    <row r="737" ht="61.5" customHeight="1">
      <c r="A737" s="9" t="n"/>
      <c r="B737" s="9" t="n"/>
      <c r="C737" s="9" t="n"/>
      <c r="D737" s="9" t="n"/>
      <c r="E737" s="11" t="n"/>
      <c r="F737" s="13" t="n"/>
      <c r="G737" s="5" t="n"/>
      <c r="H737" s="9" t="n"/>
      <c r="I737" s="9" t="n"/>
      <c r="J737" s="9" t="n"/>
      <c r="K737" s="5" t="n"/>
      <c r="L737" s="5" t="n"/>
      <c r="M737" s="12" t="n"/>
      <c r="N737" s="9" t="n"/>
    </row>
    <row r="738" ht="61.5" customHeight="1">
      <c r="A738" s="9" t="n"/>
      <c r="B738" s="9" t="n"/>
      <c r="C738" s="9" t="n"/>
      <c r="D738" s="9" t="n"/>
      <c r="E738" s="11" t="n"/>
      <c r="F738" s="13" t="n"/>
      <c r="G738" s="5" t="n"/>
      <c r="H738" s="9" t="n"/>
      <c r="I738" s="9" t="n"/>
      <c r="J738" s="9" t="n"/>
      <c r="K738" s="5" t="n"/>
      <c r="L738" s="5" t="n"/>
      <c r="M738" s="12" t="n"/>
      <c r="N738" s="9" t="n"/>
    </row>
    <row r="739" ht="61.5" customHeight="1">
      <c r="A739" s="9" t="n"/>
      <c r="B739" s="9" t="n"/>
      <c r="C739" s="9" t="n"/>
      <c r="D739" s="9" t="n"/>
      <c r="E739" s="11" t="n"/>
      <c r="F739" s="13" t="n"/>
      <c r="G739" s="5" t="n"/>
      <c r="H739" s="9" t="n"/>
      <c r="I739" s="9" t="n"/>
      <c r="J739" s="9" t="n"/>
      <c r="K739" s="5" t="n"/>
      <c r="L739" s="5" t="n"/>
      <c r="M739" s="12" t="n"/>
      <c r="N739" s="9" t="n"/>
    </row>
    <row r="740" ht="61.5" customHeight="1">
      <c r="A740" s="9" t="n"/>
      <c r="B740" s="9" t="n"/>
      <c r="C740" s="9" t="n"/>
      <c r="D740" s="9" t="n"/>
      <c r="E740" s="11" t="n"/>
      <c r="F740" s="13" t="n"/>
      <c r="G740" s="5" t="n"/>
      <c r="H740" s="9" t="n"/>
      <c r="I740" s="9" t="n"/>
      <c r="J740" s="9" t="n"/>
      <c r="K740" s="5" t="n"/>
      <c r="L740" s="5" t="n"/>
      <c r="M740" s="12" t="n"/>
      <c r="N740" s="9" t="n"/>
    </row>
    <row r="741" ht="61.5" customHeight="1">
      <c r="A741" s="9" t="n"/>
      <c r="B741" s="9" t="n"/>
      <c r="C741" s="9" t="n"/>
      <c r="D741" s="9" t="n"/>
      <c r="E741" s="11" t="n"/>
      <c r="F741" s="13" t="n"/>
      <c r="G741" s="5" t="n"/>
      <c r="H741" s="9" t="n"/>
      <c r="I741" s="9" t="n"/>
      <c r="J741" s="9" t="n"/>
      <c r="K741" s="5" t="n"/>
      <c r="L741" s="5" t="n"/>
      <c r="M741" s="12" t="n"/>
      <c r="N741" s="9" t="n"/>
    </row>
    <row r="742" ht="61.5" customHeight="1">
      <c r="A742" s="9" t="n"/>
      <c r="B742" s="9" t="n"/>
      <c r="C742" s="9" t="n"/>
      <c r="D742" s="9" t="n"/>
      <c r="E742" s="11" t="n"/>
      <c r="F742" s="13" t="n"/>
      <c r="G742" s="5" t="n"/>
      <c r="H742" s="9" t="n"/>
      <c r="I742" s="9" t="n"/>
      <c r="J742" s="9" t="n"/>
      <c r="K742" s="5" t="n"/>
      <c r="L742" s="5" t="n"/>
      <c r="M742" s="12" t="n"/>
      <c r="N742" s="9" t="n"/>
    </row>
    <row r="743" ht="61.5" customHeight="1">
      <c r="A743" s="9" t="n"/>
      <c r="B743" s="9" t="n"/>
      <c r="C743" s="9" t="n"/>
      <c r="D743" s="9" t="n"/>
      <c r="E743" s="11" t="n"/>
      <c r="F743" s="13" t="n"/>
      <c r="G743" s="5" t="n"/>
      <c r="H743" s="9" t="n"/>
      <c r="I743" s="9" t="n"/>
      <c r="J743" s="9" t="n"/>
      <c r="K743" s="5" t="n"/>
      <c r="L743" s="5" t="n"/>
      <c r="M743" s="12" t="n"/>
      <c r="N743" s="9" t="n"/>
    </row>
    <row r="744" ht="61.5" customHeight="1">
      <c r="A744" s="9" t="n"/>
      <c r="B744" s="9" t="n"/>
      <c r="C744" s="9" t="n"/>
      <c r="D744" s="9" t="n"/>
      <c r="E744" s="11" t="n"/>
      <c r="F744" s="13" t="n"/>
      <c r="G744" s="5" t="n"/>
      <c r="H744" s="9" t="n"/>
      <c r="I744" s="9" t="n"/>
      <c r="J744" s="9" t="n"/>
      <c r="K744" s="5" t="n"/>
      <c r="L744" s="5" t="n"/>
      <c r="M744" s="12" t="n"/>
      <c r="N744" s="9" t="n"/>
    </row>
    <row r="745" ht="61.5" customHeight="1">
      <c r="A745" s="9" t="n"/>
      <c r="B745" s="9" t="n"/>
      <c r="C745" s="9" t="n"/>
      <c r="D745" s="9" t="n"/>
      <c r="E745" s="11" t="n"/>
      <c r="F745" s="13" t="n"/>
      <c r="G745" s="5" t="n"/>
      <c r="H745" s="9" t="n"/>
      <c r="I745" s="9" t="n"/>
      <c r="J745" s="9" t="n"/>
      <c r="K745" s="5" t="n"/>
      <c r="L745" s="5" t="n"/>
      <c r="M745" s="12" t="n"/>
      <c r="N745" s="9" t="n"/>
    </row>
    <row r="746" ht="61.5" customHeight="1">
      <c r="A746" s="9" t="n"/>
      <c r="B746" s="9" t="n"/>
      <c r="C746" s="9" t="n"/>
      <c r="D746" s="9" t="n"/>
      <c r="E746" s="11" t="n"/>
      <c r="F746" s="13" t="n"/>
      <c r="G746" s="5" t="n"/>
      <c r="H746" s="9" t="n"/>
      <c r="I746" s="9" t="n"/>
      <c r="J746" s="9" t="n"/>
      <c r="K746" s="5" t="n"/>
      <c r="L746" s="5" t="n"/>
      <c r="M746" s="12" t="n"/>
      <c r="N746" s="9" t="n"/>
    </row>
    <row r="747" ht="61.5" customHeight="1">
      <c r="A747" s="9" t="n"/>
      <c r="B747" s="9" t="n"/>
      <c r="C747" s="9" t="n"/>
      <c r="D747" s="9" t="n"/>
      <c r="E747" s="11" t="n"/>
      <c r="F747" s="13" t="n"/>
      <c r="G747" s="5" t="n"/>
      <c r="H747" s="9" t="n"/>
      <c r="I747" s="9" t="n"/>
      <c r="J747" s="9" t="n"/>
      <c r="K747" s="5" t="n"/>
      <c r="L747" s="5" t="n"/>
      <c r="M747" s="12" t="n"/>
      <c r="N747" s="9" t="n"/>
    </row>
    <row r="748" ht="61.5" customHeight="1">
      <c r="A748" s="9" t="n"/>
      <c r="B748" s="9" t="n"/>
      <c r="C748" s="9" t="n"/>
      <c r="D748" s="9" t="n"/>
      <c r="E748" s="11" t="n"/>
      <c r="F748" s="13" t="n"/>
      <c r="G748" s="5" t="n"/>
      <c r="H748" s="9" t="n"/>
      <c r="I748" s="9" t="n"/>
      <c r="J748" s="9" t="n"/>
      <c r="K748" s="5" t="n"/>
      <c r="L748" s="5" t="n"/>
      <c r="M748" s="12" t="n"/>
      <c r="N748" s="9" t="n"/>
    </row>
    <row r="749" ht="61.5" customHeight="1">
      <c r="A749" s="9" t="n"/>
      <c r="B749" s="9" t="n"/>
      <c r="C749" s="9" t="n"/>
      <c r="D749" s="9" t="n"/>
      <c r="E749" s="11" t="n"/>
      <c r="F749" s="13" t="n"/>
      <c r="G749" s="5" t="n"/>
      <c r="H749" s="9" t="n"/>
      <c r="I749" s="9" t="n"/>
      <c r="J749" s="9" t="n"/>
      <c r="K749" s="5" t="n"/>
      <c r="L749" s="5" t="n"/>
      <c r="M749" s="12" t="n"/>
      <c r="N749" s="9" t="n"/>
    </row>
    <row r="750" ht="61.5" customHeight="1">
      <c r="A750" s="9" t="n"/>
      <c r="B750" s="9" t="n"/>
      <c r="C750" s="9" t="n"/>
      <c r="D750" s="9" t="n"/>
      <c r="E750" s="11" t="n"/>
      <c r="F750" s="13" t="n"/>
      <c r="G750" s="5" t="n"/>
      <c r="H750" s="9" t="n"/>
      <c r="I750" s="9" t="n"/>
      <c r="J750" s="9" t="n"/>
      <c r="K750" s="5" t="n"/>
      <c r="L750" s="5" t="n"/>
      <c r="M750" s="12" t="n"/>
      <c r="N750" s="9" t="n"/>
    </row>
    <row r="751" ht="61.5" customHeight="1">
      <c r="A751" s="9" t="n"/>
      <c r="B751" s="9" t="n"/>
      <c r="C751" s="9" t="n"/>
      <c r="D751" s="9" t="n"/>
      <c r="E751" s="11" t="n"/>
      <c r="F751" s="13" t="n"/>
      <c r="G751" s="5" t="n"/>
      <c r="H751" s="9" t="n"/>
      <c r="I751" s="9" t="n"/>
      <c r="J751" s="9" t="n"/>
      <c r="K751" s="5" t="n"/>
      <c r="L751" s="5" t="n"/>
      <c r="M751" s="12" t="n"/>
      <c r="N751" s="9" t="n"/>
    </row>
    <row r="752" ht="61.5" customHeight="1">
      <c r="A752" s="9" t="n"/>
      <c r="B752" s="9" t="n"/>
      <c r="C752" s="9" t="n"/>
      <c r="D752" s="9" t="n"/>
      <c r="E752" s="11" t="n"/>
      <c r="F752" s="13" t="n"/>
      <c r="G752" s="5" t="n"/>
      <c r="H752" s="9" t="n"/>
      <c r="I752" s="9" t="n"/>
      <c r="J752" s="9" t="n"/>
      <c r="K752" s="5" t="n"/>
      <c r="L752" s="5" t="n"/>
      <c r="M752" s="12" t="n"/>
      <c r="N752" s="9" t="n"/>
    </row>
    <row r="753" ht="61.5" customHeight="1">
      <c r="A753" s="9" t="n"/>
      <c r="B753" s="9" t="n"/>
      <c r="C753" s="9" t="n"/>
      <c r="D753" s="9" t="n"/>
      <c r="E753" s="11" t="n"/>
      <c r="F753" s="13" t="n"/>
      <c r="G753" s="5" t="n"/>
      <c r="H753" s="9" t="n"/>
      <c r="I753" s="9" t="n"/>
      <c r="J753" s="9" t="n"/>
      <c r="K753" s="5" t="n"/>
      <c r="L753" s="5" t="n"/>
      <c r="M753" s="12" t="n"/>
      <c r="N753" s="9" t="n"/>
    </row>
    <row r="754" ht="61.5" customHeight="1">
      <c r="A754" s="9" t="n"/>
      <c r="B754" s="9" t="n"/>
      <c r="C754" s="9" t="n"/>
      <c r="D754" s="9" t="n"/>
      <c r="E754" s="11" t="n"/>
      <c r="F754" s="13" t="n"/>
      <c r="G754" s="5" t="n"/>
      <c r="H754" s="9" t="n"/>
      <c r="I754" s="9" t="n"/>
      <c r="J754" s="9" t="n"/>
      <c r="K754" s="5" t="n"/>
      <c r="L754" s="5" t="n"/>
      <c r="M754" s="12" t="n"/>
      <c r="N754" s="9" t="n"/>
    </row>
    <row r="755" ht="61.5" customHeight="1">
      <c r="A755" s="9" t="n"/>
      <c r="B755" s="9" t="n"/>
      <c r="C755" s="9" t="n"/>
      <c r="D755" s="9" t="n"/>
      <c r="E755" s="11" t="n"/>
      <c r="F755" s="13" t="n"/>
      <c r="G755" s="5" t="n"/>
      <c r="H755" s="9" t="n"/>
      <c r="I755" s="9" t="n"/>
      <c r="J755" s="9" t="n"/>
      <c r="K755" s="5" t="n"/>
      <c r="L755" s="5" t="n"/>
      <c r="M755" s="12" t="n"/>
      <c r="N755" s="9" t="n"/>
    </row>
    <row r="756" ht="61.5" customHeight="1">
      <c r="A756" s="9" t="n"/>
      <c r="B756" s="9" t="n"/>
      <c r="C756" s="9" t="n"/>
      <c r="D756" s="9" t="n"/>
      <c r="E756" s="11" t="n"/>
      <c r="F756" s="13" t="n"/>
      <c r="G756" s="5" t="n"/>
      <c r="H756" s="9" t="n"/>
      <c r="I756" s="9" t="n"/>
      <c r="J756" s="9" t="n"/>
      <c r="K756" s="5" t="n"/>
      <c r="L756" s="5" t="n"/>
      <c r="M756" s="12" t="n"/>
      <c r="N756" s="9" t="n"/>
    </row>
    <row r="757" ht="61.5" customHeight="1">
      <c r="A757" s="9" t="n"/>
      <c r="B757" s="9" t="n"/>
      <c r="C757" s="9" t="n"/>
      <c r="D757" s="9" t="n"/>
      <c r="E757" s="11" t="n"/>
      <c r="F757" s="13" t="n"/>
      <c r="G757" s="5" t="n"/>
      <c r="H757" s="9" t="n"/>
      <c r="I757" s="9" t="n"/>
      <c r="J757" s="9" t="n"/>
      <c r="K757" s="5" t="n"/>
      <c r="L757" s="5" t="n"/>
      <c r="M757" s="12" t="n"/>
      <c r="N757" s="9" t="n"/>
    </row>
    <row r="758" ht="61.5" customHeight="1">
      <c r="A758" s="9" t="n"/>
      <c r="B758" s="9" t="n"/>
      <c r="C758" s="9" t="n"/>
      <c r="D758" s="9" t="n"/>
      <c r="E758" s="11" t="n"/>
      <c r="F758" s="13" t="n"/>
      <c r="G758" s="5" t="n"/>
      <c r="H758" s="9" t="n"/>
      <c r="I758" s="9" t="n"/>
      <c r="J758" s="9" t="n"/>
      <c r="K758" s="5" t="n"/>
      <c r="L758" s="5" t="n"/>
      <c r="M758" s="12" t="n"/>
      <c r="N758" s="9" t="n"/>
    </row>
    <row r="759" ht="61.5" customHeight="1">
      <c r="A759" s="9" t="n"/>
      <c r="B759" s="9" t="n"/>
      <c r="C759" s="9" t="n"/>
      <c r="D759" s="9" t="n"/>
      <c r="E759" s="11" t="n"/>
      <c r="F759" s="13" t="n"/>
      <c r="G759" s="5" t="n"/>
      <c r="H759" s="9" t="n"/>
      <c r="I759" s="9" t="n"/>
      <c r="J759" s="9" t="n"/>
      <c r="K759" s="5" t="n"/>
      <c r="L759" s="5" t="n"/>
      <c r="M759" s="12" t="n"/>
      <c r="N759" s="9" t="n"/>
    </row>
    <row r="760" ht="61.5" customHeight="1">
      <c r="A760" s="9" t="n"/>
      <c r="B760" s="9" t="n"/>
      <c r="C760" s="9" t="n"/>
      <c r="D760" s="9" t="n"/>
      <c r="E760" s="11" t="n"/>
      <c r="F760" s="13" t="n"/>
      <c r="G760" s="5" t="n"/>
      <c r="H760" s="9" t="n"/>
      <c r="I760" s="9" t="n"/>
      <c r="J760" s="9" t="n"/>
      <c r="K760" s="5" t="n"/>
      <c r="L760" s="5" t="n"/>
      <c r="M760" s="12" t="n"/>
      <c r="N760" s="9" t="n"/>
    </row>
    <row r="761" ht="61.5" customHeight="1">
      <c r="A761" s="9" t="n"/>
      <c r="B761" s="9" t="n"/>
      <c r="C761" s="9" t="n"/>
      <c r="D761" s="9" t="n"/>
      <c r="E761" s="11" t="n"/>
      <c r="F761" s="13" t="n"/>
      <c r="G761" s="5" t="n"/>
      <c r="H761" s="9" t="n"/>
      <c r="I761" s="9" t="n"/>
      <c r="J761" s="9" t="n"/>
      <c r="K761" s="5" t="n"/>
      <c r="L761" s="5" t="n"/>
      <c r="M761" s="12" t="n"/>
      <c r="N761" s="9" t="n"/>
    </row>
    <row r="762" ht="61.5" customHeight="1">
      <c r="A762" s="9" t="n"/>
      <c r="B762" s="9" t="n"/>
      <c r="C762" s="9" t="n"/>
      <c r="D762" s="9" t="n"/>
      <c r="E762" s="11" t="n"/>
      <c r="F762" s="13" t="n"/>
      <c r="G762" s="5" t="n"/>
      <c r="H762" s="9" t="n"/>
      <c r="I762" s="9" t="n"/>
      <c r="J762" s="9" t="n"/>
      <c r="K762" s="5" t="n"/>
      <c r="L762" s="5" t="n"/>
      <c r="M762" s="12" t="n"/>
      <c r="N762" s="9" t="n"/>
    </row>
    <row r="763" ht="61.5" customHeight="1">
      <c r="A763" s="9" t="n"/>
      <c r="B763" s="9" t="n"/>
      <c r="C763" s="9" t="n"/>
      <c r="D763" s="9" t="n"/>
      <c r="E763" s="11" t="n"/>
      <c r="F763" s="13" t="n"/>
      <c r="G763" s="5" t="n"/>
      <c r="H763" s="9" t="n"/>
      <c r="I763" s="9" t="n"/>
      <c r="J763" s="9" t="n"/>
      <c r="K763" s="5" t="n"/>
      <c r="L763" s="5" t="n"/>
      <c r="M763" s="12" t="n"/>
      <c r="N763" s="9" t="n"/>
    </row>
    <row r="764" ht="61.5" customHeight="1">
      <c r="A764" s="9" t="n"/>
      <c r="B764" s="9" t="n"/>
      <c r="C764" s="9" t="n"/>
      <c r="D764" s="9" t="n"/>
      <c r="E764" s="11" t="n"/>
      <c r="F764" s="13" t="n"/>
      <c r="G764" s="5" t="n"/>
      <c r="H764" s="9" t="n"/>
      <c r="I764" s="9" t="n"/>
      <c r="J764" s="9" t="n"/>
      <c r="K764" s="5" t="n"/>
      <c r="L764" s="5" t="n"/>
      <c r="M764" s="12" t="n"/>
      <c r="N764" s="9" t="n"/>
    </row>
    <row r="765" ht="61.5" customHeight="1">
      <c r="A765" s="9" t="n"/>
      <c r="B765" s="9" t="n"/>
      <c r="C765" s="9" t="n"/>
      <c r="D765" s="9" t="n"/>
      <c r="E765" s="11" t="n"/>
      <c r="F765" s="13" t="n"/>
      <c r="G765" s="5" t="n"/>
      <c r="H765" s="9" t="n"/>
      <c r="I765" s="9" t="n"/>
      <c r="J765" s="9" t="n"/>
      <c r="K765" s="5" t="n"/>
      <c r="L765" s="5" t="n"/>
      <c r="M765" s="12" t="n"/>
      <c r="N765" s="9" t="n"/>
    </row>
    <row r="766" ht="61.5" customHeight="1">
      <c r="A766" s="9" t="n"/>
      <c r="B766" s="9" t="n"/>
      <c r="C766" s="9" t="n"/>
      <c r="D766" s="9" t="n"/>
      <c r="E766" s="11" t="n"/>
      <c r="F766" s="13" t="n"/>
      <c r="G766" s="5" t="n"/>
      <c r="H766" s="9" t="n"/>
      <c r="I766" s="9" t="n"/>
      <c r="J766" s="9" t="n"/>
      <c r="K766" s="5" t="n"/>
      <c r="L766" s="5" t="n"/>
      <c r="M766" s="12" t="n"/>
      <c r="N766" s="9" t="n"/>
    </row>
    <row r="767" ht="61.5" customHeight="1">
      <c r="A767" s="9" t="n"/>
      <c r="B767" s="9" t="n"/>
      <c r="C767" s="9" t="n"/>
      <c r="D767" s="9" t="n"/>
      <c r="E767" s="11" t="n"/>
      <c r="F767" s="13" t="n"/>
      <c r="G767" s="5" t="n"/>
      <c r="H767" s="9" t="n"/>
      <c r="I767" s="9" t="n"/>
      <c r="J767" s="9" t="n"/>
      <c r="K767" s="5" t="n"/>
      <c r="L767" s="5" t="n"/>
      <c r="M767" s="12" t="n"/>
      <c r="N767" s="9" t="n"/>
    </row>
    <row r="768" ht="61.5" customHeight="1">
      <c r="A768" s="9" t="n"/>
      <c r="B768" s="9" t="n"/>
      <c r="C768" s="9" t="n"/>
      <c r="D768" s="9" t="n"/>
      <c r="E768" s="11" t="n"/>
      <c r="F768" s="13" t="n"/>
      <c r="G768" s="5" t="n"/>
      <c r="H768" s="9" t="n"/>
      <c r="I768" s="9" t="n"/>
      <c r="J768" s="9" t="n"/>
      <c r="K768" s="5" t="n"/>
      <c r="L768" s="5" t="n"/>
      <c r="M768" s="12" t="n"/>
      <c r="N768" s="9" t="n"/>
    </row>
    <row r="769" ht="61.5" customHeight="1">
      <c r="A769" s="9" t="n"/>
      <c r="B769" s="9" t="n"/>
      <c r="C769" s="9" t="n"/>
      <c r="D769" s="9" t="n"/>
      <c r="E769" s="11" t="n"/>
      <c r="F769" s="13" t="n"/>
      <c r="G769" s="5" t="n"/>
      <c r="H769" s="9" t="n"/>
      <c r="I769" s="9" t="n"/>
      <c r="J769" s="9" t="n"/>
      <c r="K769" s="5" t="n"/>
      <c r="L769" s="5" t="n"/>
      <c r="M769" s="12" t="n"/>
      <c r="N769" s="9" t="n"/>
    </row>
    <row r="770" ht="61.5" customHeight="1">
      <c r="A770" s="9" t="n"/>
      <c r="B770" s="9" t="n"/>
      <c r="C770" s="9" t="n"/>
      <c r="D770" s="9" t="n"/>
      <c r="E770" s="11" t="n"/>
      <c r="F770" s="13" t="n"/>
      <c r="G770" s="5" t="n"/>
      <c r="H770" s="9" t="n"/>
      <c r="I770" s="9" t="n"/>
      <c r="J770" s="9" t="n"/>
      <c r="K770" s="5" t="n"/>
      <c r="L770" s="5" t="n"/>
      <c r="M770" s="12" t="n"/>
      <c r="N770" s="9" t="n"/>
    </row>
    <row r="771" ht="61.5" customHeight="1">
      <c r="A771" s="9" t="n"/>
      <c r="B771" s="9" t="n"/>
      <c r="C771" s="9" t="n"/>
      <c r="D771" s="9" t="n"/>
      <c r="E771" s="11" t="n"/>
      <c r="F771" s="13" t="n"/>
      <c r="G771" s="5" t="n"/>
      <c r="H771" s="9" t="n"/>
      <c r="I771" s="9" t="n"/>
      <c r="J771" s="9" t="n"/>
      <c r="K771" s="5" t="n"/>
      <c r="L771" s="5" t="n"/>
      <c r="M771" s="12" t="n"/>
      <c r="N771" s="9" t="n"/>
    </row>
    <row r="772" ht="61.5" customHeight="1">
      <c r="A772" s="9" t="n"/>
      <c r="B772" s="9" t="n"/>
      <c r="C772" s="9" t="n"/>
      <c r="D772" s="9" t="n"/>
      <c r="E772" s="11" t="n"/>
      <c r="F772" s="13" t="n"/>
      <c r="G772" s="5" t="n"/>
      <c r="H772" s="9" t="n"/>
      <c r="I772" s="9" t="n"/>
      <c r="J772" s="9" t="n"/>
      <c r="K772" s="5" t="n"/>
      <c r="L772" s="5" t="n"/>
      <c r="M772" s="12" t="n"/>
      <c r="N772" s="9" t="n"/>
    </row>
    <row r="773" ht="61.5" customHeight="1">
      <c r="A773" s="9" t="n"/>
      <c r="B773" s="9" t="n"/>
      <c r="C773" s="9" t="n"/>
      <c r="D773" s="9" t="n"/>
      <c r="E773" s="11" t="n"/>
      <c r="F773" s="13" t="n"/>
      <c r="G773" s="5" t="n"/>
      <c r="H773" s="9" t="n"/>
      <c r="I773" s="9" t="n"/>
      <c r="J773" s="9" t="n"/>
      <c r="K773" s="5" t="n"/>
      <c r="L773" s="5" t="n"/>
      <c r="M773" s="12" t="n"/>
      <c r="N773" s="9" t="n"/>
    </row>
    <row r="774" ht="61.5" customHeight="1">
      <c r="A774" s="9" t="n"/>
      <c r="B774" s="9" t="n"/>
      <c r="C774" s="9" t="n"/>
      <c r="D774" s="9" t="n"/>
      <c r="E774" s="11" t="n"/>
      <c r="F774" s="13" t="n"/>
      <c r="G774" s="5" t="n"/>
      <c r="H774" s="9" t="n"/>
      <c r="I774" s="9" t="n"/>
      <c r="J774" s="9" t="n"/>
      <c r="K774" s="5" t="n"/>
      <c r="L774" s="5" t="n"/>
      <c r="M774" s="12" t="n"/>
      <c r="N774" s="9" t="n"/>
    </row>
    <row r="775" ht="61.5" customHeight="1">
      <c r="A775" s="9" t="n"/>
      <c r="B775" s="9" t="n"/>
      <c r="C775" s="9" t="n"/>
      <c r="D775" s="9" t="n"/>
      <c r="E775" s="11" t="n"/>
      <c r="F775" s="13" t="n"/>
      <c r="G775" s="5" t="n"/>
      <c r="H775" s="9" t="n"/>
      <c r="I775" s="9" t="n"/>
      <c r="J775" s="9" t="n"/>
      <c r="K775" s="5" t="n"/>
      <c r="L775" s="5" t="n"/>
      <c r="M775" s="12" t="n"/>
      <c r="N775" s="9" t="n"/>
    </row>
    <row r="776" ht="61.5" customHeight="1">
      <c r="A776" s="9" t="n"/>
      <c r="B776" s="9" t="n"/>
      <c r="C776" s="9" t="n"/>
      <c r="D776" s="9" t="n"/>
      <c r="E776" s="11" t="n"/>
      <c r="F776" s="13" t="n"/>
      <c r="G776" s="5" t="n"/>
      <c r="H776" s="9" t="n"/>
      <c r="I776" s="9" t="n"/>
      <c r="J776" s="9" t="n"/>
      <c r="K776" s="5" t="n"/>
      <c r="L776" s="5" t="n"/>
      <c r="M776" s="12" t="n"/>
      <c r="N776" s="9" t="n"/>
    </row>
    <row r="777" ht="61.5" customHeight="1">
      <c r="A777" s="9" t="n"/>
      <c r="B777" s="9" t="n"/>
      <c r="C777" s="9" t="n"/>
      <c r="D777" s="9" t="n"/>
      <c r="E777" s="11" t="n"/>
      <c r="F777" s="13" t="n"/>
      <c r="G777" s="5" t="n"/>
      <c r="H777" s="9" t="n"/>
      <c r="I777" s="9" t="n"/>
      <c r="J777" s="9" t="n"/>
      <c r="K777" s="5" t="n"/>
      <c r="L777" s="5" t="n"/>
      <c r="M777" s="12" t="n"/>
      <c r="N777" s="9" t="n"/>
    </row>
    <row r="778" ht="61.5" customHeight="1">
      <c r="A778" s="9" t="n"/>
      <c r="B778" s="9" t="n"/>
      <c r="C778" s="9" t="n"/>
      <c r="D778" s="9" t="n"/>
      <c r="E778" s="11" t="n"/>
      <c r="F778" s="13" t="n"/>
      <c r="G778" s="5" t="n"/>
      <c r="H778" s="9" t="n"/>
      <c r="I778" s="9" t="n"/>
      <c r="J778" s="9" t="n"/>
      <c r="K778" s="5" t="n"/>
      <c r="L778" s="5" t="n"/>
      <c r="M778" s="12" t="n"/>
      <c r="N778" s="9" t="n"/>
    </row>
    <row r="779" ht="61.5" customHeight="1">
      <c r="A779" s="9" t="n"/>
      <c r="B779" s="9" t="n"/>
      <c r="C779" s="9" t="n"/>
      <c r="D779" s="9" t="n"/>
      <c r="E779" s="11" t="n"/>
      <c r="F779" s="13" t="n"/>
      <c r="G779" s="5" t="n"/>
      <c r="H779" s="9" t="n"/>
      <c r="I779" s="9" t="n"/>
      <c r="J779" s="9" t="n"/>
      <c r="K779" s="5" t="n"/>
      <c r="L779" s="5" t="n"/>
      <c r="M779" s="12" t="n"/>
      <c r="N779" s="9" t="n"/>
    </row>
    <row r="780" ht="61.5" customHeight="1">
      <c r="A780" s="9" t="n"/>
      <c r="B780" s="9" t="n"/>
      <c r="C780" s="9" t="n"/>
      <c r="D780" s="9" t="n"/>
      <c r="E780" s="11" t="n"/>
      <c r="F780" s="13" t="n"/>
      <c r="G780" s="5" t="n"/>
      <c r="H780" s="9" t="n"/>
      <c r="I780" s="9" t="n"/>
      <c r="J780" s="9" t="n"/>
      <c r="K780" s="5" t="n"/>
      <c r="L780" s="5" t="n"/>
      <c r="M780" s="12" t="n"/>
      <c r="N780" s="9" t="n"/>
    </row>
    <row r="781" ht="61.5" customHeight="1">
      <c r="A781" s="9" t="n"/>
      <c r="B781" s="9" t="n"/>
      <c r="C781" s="9" t="n"/>
      <c r="D781" s="9" t="n"/>
      <c r="E781" s="11" t="n"/>
      <c r="F781" s="13" t="n"/>
      <c r="G781" s="5" t="n"/>
      <c r="H781" s="9" t="n"/>
      <c r="I781" s="9" t="n"/>
      <c r="J781" s="9" t="n"/>
      <c r="K781" s="5" t="n"/>
      <c r="L781" s="5" t="n"/>
      <c r="M781" s="12" t="n"/>
      <c r="N781" s="9" t="n"/>
    </row>
    <row r="782" ht="61.5" customHeight="1">
      <c r="A782" s="9" t="n"/>
      <c r="B782" s="9" t="n"/>
      <c r="C782" s="9" t="n"/>
      <c r="D782" s="9" t="n"/>
      <c r="E782" s="11" t="n"/>
      <c r="F782" s="13" t="n"/>
      <c r="G782" s="5" t="n"/>
      <c r="H782" s="9" t="n"/>
      <c r="I782" s="9" t="n"/>
      <c r="J782" s="9" t="n"/>
      <c r="K782" s="5" t="n"/>
      <c r="L782" s="5" t="n"/>
      <c r="M782" s="12" t="n"/>
      <c r="N782" s="9" t="n"/>
    </row>
    <row r="783" ht="61.5" customHeight="1">
      <c r="A783" s="9" t="n"/>
      <c r="B783" s="9" t="n"/>
      <c r="C783" s="9" t="n"/>
      <c r="D783" s="9" t="n"/>
      <c r="E783" s="11" t="n"/>
      <c r="F783" s="13" t="n"/>
      <c r="G783" s="5" t="n"/>
      <c r="H783" s="9" t="n"/>
      <c r="I783" s="9" t="n"/>
      <c r="J783" s="9" t="n"/>
      <c r="K783" s="5" t="n"/>
      <c r="L783" s="5" t="n"/>
      <c r="M783" s="12" t="n"/>
      <c r="N783" s="9" t="n"/>
    </row>
    <row r="784" ht="61.5" customHeight="1">
      <c r="A784" s="9" t="n"/>
      <c r="B784" s="9" t="n"/>
      <c r="C784" s="9" t="n"/>
      <c r="D784" s="9" t="n"/>
      <c r="E784" s="11" t="n"/>
      <c r="F784" s="13" t="n"/>
      <c r="G784" s="5" t="n"/>
      <c r="H784" s="9" t="n"/>
      <c r="I784" s="9" t="n"/>
      <c r="J784" s="9" t="n"/>
      <c r="K784" s="5" t="n"/>
      <c r="L784" s="5" t="n"/>
      <c r="M784" s="12" t="n"/>
      <c r="N784" s="9" t="n"/>
    </row>
    <row r="785" ht="61.5" customHeight="1">
      <c r="A785" s="9" t="n"/>
      <c r="B785" s="9" t="n"/>
      <c r="C785" s="9" t="n"/>
      <c r="D785" s="9" t="n"/>
      <c r="E785" s="11" t="n"/>
      <c r="F785" s="13" t="n"/>
      <c r="G785" s="5" t="n"/>
      <c r="H785" s="9" t="n"/>
      <c r="I785" s="9" t="n"/>
      <c r="J785" s="9" t="n"/>
      <c r="K785" s="5" t="n"/>
      <c r="L785" s="5" t="n"/>
      <c r="M785" s="12" t="n"/>
      <c r="N785" s="9" t="n"/>
    </row>
    <row r="786" ht="61.5" customHeight="1">
      <c r="A786" s="9" t="n"/>
      <c r="B786" s="9" t="n"/>
      <c r="C786" s="9" t="n"/>
      <c r="D786" s="9" t="n"/>
      <c r="E786" s="11" t="n"/>
      <c r="F786" s="13" t="n"/>
      <c r="G786" s="5" t="n"/>
      <c r="H786" s="9" t="n"/>
      <c r="I786" s="9" t="n"/>
      <c r="J786" s="9" t="n"/>
      <c r="K786" s="5" t="n"/>
      <c r="L786" s="5" t="n"/>
      <c r="M786" s="12" t="n"/>
      <c r="N786" s="9" t="n"/>
    </row>
    <row r="787" ht="61.5" customHeight="1">
      <c r="A787" s="9" t="n"/>
      <c r="B787" s="9" t="n"/>
      <c r="C787" s="9" t="n"/>
      <c r="D787" s="9" t="n"/>
      <c r="E787" s="11" t="n"/>
      <c r="F787" s="13" t="n"/>
      <c r="G787" s="5" t="n"/>
      <c r="H787" s="9" t="n"/>
      <c r="I787" s="9" t="n"/>
      <c r="J787" s="9" t="n"/>
      <c r="K787" s="5" t="n"/>
      <c r="L787" s="5" t="n"/>
      <c r="M787" s="12" t="n"/>
      <c r="N787" s="9" t="n"/>
    </row>
    <row r="788" ht="61.5" customHeight="1">
      <c r="A788" s="9" t="n"/>
      <c r="B788" s="9" t="n"/>
      <c r="C788" s="9" t="n"/>
      <c r="D788" s="9" t="n"/>
      <c r="E788" s="11" t="n"/>
      <c r="F788" s="13" t="n"/>
      <c r="G788" s="5" t="n"/>
      <c r="H788" s="9" t="n"/>
      <c r="I788" s="9" t="n"/>
      <c r="J788" s="9" t="n"/>
      <c r="K788" s="5" t="n"/>
      <c r="L788" s="5" t="n"/>
      <c r="M788" s="12" t="n"/>
      <c r="N788" s="9" t="n"/>
    </row>
    <row r="789" ht="61.5" customHeight="1">
      <c r="A789" s="9" t="n"/>
      <c r="B789" s="9" t="n"/>
      <c r="C789" s="9" t="n"/>
      <c r="D789" s="9" t="n"/>
      <c r="E789" s="11" t="n"/>
      <c r="F789" s="13" t="n"/>
      <c r="G789" s="5" t="n"/>
      <c r="H789" s="9" t="n"/>
      <c r="I789" s="9" t="n"/>
      <c r="J789" s="9" t="n"/>
      <c r="K789" s="5" t="n"/>
      <c r="L789" s="5" t="n"/>
      <c r="M789" s="12" t="n"/>
      <c r="N789" s="9" t="n"/>
    </row>
    <row r="790" ht="61.5" customHeight="1">
      <c r="A790" s="9" t="n"/>
      <c r="B790" s="9" t="n"/>
      <c r="C790" s="9" t="n"/>
      <c r="D790" s="9" t="n"/>
      <c r="E790" s="11" t="n"/>
      <c r="F790" s="13" t="n"/>
      <c r="G790" s="5" t="n"/>
      <c r="H790" s="9" t="n"/>
      <c r="I790" s="9" t="n"/>
      <c r="J790" s="9" t="n"/>
      <c r="K790" s="5" t="n"/>
      <c r="L790" s="5" t="n"/>
      <c r="M790" s="12" t="n"/>
      <c r="N790" s="9" t="n"/>
    </row>
    <row r="791" ht="61.5" customHeight="1">
      <c r="A791" s="9" t="n"/>
      <c r="B791" s="9" t="n"/>
      <c r="C791" s="9" t="n"/>
      <c r="D791" s="9" t="n"/>
      <c r="E791" s="11" t="n"/>
      <c r="F791" s="13" t="n"/>
      <c r="G791" s="5" t="n"/>
      <c r="H791" s="9" t="n"/>
      <c r="I791" s="9" t="n"/>
      <c r="J791" s="9" t="n"/>
      <c r="K791" s="5" t="n"/>
      <c r="L791" s="5" t="n"/>
      <c r="M791" s="12" t="n"/>
      <c r="N791" s="9" t="n"/>
    </row>
    <row r="792" ht="61.5" customHeight="1">
      <c r="A792" s="9" t="n"/>
      <c r="B792" s="9" t="n"/>
      <c r="C792" s="9" t="n"/>
      <c r="D792" s="9" t="n"/>
      <c r="E792" s="11" t="n"/>
      <c r="F792" s="13" t="n"/>
      <c r="G792" s="5" t="n"/>
      <c r="H792" s="9" t="n"/>
      <c r="I792" s="9" t="n"/>
      <c r="J792" s="9" t="n"/>
      <c r="K792" s="5" t="n"/>
      <c r="L792" s="5" t="n"/>
      <c r="M792" s="12" t="n"/>
      <c r="N792" s="9" t="n"/>
    </row>
    <row r="793" ht="61.5" customHeight="1">
      <c r="A793" s="9" t="n"/>
      <c r="B793" s="9" t="n"/>
      <c r="C793" s="9" t="n"/>
      <c r="D793" s="9" t="n"/>
      <c r="E793" s="11" t="n"/>
      <c r="F793" s="13" t="n"/>
      <c r="G793" s="5" t="n"/>
      <c r="H793" s="9" t="n"/>
      <c r="I793" s="9" t="n"/>
      <c r="J793" s="9" t="n"/>
      <c r="K793" s="5" t="n"/>
      <c r="L793" s="5" t="n"/>
      <c r="M793" s="12" t="n"/>
      <c r="N793" s="9" t="n"/>
    </row>
    <row r="794" ht="61.5" customHeight="1">
      <c r="A794" s="9" t="n"/>
      <c r="B794" s="9" t="n"/>
      <c r="C794" s="9" t="n"/>
      <c r="D794" s="9" t="n"/>
      <c r="E794" s="11" t="n"/>
      <c r="F794" s="13" t="n"/>
      <c r="G794" s="5" t="n"/>
      <c r="H794" s="9" t="n"/>
      <c r="I794" s="9" t="n"/>
      <c r="J794" s="9" t="n"/>
      <c r="K794" s="5" t="n"/>
      <c r="L794" s="5" t="n"/>
      <c r="M794" s="12" t="n"/>
      <c r="N794" s="9" t="n"/>
    </row>
    <row r="795" ht="61.5" customHeight="1">
      <c r="A795" s="9" t="n"/>
      <c r="B795" s="9" t="n"/>
      <c r="C795" s="9" t="n"/>
      <c r="D795" s="9" t="n"/>
      <c r="E795" s="11" t="n"/>
      <c r="F795" s="13" t="n"/>
      <c r="G795" s="5" t="n"/>
      <c r="H795" s="9" t="n"/>
      <c r="I795" s="9" t="n"/>
      <c r="J795" s="9" t="n"/>
      <c r="K795" s="5" t="n"/>
      <c r="L795" s="5" t="n"/>
      <c r="M795" s="12" t="n"/>
      <c r="N795" s="9" t="n"/>
    </row>
    <row r="796" ht="61.5" customHeight="1">
      <c r="A796" s="9" t="n"/>
      <c r="B796" s="9" t="n"/>
      <c r="C796" s="9" t="n"/>
      <c r="D796" s="9" t="n"/>
      <c r="E796" s="11" t="n"/>
      <c r="F796" s="13" t="n"/>
      <c r="G796" s="5" t="n"/>
      <c r="H796" s="9" t="n"/>
      <c r="I796" s="9" t="n"/>
      <c r="J796" s="9" t="n"/>
      <c r="K796" s="5" t="n"/>
      <c r="L796" s="5" t="n"/>
      <c r="M796" s="12" t="n"/>
      <c r="N796" s="9" t="n"/>
    </row>
    <row r="797" ht="61.5" customHeight="1">
      <c r="A797" s="9" t="n"/>
      <c r="B797" s="9" t="n"/>
      <c r="C797" s="9" t="n"/>
      <c r="D797" s="9" t="n"/>
      <c r="E797" s="11" t="n"/>
      <c r="F797" s="13" t="n"/>
      <c r="G797" s="5" t="n"/>
      <c r="H797" s="9" t="n"/>
      <c r="I797" s="9" t="n"/>
      <c r="J797" s="9" t="n"/>
      <c r="K797" s="5" t="n"/>
      <c r="L797" s="5" t="n"/>
      <c r="M797" s="12" t="n"/>
      <c r="N797" s="9" t="n"/>
    </row>
    <row r="798" ht="61.5" customHeight="1">
      <c r="A798" s="9" t="n"/>
      <c r="B798" s="9" t="n"/>
      <c r="C798" s="9" t="n"/>
      <c r="D798" s="9" t="n"/>
      <c r="E798" s="11" t="n"/>
      <c r="F798" s="13" t="n"/>
      <c r="G798" s="5" t="n"/>
      <c r="H798" s="9" t="n"/>
      <c r="I798" s="9" t="n"/>
      <c r="J798" s="9" t="n"/>
      <c r="K798" s="5" t="n"/>
      <c r="L798" s="5" t="n"/>
      <c r="M798" s="12" t="n"/>
      <c r="N798" s="9" t="n"/>
    </row>
    <row r="799" ht="61.5" customHeight="1">
      <c r="A799" s="9" t="n"/>
      <c r="B799" s="9" t="n"/>
      <c r="C799" s="9" t="n"/>
      <c r="D799" s="9" t="n"/>
      <c r="E799" s="11" t="n"/>
      <c r="F799" s="13" t="n"/>
      <c r="G799" s="5" t="n"/>
      <c r="H799" s="9" t="n"/>
      <c r="I799" s="9" t="n"/>
      <c r="J799" s="9" t="n"/>
      <c r="K799" s="5" t="n"/>
      <c r="L799" s="5" t="n"/>
      <c r="M799" s="12" t="n"/>
      <c r="N799" s="9" t="n"/>
    </row>
    <row r="800" ht="61.5" customHeight="1">
      <c r="A800" s="9" t="n"/>
      <c r="B800" s="9" t="n"/>
      <c r="C800" s="9" t="n"/>
      <c r="D800" s="9" t="n"/>
      <c r="E800" s="11" t="n"/>
      <c r="F800" s="13" t="n"/>
      <c r="G800" s="5" t="n"/>
      <c r="H800" s="9" t="n"/>
      <c r="I800" s="9" t="n"/>
      <c r="J800" s="9" t="n"/>
      <c r="K800" s="5" t="n"/>
      <c r="L800" s="5" t="n"/>
      <c r="M800" s="12" t="n"/>
      <c r="N800" s="9" t="n"/>
    </row>
    <row r="801" ht="61.5" customHeight="1">
      <c r="A801" s="9" t="n"/>
      <c r="B801" s="9" t="n"/>
      <c r="C801" s="9" t="n"/>
      <c r="D801" s="9" t="n"/>
      <c r="E801" s="11" t="n"/>
      <c r="F801" s="13" t="n"/>
      <c r="G801" s="5" t="n"/>
      <c r="H801" s="9" t="n"/>
      <c r="I801" s="9" t="n"/>
      <c r="J801" s="9" t="n"/>
      <c r="K801" s="5" t="n"/>
      <c r="L801" s="5" t="n"/>
      <c r="M801" s="12" t="n"/>
      <c r="N801" s="9" t="n"/>
    </row>
    <row r="802" ht="61.5" customHeight="1">
      <c r="A802" s="9" t="n"/>
      <c r="B802" s="9" t="n"/>
      <c r="C802" s="9" t="n"/>
      <c r="D802" s="9" t="n"/>
      <c r="E802" s="11" t="n"/>
      <c r="F802" s="13" t="n"/>
      <c r="G802" s="5" t="n"/>
      <c r="H802" s="9" t="n"/>
      <c r="I802" s="9" t="n"/>
      <c r="J802" s="9" t="n"/>
      <c r="K802" s="5" t="n"/>
      <c r="L802" s="5" t="n"/>
      <c r="M802" s="12" t="n"/>
      <c r="N802" s="9" t="n"/>
    </row>
    <row r="803" ht="61.5" customHeight="1">
      <c r="A803" s="9" t="n"/>
      <c r="B803" s="9" t="n"/>
      <c r="C803" s="9" t="n"/>
      <c r="D803" s="9" t="n"/>
      <c r="E803" s="11" t="n"/>
      <c r="F803" s="13" t="n"/>
      <c r="G803" s="5" t="n"/>
      <c r="H803" s="9" t="n"/>
      <c r="I803" s="9" t="n"/>
      <c r="J803" s="9" t="n"/>
      <c r="K803" s="5" t="n"/>
      <c r="L803" s="5" t="n"/>
      <c r="M803" s="12" t="n"/>
      <c r="N803" s="9" t="n"/>
    </row>
    <row r="804" ht="61.5" customHeight="1">
      <c r="A804" s="9" t="n"/>
      <c r="B804" s="9" t="n"/>
      <c r="C804" s="9" t="n"/>
      <c r="D804" s="9" t="n"/>
      <c r="E804" s="11" t="n"/>
      <c r="F804" s="13" t="n"/>
      <c r="G804" s="5" t="n"/>
      <c r="H804" s="9" t="n"/>
      <c r="I804" s="9" t="n"/>
      <c r="J804" s="9" t="n"/>
      <c r="K804" s="5" t="n"/>
      <c r="L804" s="5" t="n"/>
      <c r="M804" s="12" t="n"/>
      <c r="N804" s="9" t="n"/>
    </row>
    <row r="805" ht="61.5" customHeight="1">
      <c r="A805" s="9" t="n"/>
      <c r="B805" s="9" t="n"/>
      <c r="C805" s="9" t="n"/>
      <c r="D805" s="9" t="n"/>
      <c r="E805" s="11" t="n"/>
      <c r="F805" s="13" t="n"/>
      <c r="G805" s="5" t="n"/>
      <c r="H805" s="9" t="n"/>
      <c r="I805" s="9" t="n"/>
      <c r="J805" s="9" t="n"/>
      <c r="K805" s="5" t="n"/>
      <c r="L805" s="5" t="n"/>
      <c r="M805" s="12" t="n"/>
      <c r="N805" s="9" t="n"/>
    </row>
    <row r="806" ht="61.5" customHeight="1">
      <c r="A806" s="9" t="n"/>
      <c r="B806" s="9" t="n"/>
      <c r="C806" s="9" t="n"/>
      <c r="D806" s="9" t="n"/>
      <c r="E806" s="11" t="n"/>
      <c r="F806" s="13" t="n"/>
      <c r="G806" s="5" t="n"/>
      <c r="H806" s="9" t="n"/>
      <c r="I806" s="9" t="n"/>
      <c r="J806" s="9" t="n"/>
      <c r="K806" s="5" t="n"/>
      <c r="L806" s="5" t="n"/>
      <c r="M806" s="12" t="n"/>
      <c r="N806" s="9" t="n"/>
    </row>
    <row r="807" ht="61.5" customHeight="1">
      <c r="A807" s="9" t="n"/>
      <c r="B807" s="9" t="n"/>
      <c r="C807" s="9" t="n"/>
      <c r="D807" s="9" t="n"/>
      <c r="E807" s="11" t="n"/>
      <c r="F807" s="13" t="n"/>
      <c r="G807" s="5" t="n"/>
      <c r="H807" s="9" t="n"/>
      <c r="I807" s="9" t="n"/>
      <c r="J807" s="9" t="n"/>
      <c r="K807" s="5" t="n"/>
      <c r="L807" s="5" t="n"/>
      <c r="M807" s="12" t="n"/>
      <c r="N807" s="9" t="n"/>
    </row>
    <row r="808" ht="61.5" customHeight="1">
      <c r="A808" s="9" t="n"/>
      <c r="B808" s="9" t="n"/>
      <c r="C808" s="9" t="n"/>
      <c r="D808" s="9" t="n"/>
      <c r="E808" s="11" t="n"/>
      <c r="F808" s="13" t="n"/>
      <c r="G808" s="5" t="n"/>
      <c r="H808" s="9" t="n"/>
      <c r="I808" s="9" t="n"/>
      <c r="J808" s="9" t="n"/>
      <c r="K808" s="5" t="n"/>
      <c r="L808" s="5" t="n"/>
      <c r="M808" s="12" t="n"/>
      <c r="N808" s="9" t="n"/>
    </row>
    <row r="809" ht="61.5" customHeight="1">
      <c r="A809" s="9" t="n"/>
      <c r="B809" s="9" t="n"/>
      <c r="C809" s="9" t="n"/>
      <c r="D809" s="9" t="n"/>
      <c r="E809" s="11" t="n"/>
      <c r="F809" s="13" t="n"/>
      <c r="G809" s="5" t="n"/>
      <c r="H809" s="9" t="n"/>
      <c r="I809" s="9" t="n"/>
      <c r="J809" s="9" t="n"/>
      <c r="K809" s="5" t="n"/>
      <c r="L809" s="5" t="n"/>
      <c r="M809" s="12" t="n"/>
      <c r="N809" s="9" t="n"/>
    </row>
    <row r="810" ht="61.5" customHeight="1">
      <c r="A810" s="9" t="n"/>
      <c r="B810" s="9" t="n"/>
      <c r="C810" s="9" t="n"/>
      <c r="D810" s="9" t="n"/>
      <c r="E810" s="11" t="n"/>
      <c r="F810" s="13" t="n"/>
      <c r="G810" s="5" t="n"/>
      <c r="H810" s="9" t="n"/>
      <c r="I810" s="9" t="n"/>
      <c r="J810" s="9" t="n"/>
      <c r="K810" s="5" t="n"/>
      <c r="L810" s="5" t="n"/>
      <c r="M810" s="12" t="n"/>
      <c r="N810" s="9" t="n"/>
    </row>
    <row r="811" ht="61.5" customHeight="1">
      <c r="A811" s="9" t="n"/>
      <c r="B811" s="9" t="n"/>
      <c r="C811" s="9" t="n"/>
      <c r="D811" s="9" t="n"/>
      <c r="E811" s="11" t="n"/>
      <c r="F811" s="13" t="n"/>
      <c r="G811" s="5" t="n"/>
      <c r="H811" s="9" t="n"/>
      <c r="I811" s="9" t="n"/>
      <c r="J811" s="9" t="n"/>
      <c r="K811" s="5" t="n"/>
      <c r="L811" s="5" t="n"/>
      <c r="M811" s="12" t="n"/>
      <c r="N811" s="9" t="n"/>
    </row>
    <row r="812" ht="61.5" customHeight="1">
      <c r="A812" s="9" t="n"/>
      <c r="B812" s="9" t="n"/>
      <c r="C812" s="9" t="n"/>
      <c r="D812" s="9" t="n"/>
      <c r="E812" s="11" t="n"/>
      <c r="F812" s="13" t="n"/>
      <c r="G812" s="5" t="n"/>
      <c r="H812" s="9" t="n"/>
      <c r="I812" s="9" t="n"/>
      <c r="J812" s="9" t="n"/>
      <c r="K812" s="5" t="n"/>
      <c r="L812" s="5" t="n"/>
      <c r="M812" s="12" t="n"/>
      <c r="N812" s="9" t="n"/>
    </row>
    <row r="813" ht="61.5" customHeight="1">
      <c r="A813" s="9" t="n"/>
      <c r="B813" s="9" t="n"/>
      <c r="C813" s="9" t="n"/>
      <c r="D813" s="9" t="n"/>
      <c r="E813" s="11" t="n"/>
      <c r="F813" s="13" t="n"/>
      <c r="G813" s="5" t="n"/>
      <c r="H813" s="9" t="n"/>
      <c r="I813" s="9" t="n"/>
      <c r="J813" s="9" t="n"/>
      <c r="K813" s="5" t="n"/>
      <c r="L813" s="5" t="n"/>
      <c r="M813" s="12" t="n"/>
      <c r="N813" s="9" t="n"/>
    </row>
    <row r="814" ht="61.5" customHeight="1">
      <c r="A814" s="9" t="n"/>
      <c r="B814" s="9" t="n"/>
      <c r="C814" s="9" t="n"/>
      <c r="D814" s="9" t="n"/>
      <c r="E814" s="11" t="n"/>
      <c r="F814" s="13" t="n"/>
      <c r="G814" s="5" t="n"/>
      <c r="H814" s="9" t="n"/>
      <c r="I814" s="9" t="n"/>
      <c r="J814" s="9" t="n"/>
      <c r="K814" s="5" t="n"/>
      <c r="L814" s="5" t="n"/>
      <c r="M814" s="12" t="n"/>
      <c r="N814" s="9" t="n"/>
    </row>
    <row r="815" ht="61.5" customHeight="1">
      <c r="A815" s="9" t="n"/>
      <c r="B815" s="9" t="n"/>
      <c r="C815" s="9" t="n"/>
      <c r="D815" s="9" t="n"/>
      <c r="E815" s="11" t="n"/>
      <c r="F815" s="13" t="n"/>
      <c r="G815" s="5" t="n"/>
      <c r="H815" s="9" t="n"/>
      <c r="I815" s="9" t="n"/>
      <c r="J815" s="9" t="n"/>
      <c r="K815" s="5" t="n"/>
      <c r="L815" s="5" t="n"/>
      <c r="M815" s="12" t="n"/>
      <c r="N815" s="9" t="n"/>
    </row>
    <row r="816" ht="61.5" customHeight="1">
      <c r="A816" s="9" t="n"/>
      <c r="B816" s="9" t="n"/>
      <c r="C816" s="9" t="n"/>
      <c r="D816" s="9" t="n"/>
      <c r="E816" s="11" t="n"/>
      <c r="F816" s="13" t="n"/>
      <c r="G816" s="5" t="n"/>
      <c r="H816" s="9" t="n"/>
      <c r="I816" s="9" t="n"/>
      <c r="J816" s="9" t="n"/>
      <c r="K816" s="5" t="n"/>
      <c r="L816" s="5" t="n"/>
      <c r="M816" s="12" t="n"/>
      <c r="N816" s="9" t="n"/>
    </row>
    <row r="817" ht="61.5" customHeight="1">
      <c r="A817" s="9" t="n"/>
      <c r="B817" s="9" t="n"/>
      <c r="C817" s="9" t="n"/>
      <c r="D817" s="9" t="n"/>
      <c r="E817" s="11" t="n"/>
      <c r="F817" s="13" t="n"/>
      <c r="G817" s="5" t="n"/>
      <c r="H817" s="9" t="n"/>
      <c r="I817" s="9" t="n"/>
      <c r="J817" s="9" t="n"/>
      <c r="K817" s="5" t="n"/>
      <c r="L817" s="5" t="n"/>
      <c r="M817" s="12" t="n"/>
      <c r="N817" s="9" t="n"/>
    </row>
    <row r="818" ht="61.5" customHeight="1">
      <c r="A818" s="9" t="n"/>
      <c r="B818" s="9" t="n"/>
      <c r="C818" s="9" t="n"/>
      <c r="D818" s="9" t="n"/>
      <c r="E818" s="11" t="n"/>
      <c r="F818" s="13" t="n"/>
      <c r="G818" s="5" t="n"/>
      <c r="H818" s="9" t="n"/>
      <c r="I818" s="9" t="n"/>
      <c r="J818" s="9" t="n"/>
      <c r="K818" s="5" t="n"/>
      <c r="L818" s="5" t="n"/>
      <c r="M818" s="12" t="n"/>
      <c r="N818" s="9" t="n"/>
    </row>
    <row r="819" ht="61.5" customHeight="1">
      <c r="A819" s="9" t="n"/>
      <c r="B819" s="9" t="n"/>
      <c r="C819" s="9" t="n"/>
      <c r="D819" s="9" t="n"/>
      <c r="E819" s="11" t="n"/>
      <c r="F819" s="13" t="n"/>
      <c r="G819" s="5" t="n"/>
      <c r="H819" s="9" t="n"/>
      <c r="I819" s="9" t="n"/>
      <c r="J819" s="9" t="n"/>
      <c r="K819" s="5" t="n"/>
      <c r="L819" s="5" t="n"/>
      <c r="M819" s="12" t="n"/>
      <c r="N819" s="9" t="n"/>
    </row>
    <row r="820" ht="61.5" customHeight="1">
      <c r="A820" s="9" t="n"/>
      <c r="B820" s="9" t="n"/>
      <c r="C820" s="9" t="n"/>
      <c r="D820" s="9" t="n"/>
      <c r="E820" s="11" t="n"/>
      <c r="F820" s="13" t="n"/>
      <c r="G820" s="5" t="n"/>
      <c r="H820" s="9" t="n"/>
      <c r="I820" s="9" t="n"/>
      <c r="J820" s="9" t="n"/>
      <c r="K820" s="5" t="n"/>
      <c r="L820" s="5" t="n"/>
      <c r="M820" s="12" t="n"/>
      <c r="N820" s="9" t="n"/>
    </row>
    <row r="821" ht="61.5" customHeight="1">
      <c r="A821" s="9" t="n"/>
      <c r="B821" s="9" t="n"/>
      <c r="C821" s="9" t="n"/>
      <c r="D821" s="9" t="n"/>
      <c r="E821" s="11" t="n"/>
      <c r="F821" s="13" t="n"/>
      <c r="G821" s="5" t="n"/>
      <c r="H821" s="9" t="n"/>
      <c r="I821" s="9" t="n"/>
      <c r="J821" s="9" t="n"/>
      <c r="K821" s="5" t="n"/>
      <c r="L821" s="5" t="n"/>
      <c r="M821" s="12" t="n"/>
      <c r="N821" s="9" t="n"/>
    </row>
    <row r="822" ht="61.5" customHeight="1">
      <c r="A822" s="9" t="n"/>
      <c r="B822" s="9" t="n"/>
      <c r="C822" s="9" t="n"/>
      <c r="D822" s="9" t="n"/>
      <c r="E822" s="11" t="n"/>
      <c r="F822" s="13" t="n"/>
      <c r="G822" s="5" t="n"/>
      <c r="H822" s="9" t="n"/>
      <c r="I822" s="9" t="n"/>
      <c r="J822" s="9" t="n"/>
      <c r="K822" s="5" t="n"/>
      <c r="L822" s="5" t="n"/>
      <c r="M822" s="12" t="n"/>
      <c r="N822" s="9" t="n"/>
    </row>
    <row r="823" ht="61.5" customHeight="1">
      <c r="A823" s="9" t="n"/>
      <c r="B823" s="9" t="n"/>
      <c r="C823" s="9" t="n"/>
      <c r="D823" s="9" t="n"/>
      <c r="E823" s="11" t="n"/>
      <c r="F823" s="13" t="n"/>
      <c r="G823" s="5" t="n"/>
      <c r="H823" s="9" t="n"/>
      <c r="I823" s="9" t="n"/>
      <c r="J823" s="9" t="n"/>
      <c r="K823" s="5" t="n"/>
      <c r="L823" s="5" t="n"/>
      <c r="M823" s="12" t="n"/>
      <c r="N823" s="9" t="n"/>
    </row>
    <row r="824" ht="61.5" customHeight="1">
      <c r="A824" s="9" t="n"/>
      <c r="B824" s="9" t="n"/>
      <c r="C824" s="9" t="n"/>
      <c r="D824" s="9" t="n"/>
      <c r="E824" s="11" t="n"/>
      <c r="F824" s="13" t="n"/>
      <c r="G824" s="5" t="n"/>
      <c r="H824" s="9" t="n"/>
      <c r="I824" s="9" t="n"/>
      <c r="J824" s="9" t="n"/>
      <c r="K824" s="5" t="n"/>
      <c r="L824" s="5" t="n"/>
      <c r="M824" s="12" t="n"/>
      <c r="N824" s="9" t="n"/>
    </row>
    <row r="825" ht="61.5" customHeight="1">
      <c r="A825" s="9" t="n"/>
      <c r="B825" s="9" t="n"/>
      <c r="C825" s="9" t="n"/>
      <c r="D825" s="9" t="n"/>
      <c r="E825" s="11" t="n"/>
      <c r="F825" s="13" t="n"/>
      <c r="G825" s="5" t="n"/>
      <c r="H825" s="9" t="n"/>
      <c r="I825" s="9" t="n"/>
      <c r="J825" s="9" t="n"/>
      <c r="K825" s="5" t="n"/>
      <c r="L825" s="5" t="n"/>
      <c r="M825" s="12" t="n"/>
      <c r="N825" s="9" t="n"/>
    </row>
    <row r="826" ht="61.5" customHeight="1">
      <c r="A826" s="9" t="n"/>
      <c r="B826" s="9" t="n"/>
      <c r="C826" s="9" t="n"/>
      <c r="D826" s="9" t="n"/>
      <c r="E826" s="11" t="n"/>
      <c r="F826" s="13" t="n"/>
      <c r="G826" s="5" t="n"/>
      <c r="H826" s="9" t="n"/>
      <c r="I826" s="9" t="n"/>
      <c r="J826" s="9" t="n"/>
      <c r="K826" s="5" t="n"/>
      <c r="L826" s="5" t="n"/>
      <c r="M826" s="12" t="n"/>
      <c r="N826" s="9" t="n"/>
    </row>
    <row r="827" ht="61.5" customHeight="1">
      <c r="A827" s="9" t="n"/>
      <c r="B827" s="9" t="n"/>
      <c r="C827" s="9" t="n"/>
      <c r="D827" s="9" t="n"/>
      <c r="E827" s="11" t="n"/>
      <c r="F827" s="13" t="n"/>
      <c r="G827" s="5" t="n"/>
      <c r="H827" s="9" t="n"/>
      <c r="I827" s="9" t="n"/>
      <c r="J827" s="9" t="n"/>
      <c r="K827" s="5" t="n"/>
      <c r="L827" s="5" t="n"/>
      <c r="M827" s="12" t="n"/>
      <c r="N827" s="9" t="n"/>
    </row>
    <row r="828" ht="61.5" customHeight="1">
      <c r="A828" s="9" t="n"/>
      <c r="B828" s="9" t="n"/>
      <c r="C828" s="9" t="n"/>
      <c r="D828" s="9" t="n"/>
      <c r="E828" s="11" t="n"/>
      <c r="F828" s="13" t="n"/>
      <c r="G828" s="5" t="n"/>
      <c r="H828" s="9" t="n"/>
      <c r="I828" s="9" t="n"/>
      <c r="J828" s="9" t="n"/>
      <c r="K828" s="5" t="n"/>
      <c r="L828" s="5" t="n"/>
      <c r="M828" s="12" t="n"/>
      <c r="N828" s="9" t="n"/>
    </row>
    <row r="829" ht="61.5" customHeight="1">
      <c r="A829" s="9" t="n"/>
      <c r="B829" s="9" t="n"/>
      <c r="C829" s="9" t="n"/>
      <c r="D829" s="9" t="n"/>
      <c r="E829" s="11" t="n"/>
      <c r="F829" s="13" t="n"/>
      <c r="G829" s="5" t="n"/>
      <c r="H829" s="9" t="n"/>
      <c r="I829" s="9" t="n"/>
      <c r="J829" s="9" t="n"/>
      <c r="K829" s="5" t="n"/>
      <c r="L829" s="5" t="n"/>
      <c r="M829" s="12" t="n"/>
      <c r="N829" s="9" t="n"/>
    </row>
    <row r="830" ht="61.5" customHeight="1">
      <c r="A830" s="9" t="n"/>
      <c r="B830" s="9" t="n"/>
      <c r="C830" s="9" t="n"/>
      <c r="D830" s="9" t="n"/>
      <c r="E830" s="11" t="n"/>
      <c r="F830" s="13" t="n"/>
      <c r="G830" s="5" t="n"/>
      <c r="H830" s="9" t="n"/>
      <c r="I830" s="9" t="n"/>
      <c r="J830" s="9" t="n"/>
      <c r="K830" s="5" t="n"/>
      <c r="L830" s="5" t="n"/>
      <c r="M830" s="12" t="n"/>
      <c r="N830" s="9" t="n"/>
    </row>
    <row r="831" ht="61.5" customHeight="1">
      <c r="A831" s="9" t="n"/>
      <c r="B831" s="9" t="n"/>
      <c r="C831" s="9" t="n"/>
      <c r="D831" s="9" t="n"/>
      <c r="E831" s="11" t="n"/>
      <c r="F831" s="13" t="n"/>
      <c r="G831" s="5" t="n"/>
      <c r="H831" s="9" t="n"/>
      <c r="I831" s="9" t="n"/>
      <c r="J831" s="9" t="n"/>
      <c r="K831" s="5" t="n"/>
      <c r="L831" s="5" t="n"/>
      <c r="M831" s="12" t="n"/>
      <c r="N831" s="9" t="n"/>
    </row>
    <row r="832" ht="61.5" customHeight="1">
      <c r="A832" s="9" t="n"/>
      <c r="B832" s="9" t="n"/>
      <c r="C832" s="9" t="n"/>
      <c r="D832" s="9" t="n"/>
      <c r="E832" s="11" t="n"/>
      <c r="F832" s="13" t="n"/>
      <c r="G832" s="5" t="n"/>
      <c r="H832" s="9" t="n"/>
      <c r="I832" s="9" t="n"/>
      <c r="J832" s="9" t="n"/>
      <c r="K832" s="5" t="n"/>
      <c r="L832" s="5" t="n"/>
      <c r="M832" s="12" t="n"/>
      <c r="N832" s="9" t="n"/>
    </row>
    <row r="833" ht="61.5" customHeight="1">
      <c r="A833" s="9" t="n"/>
      <c r="B833" s="9" t="n"/>
      <c r="C833" s="9" t="n"/>
      <c r="D833" s="9" t="n"/>
      <c r="E833" s="11" t="n"/>
      <c r="F833" s="13" t="n"/>
      <c r="G833" s="5" t="n"/>
      <c r="H833" s="9" t="n"/>
      <c r="I833" s="9" t="n"/>
      <c r="J833" s="9" t="n"/>
      <c r="K833" s="5" t="n"/>
      <c r="L833" s="5" t="n"/>
      <c r="M833" s="12" t="n"/>
      <c r="N833" s="9" t="n"/>
    </row>
    <row r="834" ht="61.5" customHeight="1">
      <c r="A834" s="9" t="n"/>
      <c r="B834" s="9" t="n"/>
      <c r="C834" s="9" t="n"/>
      <c r="D834" s="9" t="n"/>
      <c r="E834" s="11" t="n"/>
      <c r="F834" s="13" t="n"/>
      <c r="G834" s="5" t="n"/>
      <c r="H834" s="9" t="n"/>
      <c r="I834" s="9" t="n"/>
      <c r="J834" s="9" t="n"/>
      <c r="K834" s="5" t="n"/>
      <c r="L834" s="5" t="n"/>
      <c r="M834" s="12" t="n"/>
      <c r="N834" s="9" t="n"/>
    </row>
    <row r="835" ht="61.5" customHeight="1">
      <c r="A835" s="9" t="n"/>
      <c r="B835" s="9" t="n"/>
      <c r="C835" s="9" t="n"/>
      <c r="D835" s="9" t="n"/>
      <c r="E835" s="11" t="n"/>
      <c r="F835" s="13" t="n"/>
      <c r="G835" s="5" t="n"/>
      <c r="H835" s="9" t="n"/>
      <c r="I835" s="9" t="n"/>
      <c r="J835" s="9" t="n"/>
      <c r="K835" s="5" t="n"/>
      <c r="L835" s="5" t="n"/>
      <c r="M835" s="12" t="n"/>
      <c r="N835" s="9" t="n"/>
    </row>
    <row r="836" ht="61.5" customHeight="1">
      <c r="A836" s="9" t="n"/>
      <c r="B836" s="9" t="n"/>
      <c r="C836" s="9" t="n"/>
      <c r="D836" s="9" t="n"/>
      <c r="E836" s="11" t="n"/>
      <c r="F836" s="13" t="n"/>
      <c r="G836" s="5" t="n"/>
      <c r="H836" s="9" t="n"/>
      <c r="I836" s="9" t="n"/>
      <c r="J836" s="9" t="n"/>
      <c r="K836" s="5" t="n"/>
      <c r="L836" s="5" t="n"/>
      <c r="M836" s="12" t="n"/>
      <c r="N836" s="9" t="n"/>
    </row>
    <row r="837" ht="61.5" customHeight="1">
      <c r="A837" s="9" t="n"/>
      <c r="B837" s="9" t="n"/>
      <c r="C837" s="9" t="n"/>
      <c r="D837" s="9" t="n"/>
      <c r="E837" s="11" t="n"/>
      <c r="F837" s="13" t="n"/>
      <c r="G837" s="5" t="n"/>
      <c r="H837" s="9" t="n"/>
      <c r="I837" s="9" t="n"/>
      <c r="J837" s="9" t="n"/>
      <c r="K837" s="5" t="n"/>
      <c r="L837" s="5" t="n"/>
      <c r="M837" s="12" t="n"/>
      <c r="N837" s="9" t="n"/>
    </row>
    <row r="838" ht="61.5" customHeight="1">
      <c r="A838" s="9" t="n"/>
      <c r="B838" s="9" t="n"/>
      <c r="C838" s="9" t="n"/>
      <c r="D838" s="9" t="n"/>
      <c r="E838" s="11" t="n"/>
      <c r="F838" s="13" t="n"/>
      <c r="G838" s="5" t="n"/>
      <c r="H838" s="9" t="n"/>
      <c r="I838" s="9" t="n"/>
      <c r="J838" s="9" t="n"/>
      <c r="K838" s="5" t="n"/>
      <c r="L838" s="5" t="n"/>
      <c r="M838" s="12" t="n"/>
      <c r="N838" s="9" t="n"/>
    </row>
    <row r="839" ht="61.5" customHeight="1">
      <c r="A839" s="9" t="n"/>
      <c r="B839" s="9" t="n"/>
      <c r="C839" s="9" t="n"/>
      <c r="D839" s="9" t="n"/>
      <c r="E839" s="11" t="n"/>
      <c r="F839" s="13" t="n"/>
      <c r="G839" s="5" t="n"/>
      <c r="H839" s="9" t="n"/>
      <c r="I839" s="9" t="n"/>
      <c r="J839" s="9" t="n"/>
      <c r="K839" s="5" t="n"/>
      <c r="L839" s="5" t="n"/>
      <c r="M839" s="12" t="n"/>
      <c r="N839" s="9" t="n"/>
    </row>
    <row r="840" ht="61.5" customHeight="1">
      <c r="A840" s="9" t="n"/>
      <c r="B840" s="9" t="n"/>
      <c r="C840" s="9" t="n"/>
      <c r="D840" s="9" t="n"/>
      <c r="E840" s="11" t="n"/>
      <c r="F840" s="13" t="n"/>
      <c r="G840" s="5" t="n"/>
      <c r="H840" s="9" t="n"/>
      <c r="I840" s="9" t="n"/>
      <c r="J840" s="9" t="n"/>
      <c r="K840" s="5" t="n"/>
      <c r="L840" s="5" t="n"/>
      <c r="M840" s="12" t="n"/>
      <c r="N840" s="9" t="n"/>
    </row>
    <row r="841" ht="61.5" customHeight="1">
      <c r="A841" s="9" t="n"/>
      <c r="B841" s="9" t="n"/>
      <c r="C841" s="9" t="n"/>
      <c r="D841" s="9" t="n"/>
      <c r="E841" s="11" t="n"/>
      <c r="F841" s="13" t="n"/>
      <c r="G841" s="5" t="n"/>
      <c r="H841" s="9" t="n"/>
      <c r="I841" s="9" t="n"/>
      <c r="J841" s="9" t="n"/>
      <c r="K841" s="5" t="n"/>
      <c r="L841" s="5" t="n"/>
      <c r="M841" s="12" t="n"/>
      <c r="N841" s="9" t="n"/>
    </row>
    <row r="842" ht="61.5" customHeight="1">
      <c r="A842" s="9" t="n"/>
      <c r="B842" s="9" t="n"/>
      <c r="C842" s="9" t="n"/>
      <c r="D842" s="9" t="n"/>
      <c r="E842" s="11" t="n"/>
      <c r="F842" s="13" t="n"/>
      <c r="G842" s="5" t="n"/>
      <c r="H842" s="9" t="n"/>
      <c r="I842" s="9" t="n"/>
      <c r="J842" s="9" t="n"/>
      <c r="K842" s="5" t="n"/>
      <c r="L842" s="5" t="n"/>
      <c r="M842" s="12" t="n"/>
      <c r="N842" s="9" t="n"/>
    </row>
    <row r="843" ht="61.5" customHeight="1">
      <c r="A843" s="9" t="n"/>
      <c r="B843" s="9" t="n"/>
      <c r="C843" s="9" t="n"/>
      <c r="D843" s="9" t="n"/>
      <c r="E843" s="11" t="n"/>
      <c r="F843" s="13" t="n"/>
      <c r="G843" s="5" t="n"/>
      <c r="H843" s="9" t="n"/>
      <c r="I843" s="9" t="n"/>
      <c r="J843" s="9" t="n"/>
      <c r="K843" s="5" t="n"/>
      <c r="L843" s="5" t="n"/>
      <c r="M843" s="12" t="n"/>
      <c r="N843" s="9" t="n"/>
    </row>
    <row r="844" ht="61.5" customHeight="1">
      <c r="A844" s="9" t="n"/>
      <c r="B844" s="9" t="n"/>
      <c r="C844" s="9" t="n"/>
      <c r="D844" s="9" t="n"/>
      <c r="E844" s="11" t="n"/>
      <c r="F844" s="13" t="n"/>
      <c r="G844" s="5" t="n"/>
      <c r="H844" s="9" t="n"/>
      <c r="I844" s="9" t="n"/>
      <c r="J844" s="9" t="n"/>
      <c r="K844" s="5" t="n"/>
      <c r="L844" s="5" t="n"/>
      <c r="M844" s="12" t="n"/>
      <c r="N844" s="9" t="n"/>
    </row>
    <row r="845" ht="61.5" customHeight="1">
      <c r="A845" s="9" t="n"/>
      <c r="B845" s="9" t="n"/>
      <c r="C845" s="9" t="n"/>
      <c r="D845" s="9" t="n"/>
      <c r="E845" s="11" t="n"/>
      <c r="F845" s="13" t="n"/>
      <c r="G845" s="5" t="n"/>
      <c r="H845" s="9" t="n"/>
      <c r="I845" s="9" t="n"/>
      <c r="J845" s="9" t="n"/>
      <c r="K845" s="5" t="n"/>
      <c r="L845" s="5" t="n"/>
      <c r="M845" s="12" t="n"/>
      <c r="N845" s="9" t="n"/>
    </row>
    <row r="846" ht="61.5" customHeight="1">
      <c r="A846" s="9" t="n"/>
      <c r="B846" s="9" t="n"/>
      <c r="C846" s="9" t="n"/>
      <c r="D846" s="9" t="n"/>
      <c r="E846" s="11" t="n"/>
      <c r="F846" s="13" t="n"/>
      <c r="G846" s="5" t="n"/>
      <c r="H846" s="9" t="n"/>
      <c r="I846" s="9" t="n"/>
      <c r="J846" s="9" t="n"/>
      <c r="K846" s="5" t="n"/>
      <c r="L846" s="5" t="n"/>
      <c r="M846" s="12" t="n"/>
      <c r="N846" s="9" t="n"/>
    </row>
    <row r="847" ht="61.5" customHeight="1">
      <c r="A847" s="9" t="n"/>
      <c r="B847" s="9" t="n"/>
      <c r="C847" s="9" t="n"/>
      <c r="D847" s="9" t="n"/>
      <c r="E847" s="11" t="n"/>
      <c r="F847" s="13" t="n"/>
      <c r="G847" s="5" t="n"/>
      <c r="H847" s="9" t="n"/>
      <c r="I847" s="9" t="n"/>
      <c r="J847" s="9" t="n"/>
      <c r="K847" s="5" t="n"/>
      <c r="L847" s="5" t="n"/>
      <c r="M847" s="12" t="n"/>
      <c r="N847" s="9" t="n"/>
    </row>
    <row r="848" ht="61.5" customHeight="1">
      <c r="A848" s="9" t="n"/>
      <c r="B848" s="9" t="n"/>
      <c r="C848" s="9" t="n"/>
      <c r="D848" s="9" t="n"/>
      <c r="E848" s="11" t="n"/>
      <c r="F848" s="13" t="n"/>
      <c r="G848" s="5" t="n"/>
      <c r="H848" s="9" t="n"/>
      <c r="I848" s="9" t="n"/>
      <c r="J848" s="9" t="n"/>
      <c r="K848" s="5" t="n"/>
      <c r="L848" s="5" t="n"/>
      <c r="M848" s="12" t="n"/>
      <c r="N848" s="9" t="n"/>
    </row>
    <row r="849" ht="61.5" customHeight="1">
      <c r="A849" s="9" t="n"/>
      <c r="B849" s="9" t="n"/>
      <c r="C849" s="9" t="n"/>
      <c r="D849" s="9" t="n"/>
      <c r="E849" s="11" t="n"/>
      <c r="F849" s="13" t="n"/>
      <c r="G849" s="5" t="n"/>
      <c r="H849" s="9" t="n"/>
      <c r="I849" s="9" t="n"/>
      <c r="J849" s="9" t="n"/>
      <c r="K849" s="5" t="n"/>
      <c r="L849" s="5" t="n"/>
      <c r="M849" s="12" t="n"/>
      <c r="N849" s="9" t="n"/>
    </row>
    <row r="850" ht="61.5" customHeight="1">
      <c r="A850" s="9" t="n"/>
      <c r="B850" s="9" t="n"/>
      <c r="C850" s="9" t="n"/>
      <c r="D850" s="9" t="n"/>
      <c r="E850" s="11" t="n"/>
      <c r="F850" s="13" t="n"/>
      <c r="G850" s="5" t="n"/>
      <c r="H850" s="9" t="n"/>
      <c r="I850" s="9" t="n"/>
      <c r="J850" s="9" t="n"/>
      <c r="K850" s="5" t="n"/>
      <c r="L850" s="5" t="n"/>
      <c r="M850" s="12" t="n"/>
      <c r="N850" s="9" t="n"/>
    </row>
    <row r="851" ht="61.5" customHeight="1">
      <c r="A851" s="9" t="n"/>
      <c r="B851" s="9" t="n"/>
      <c r="C851" s="9" t="n"/>
      <c r="D851" s="9" t="n"/>
      <c r="E851" s="11" t="n"/>
      <c r="F851" s="13" t="n"/>
      <c r="G851" s="5" t="n"/>
      <c r="H851" s="9" t="n"/>
      <c r="I851" s="9" t="n"/>
      <c r="J851" s="9" t="n"/>
      <c r="K851" s="5" t="n"/>
      <c r="L851" s="5" t="n"/>
      <c r="M851" s="12" t="n"/>
      <c r="N851" s="9" t="n"/>
    </row>
    <row r="852" ht="61.5" customHeight="1">
      <c r="A852" s="9" t="n"/>
      <c r="B852" s="9" t="n"/>
      <c r="C852" s="9" t="n"/>
      <c r="D852" s="9" t="n"/>
      <c r="E852" s="11" t="n"/>
      <c r="F852" s="13" t="n"/>
      <c r="G852" s="5" t="n"/>
      <c r="H852" s="9" t="n"/>
      <c r="I852" s="9" t="n"/>
      <c r="J852" s="9" t="n"/>
      <c r="K852" s="5" t="n"/>
      <c r="L852" s="5" t="n"/>
      <c r="M852" s="12" t="n"/>
      <c r="N852" s="9" t="n"/>
    </row>
    <row r="853" ht="61.5" customHeight="1">
      <c r="A853" s="9" t="n"/>
      <c r="B853" s="9" t="n"/>
      <c r="C853" s="9" t="n"/>
      <c r="D853" s="9" t="n"/>
      <c r="E853" s="11" t="n"/>
      <c r="F853" s="13" t="n"/>
      <c r="G853" s="5" t="n"/>
      <c r="H853" s="9" t="n"/>
      <c r="I853" s="9" t="n"/>
      <c r="J853" s="9" t="n"/>
      <c r="K853" s="5" t="n"/>
      <c r="L853" s="5" t="n"/>
      <c r="M853" s="12" t="n"/>
      <c r="N853" s="9" t="n"/>
    </row>
    <row r="854" ht="61.5" customHeight="1">
      <c r="A854" s="9" t="n"/>
      <c r="B854" s="9" t="n"/>
      <c r="C854" s="9" t="n"/>
      <c r="D854" s="9" t="n"/>
      <c r="E854" s="11" t="n"/>
      <c r="F854" s="13" t="n"/>
      <c r="G854" s="5" t="n"/>
      <c r="H854" s="9" t="n"/>
      <c r="I854" s="9" t="n"/>
      <c r="J854" s="9" t="n"/>
      <c r="K854" s="5" t="n"/>
      <c r="L854" s="5" t="n"/>
      <c r="M854" s="12" t="n"/>
      <c r="N854" s="9" t="n"/>
    </row>
    <row r="855" ht="61.5" customHeight="1">
      <c r="A855" s="9" t="n"/>
      <c r="B855" s="9" t="n"/>
      <c r="C855" s="9" t="n"/>
      <c r="D855" s="9" t="n"/>
      <c r="E855" s="11" t="n"/>
      <c r="F855" s="13" t="n"/>
      <c r="G855" s="5" t="n"/>
      <c r="H855" s="9" t="n"/>
      <c r="I855" s="9" t="n"/>
      <c r="J855" s="9" t="n"/>
      <c r="K855" s="5" t="n"/>
      <c r="L855" s="5" t="n"/>
      <c r="M855" s="12" t="n"/>
      <c r="N855" s="9" t="n"/>
    </row>
    <row r="856" ht="61.5" customHeight="1">
      <c r="A856" s="9" t="n"/>
      <c r="B856" s="9" t="n"/>
      <c r="C856" s="9" t="n"/>
      <c r="D856" s="9" t="n"/>
      <c r="E856" s="11" t="n"/>
      <c r="F856" s="13" t="n"/>
      <c r="G856" s="5" t="n"/>
      <c r="H856" s="9" t="n"/>
      <c r="I856" s="9" t="n"/>
      <c r="J856" s="9" t="n"/>
      <c r="K856" s="5" t="n"/>
      <c r="L856" s="5" t="n"/>
      <c r="M856" s="12" t="n"/>
      <c r="N856" s="9" t="n"/>
    </row>
    <row r="857" ht="61.5" customHeight="1">
      <c r="A857" s="9" t="n"/>
      <c r="B857" s="9" t="n"/>
      <c r="C857" s="9" t="n"/>
      <c r="D857" s="9" t="n"/>
      <c r="E857" s="11" t="n"/>
      <c r="F857" s="13" t="n"/>
      <c r="G857" s="5" t="n"/>
      <c r="H857" s="9" t="n"/>
      <c r="I857" s="9" t="n"/>
      <c r="J857" s="9" t="n"/>
      <c r="K857" s="5" t="n"/>
      <c r="L857" s="5" t="n"/>
      <c r="M857" s="12" t="n"/>
      <c r="N857" s="9" t="n"/>
    </row>
    <row r="858" ht="61.5" customHeight="1">
      <c r="A858" s="9" t="n"/>
      <c r="B858" s="9" t="n"/>
      <c r="C858" s="9" t="n"/>
      <c r="D858" s="9" t="n"/>
      <c r="E858" s="11" t="n"/>
      <c r="F858" s="13" t="n"/>
      <c r="G858" s="5" t="n"/>
      <c r="H858" s="9" t="n"/>
      <c r="I858" s="9" t="n"/>
      <c r="J858" s="9" t="n"/>
      <c r="K858" s="5" t="n"/>
      <c r="L858" s="5" t="n"/>
      <c r="M858" s="12" t="n"/>
      <c r="N858" s="9" t="n"/>
    </row>
    <row r="859" ht="61.5" customHeight="1">
      <c r="A859" s="9" t="n"/>
      <c r="B859" s="9" t="n"/>
      <c r="C859" s="9" t="n"/>
      <c r="D859" s="9" t="n"/>
      <c r="E859" s="11" t="n"/>
      <c r="F859" s="13" t="n"/>
      <c r="G859" s="5" t="n"/>
      <c r="H859" s="9" t="n"/>
      <c r="I859" s="9" t="n"/>
      <c r="J859" s="9" t="n"/>
      <c r="K859" s="5" t="n"/>
      <c r="L859" s="5" t="n"/>
      <c r="M859" s="12" t="n"/>
      <c r="N859" s="9" t="n"/>
    </row>
    <row r="860" ht="61.5" customHeight="1">
      <c r="A860" s="9" t="n"/>
      <c r="B860" s="9" t="n"/>
      <c r="C860" s="9" t="n"/>
      <c r="D860" s="9" t="n"/>
      <c r="E860" s="11" t="n"/>
      <c r="F860" s="13" t="n"/>
      <c r="G860" s="5" t="n"/>
      <c r="H860" s="9" t="n"/>
      <c r="I860" s="9" t="n"/>
      <c r="J860" s="9" t="n"/>
      <c r="K860" s="5" t="n"/>
      <c r="L860" s="5" t="n"/>
      <c r="M860" s="12" t="n"/>
      <c r="N860" s="9" t="n"/>
    </row>
    <row r="861" ht="61.5" customHeight="1">
      <c r="A861" s="9" t="n"/>
      <c r="B861" s="9" t="n"/>
      <c r="C861" s="9" t="n"/>
      <c r="D861" s="9" t="n"/>
      <c r="E861" s="11" t="n"/>
      <c r="F861" s="13" t="n"/>
      <c r="G861" s="5" t="n"/>
      <c r="H861" s="9" t="n"/>
      <c r="I861" s="9" t="n"/>
      <c r="J861" s="9" t="n"/>
      <c r="K861" s="5" t="n"/>
      <c r="L861" s="5" t="n"/>
      <c r="M861" s="12" t="n"/>
      <c r="N861" s="9" t="n"/>
    </row>
    <row r="862" ht="61.5" customHeight="1">
      <c r="A862" s="9" t="n"/>
      <c r="B862" s="9" t="n"/>
      <c r="C862" s="9" t="n"/>
      <c r="D862" s="9" t="n"/>
      <c r="E862" s="11" t="n"/>
      <c r="F862" s="13" t="n"/>
      <c r="G862" s="5" t="n"/>
      <c r="H862" s="9" t="n"/>
      <c r="I862" s="9" t="n"/>
      <c r="J862" s="9" t="n"/>
      <c r="K862" s="5" t="n"/>
      <c r="L862" s="5" t="n"/>
      <c r="M862" s="12" t="n"/>
      <c r="N862" s="9" t="n"/>
    </row>
    <row r="863" ht="61.5" customHeight="1">
      <c r="A863" s="9" t="n"/>
      <c r="B863" s="9" t="n"/>
      <c r="C863" s="9" t="n"/>
      <c r="D863" s="9" t="n"/>
      <c r="E863" s="11" t="n"/>
      <c r="F863" s="13" t="n"/>
      <c r="G863" s="5" t="n"/>
      <c r="H863" s="9" t="n"/>
      <c r="I863" s="9" t="n"/>
      <c r="J863" s="9" t="n"/>
      <c r="K863" s="5" t="n"/>
      <c r="L863" s="5" t="n"/>
      <c r="M863" s="12" t="n"/>
      <c r="N863" s="9" t="n"/>
    </row>
    <row r="864" ht="61.5" customHeight="1">
      <c r="A864" s="9" t="n"/>
      <c r="B864" s="9" t="n"/>
      <c r="C864" s="9" t="n"/>
      <c r="D864" s="9" t="n"/>
      <c r="E864" s="11" t="n"/>
      <c r="F864" s="13" t="n"/>
      <c r="G864" s="5" t="n"/>
      <c r="H864" s="9" t="n"/>
      <c r="I864" s="9" t="n"/>
      <c r="J864" s="9" t="n"/>
      <c r="K864" s="5" t="n"/>
      <c r="L864" s="5" t="n"/>
      <c r="M864" s="12" t="n"/>
      <c r="N864" s="9" t="n"/>
    </row>
    <row r="865" ht="61.5" customHeight="1">
      <c r="A865" s="9" t="n"/>
      <c r="B865" s="9" t="n"/>
      <c r="C865" s="9" t="n"/>
      <c r="D865" s="9" t="n"/>
      <c r="E865" s="11" t="n"/>
      <c r="F865" s="13" t="n"/>
      <c r="G865" s="5" t="n"/>
      <c r="H865" s="9" t="n"/>
      <c r="I865" s="9" t="n"/>
      <c r="J865" s="9" t="n"/>
      <c r="K865" s="5" t="n"/>
      <c r="L865" s="5" t="n"/>
      <c r="M865" s="12" t="n"/>
      <c r="N865" s="9" t="n"/>
    </row>
    <row r="866" ht="61.5" customHeight="1">
      <c r="A866" s="9" t="n"/>
      <c r="B866" s="9" t="n"/>
      <c r="C866" s="9" t="n"/>
      <c r="D866" s="9" t="n"/>
      <c r="E866" s="11" t="n"/>
      <c r="F866" s="13" t="n"/>
      <c r="G866" s="5" t="n"/>
      <c r="H866" s="9" t="n"/>
      <c r="I866" s="9" t="n"/>
      <c r="J866" s="9" t="n"/>
      <c r="K866" s="5" t="n"/>
      <c r="L866" s="5" t="n"/>
      <c r="M866" s="12" t="n"/>
      <c r="N866" s="9" t="n"/>
    </row>
    <row r="867" ht="61.5" customHeight="1">
      <c r="A867" s="9" t="n"/>
      <c r="B867" s="9" t="n"/>
      <c r="C867" s="9" t="n"/>
      <c r="D867" s="9" t="n"/>
      <c r="E867" s="11" t="n"/>
      <c r="F867" s="13" t="n"/>
      <c r="G867" s="5" t="n"/>
      <c r="H867" s="9" t="n"/>
      <c r="I867" s="9" t="n"/>
      <c r="J867" s="9" t="n"/>
      <c r="K867" s="5" t="n"/>
      <c r="L867" s="5" t="n"/>
      <c r="M867" s="12" t="n"/>
      <c r="N867" s="9" t="n"/>
    </row>
    <row r="868" ht="61.5" customHeight="1">
      <c r="A868" s="9" t="n"/>
      <c r="B868" s="9" t="n"/>
      <c r="C868" s="9" t="n"/>
      <c r="D868" s="9" t="n"/>
      <c r="E868" s="11" t="n"/>
      <c r="F868" s="13" t="n"/>
      <c r="G868" s="5" t="n"/>
      <c r="H868" s="9" t="n"/>
      <c r="I868" s="9" t="n"/>
      <c r="J868" s="9" t="n"/>
      <c r="K868" s="5" t="n"/>
      <c r="L868" s="5" t="n"/>
      <c r="M868" s="12" t="n"/>
      <c r="N868" s="9" t="n"/>
    </row>
    <row r="869" ht="61.5" customHeight="1">
      <c r="A869" s="9" t="n"/>
      <c r="B869" s="9" t="n"/>
      <c r="C869" s="9" t="n"/>
      <c r="D869" s="9" t="n"/>
      <c r="E869" s="11" t="n"/>
      <c r="F869" s="13" t="n"/>
      <c r="G869" s="5" t="n"/>
      <c r="H869" s="9" t="n"/>
      <c r="I869" s="9" t="n"/>
      <c r="J869" s="9" t="n"/>
      <c r="K869" s="5" t="n"/>
      <c r="L869" s="5" t="n"/>
      <c r="M869" s="12" t="n"/>
      <c r="N869" s="9" t="n"/>
    </row>
    <row r="870" ht="61.5" customHeight="1">
      <c r="A870" s="9" t="n"/>
      <c r="B870" s="9" t="n"/>
      <c r="C870" s="9" t="n"/>
      <c r="D870" s="9" t="n"/>
      <c r="E870" s="11" t="n"/>
      <c r="F870" s="13" t="n"/>
      <c r="G870" s="5" t="n"/>
      <c r="H870" s="9" t="n"/>
      <c r="I870" s="9" t="n"/>
      <c r="J870" s="9" t="n"/>
      <c r="K870" s="5" t="n"/>
      <c r="L870" s="5" t="n"/>
      <c r="M870" s="12" t="n"/>
      <c r="N870" s="9" t="n"/>
    </row>
    <row r="871" ht="61.5" customHeight="1">
      <c r="A871" s="9" t="n"/>
      <c r="B871" s="9" t="n"/>
      <c r="C871" s="9" t="n"/>
      <c r="D871" s="9" t="n"/>
      <c r="E871" s="11" t="n"/>
      <c r="F871" s="13" t="n"/>
      <c r="G871" s="5" t="n"/>
      <c r="H871" s="9" t="n"/>
      <c r="I871" s="9" t="n"/>
      <c r="J871" s="9" t="n"/>
      <c r="K871" s="5" t="n"/>
      <c r="L871" s="5" t="n"/>
      <c r="M871" s="12" t="n"/>
      <c r="N871" s="9" t="n"/>
    </row>
    <row r="872" ht="61.5" customHeight="1">
      <c r="A872" s="9" t="n"/>
      <c r="B872" s="9" t="n"/>
      <c r="C872" s="9" t="n"/>
      <c r="D872" s="9" t="n"/>
      <c r="E872" s="11" t="n"/>
      <c r="F872" s="13" t="n"/>
      <c r="G872" s="5" t="n"/>
      <c r="H872" s="9" t="n"/>
      <c r="I872" s="9" t="n"/>
      <c r="J872" s="9" t="n"/>
      <c r="K872" s="5" t="n"/>
      <c r="L872" s="5" t="n"/>
      <c r="M872" s="12" t="n"/>
      <c r="N872" s="9" t="n"/>
    </row>
    <row r="873" ht="61.5" customHeight="1">
      <c r="A873" s="9" t="n"/>
      <c r="B873" s="9" t="n"/>
      <c r="C873" s="9" t="n"/>
      <c r="D873" s="9" t="n"/>
      <c r="E873" s="11" t="n"/>
      <c r="F873" s="13" t="n"/>
      <c r="G873" s="5" t="n"/>
      <c r="H873" s="9" t="n"/>
      <c r="I873" s="9" t="n"/>
      <c r="J873" s="9" t="n"/>
      <c r="K873" s="5" t="n"/>
      <c r="L873" s="5" t="n"/>
      <c r="M873" s="12" t="n"/>
      <c r="N873" s="9" t="n"/>
    </row>
    <row r="874" ht="61.5" customHeight="1">
      <c r="A874" s="9" t="n"/>
      <c r="B874" s="9" t="n"/>
      <c r="C874" s="9" t="n"/>
      <c r="D874" s="9" t="n"/>
      <c r="E874" s="11" t="n"/>
      <c r="F874" s="13" t="n"/>
      <c r="G874" s="5" t="n"/>
      <c r="H874" s="9" t="n"/>
      <c r="I874" s="9" t="n"/>
      <c r="J874" s="9" t="n"/>
      <c r="K874" s="5" t="n"/>
      <c r="L874" s="5" t="n"/>
      <c r="M874" s="12" t="n"/>
      <c r="N874" s="9" t="n"/>
    </row>
    <row r="875" ht="61.5" customHeight="1">
      <c r="A875" s="9" t="n"/>
      <c r="B875" s="9" t="n"/>
      <c r="C875" s="9" t="n"/>
      <c r="D875" s="9" t="n"/>
      <c r="E875" s="11" t="n"/>
      <c r="F875" s="13" t="n"/>
      <c r="G875" s="5" t="n"/>
      <c r="H875" s="9" t="n"/>
      <c r="I875" s="9" t="n"/>
      <c r="J875" s="9" t="n"/>
      <c r="K875" s="5" t="n"/>
      <c r="L875" s="5" t="n"/>
      <c r="M875" s="12" t="n"/>
      <c r="N875" s="9" t="n"/>
    </row>
    <row r="876" ht="61.5" customHeight="1">
      <c r="A876" s="9" t="n"/>
      <c r="B876" s="9" t="n"/>
      <c r="C876" s="9" t="n"/>
      <c r="D876" s="9" t="n"/>
      <c r="E876" s="11" t="n"/>
      <c r="F876" s="13" t="n"/>
      <c r="G876" s="5" t="n"/>
      <c r="H876" s="9" t="n"/>
      <c r="I876" s="9" t="n"/>
      <c r="J876" s="9" t="n"/>
      <c r="K876" s="5" t="n"/>
      <c r="L876" s="5" t="n"/>
      <c r="M876" s="12" t="n"/>
      <c r="N876" s="9" t="n"/>
    </row>
    <row r="877" ht="61.5" customHeight="1">
      <c r="A877" s="9" t="n"/>
      <c r="B877" s="9" t="n"/>
      <c r="C877" s="9" t="n"/>
      <c r="D877" s="9" t="n"/>
      <c r="E877" s="11" t="n"/>
      <c r="F877" s="13" t="n"/>
      <c r="G877" s="5" t="n"/>
      <c r="H877" s="9" t="n"/>
      <c r="I877" s="9" t="n"/>
      <c r="J877" s="9" t="n"/>
      <c r="K877" s="5" t="n"/>
      <c r="L877" s="5" t="n"/>
      <c r="M877" s="12" t="n"/>
      <c r="N877" s="9" t="n"/>
    </row>
    <row r="878" ht="61.5" customHeight="1">
      <c r="A878" s="9" t="n"/>
      <c r="B878" s="9" t="n"/>
      <c r="C878" s="9" t="n"/>
      <c r="D878" s="9" t="n"/>
      <c r="E878" s="11" t="n"/>
      <c r="F878" s="13" t="n"/>
      <c r="G878" s="5" t="n"/>
      <c r="H878" s="9" t="n"/>
      <c r="I878" s="9" t="n"/>
      <c r="J878" s="9" t="n"/>
      <c r="K878" s="5" t="n"/>
      <c r="L878" s="5" t="n"/>
      <c r="M878" s="12" t="n"/>
      <c r="N878" s="9" t="n"/>
    </row>
    <row r="879" ht="61.5" customHeight="1">
      <c r="A879" s="9" t="n"/>
      <c r="B879" s="9" t="n"/>
      <c r="C879" s="9" t="n"/>
      <c r="D879" s="9" t="n"/>
      <c r="E879" s="11" t="n"/>
      <c r="F879" s="13" t="n"/>
      <c r="G879" s="5" t="n"/>
      <c r="H879" s="9" t="n"/>
      <c r="I879" s="9" t="n"/>
      <c r="J879" s="9" t="n"/>
      <c r="K879" s="5" t="n"/>
      <c r="L879" s="5" t="n"/>
      <c r="M879" s="12" t="n"/>
      <c r="N879" s="9" t="n"/>
    </row>
    <row r="880" ht="61.5" customHeight="1">
      <c r="A880" s="9" t="n"/>
      <c r="B880" s="9" t="n"/>
      <c r="C880" s="9" t="n"/>
      <c r="D880" s="9" t="n"/>
      <c r="E880" s="11" t="n"/>
      <c r="F880" s="13" t="n"/>
      <c r="G880" s="5" t="n"/>
      <c r="H880" s="9" t="n"/>
      <c r="I880" s="9" t="n"/>
      <c r="J880" s="9" t="n"/>
      <c r="K880" s="5" t="n"/>
      <c r="L880" s="5" t="n"/>
      <c r="M880" s="12" t="n"/>
      <c r="N880" s="9" t="n"/>
    </row>
    <row r="881" ht="61.5" customHeight="1">
      <c r="A881" s="9" t="n"/>
      <c r="B881" s="9" t="n"/>
      <c r="C881" s="9" t="n"/>
      <c r="D881" s="9" t="n"/>
      <c r="E881" s="11" t="n"/>
      <c r="F881" s="13" t="n"/>
      <c r="G881" s="5" t="n"/>
      <c r="H881" s="9" t="n"/>
      <c r="I881" s="9" t="n"/>
      <c r="J881" s="9" t="n"/>
      <c r="K881" s="5" t="n"/>
      <c r="L881" s="5" t="n"/>
      <c r="M881" s="12" t="n"/>
      <c r="N881" s="9" t="n"/>
    </row>
    <row r="882" ht="61.5" customHeight="1">
      <c r="A882" s="9" t="n"/>
      <c r="B882" s="9" t="n"/>
      <c r="C882" s="9" t="n"/>
      <c r="D882" s="9" t="n"/>
      <c r="E882" s="11" t="n"/>
      <c r="F882" s="13" t="n"/>
      <c r="G882" s="5" t="n"/>
      <c r="H882" s="9" t="n"/>
      <c r="I882" s="9" t="n"/>
      <c r="J882" s="9" t="n"/>
      <c r="K882" s="5" t="n"/>
      <c r="L882" s="5" t="n"/>
      <c r="M882" s="12" t="n"/>
      <c r="N882" s="9" t="n"/>
    </row>
    <row r="883" ht="61.5" customHeight="1">
      <c r="A883" s="9" t="n"/>
      <c r="B883" s="9" t="n"/>
      <c r="C883" s="9" t="n"/>
      <c r="D883" s="9" t="n"/>
      <c r="E883" s="11" t="n"/>
      <c r="F883" s="13" t="n"/>
      <c r="G883" s="5" t="n"/>
      <c r="H883" s="9" t="n"/>
      <c r="I883" s="9" t="n"/>
      <c r="J883" s="9" t="n"/>
      <c r="K883" s="5" t="n"/>
      <c r="L883" s="5" t="n"/>
      <c r="M883" s="12" t="n"/>
      <c r="N883" s="9" t="n"/>
    </row>
    <row r="884" ht="61.5" customHeight="1">
      <c r="A884" s="9" t="n"/>
      <c r="B884" s="9" t="n"/>
      <c r="C884" s="9" t="n"/>
      <c r="D884" s="9" t="n"/>
      <c r="E884" s="11" t="n"/>
      <c r="F884" s="13" t="n"/>
      <c r="G884" s="5" t="n"/>
      <c r="H884" s="9" t="n"/>
      <c r="I884" s="9" t="n"/>
      <c r="J884" s="9" t="n"/>
      <c r="K884" s="5" t="n"/>
      <c r="L884" s="5" t="n"/>
      <c r="M884" s="12" t="n"/>
      <c r="N884" s="9" t="n"/>
    </row>
    <row r="885" ht="61.5" customHeight="1">
      <c r="A885" s="9" t="n"/>
      <c r="B885" s="9" t="n"/>
      <c r="C885" s="9" t="n"/>
      <c r="D885" s="9" t="n"/>
      <c r="E885" s="11" t="n"/>
      <c r="F885" s="13" t="n"/>
      <c r="G885" s="5" t="n"/>
      <c r="H885" s="9" t="n"/>
      <c r="I885" s="9" t="n"/>
      <c r="J885" s="9" t="n"/>
      <c r="K885" s="5" t="n"/>
      <c r="L885" s="5" t="n"/>
      <c r="M885" s="12" t="n"/>
      <c r="N885" s="9" t="n"/>
    </row>
    <row r="886" ht="61.5" customHeight="1">
      <c r="A886" s="9" t="n"/>
      <c r="B886" s="9" t="n"/>
      <c r="C886" s="9" t="n"/>
      <c r="D886" s="9" t="n"/>
      <c r="E886" s="11" t="n"/>
      <c r="F886" s="13" t="n"/>
      <c r="G886" s="5" t="n"/>
      <c r="H886" s="9" t="n"/>
      <c r="I886" s="9" t="n"/>
      <c r="J886" s="9" t="n"/>
      <c r="K886" s="5" t="n"/>
      <c r="L886" s="5" t="n"/>
      <c r="M886" s="12" t="n"/>
      <c r="N886" s="9" t="n"/>
    </row>
    <row r="887" ht="61.5" customHeight="1">
      <c r="A887" s="9" t="n"/>
      <c r="B887" s="9" t="n"/>
      <c r="C887" s="9" t="n"/>
      <c r="D887" s="9" t="n"/>
      <c r="E887" s="11" t="n"/>
      <c r="F887" s="13" t="n"/>
      <c r="G887" s="5" t="n"/>
      <c r="H887" s="9" t="n"/>
      <c r="I887" s="9" t="n"/>
      <c r="J887" s="9" t="n"/>
      <c r="K887" s="5" t="n"/>
      <c r="L887" s="5" t="n"/>
      <c r="M887" s="12" t="n"/>
      <c r="N887" s="9" t="n"/>
    </row>
    <row r="888" ht="61.5" customHeight="1">
      <c r="A888" s="9" t="n"/>
      <c r="B888" s="9" t="n"/>
      <c r="C888" s="9" t="n"/>
      <c r="D888" s="9" t="n"/>
      <c r="E888" s="11" t="n"/>
      <c r="F888" s="13" t="n"/>
      <c r="G888" s="5" t="n"/>
      <c r="H888" s="9" t="n"/>
      <c r="I888" s="9" t="n"/>
      <c r="J888" s="9" t="n"/>
      <c r="K888" s="5" t="n"/>
      <c r="L888" s="5" t="n"/>
      <c r="M888" s="12" t="n"/>
      <c r="N888" s="9" t="n"/>
    </row>
    <row r="889" ht="61.5" customHeight="1">
      <c r="A889" s="9" t="n"/>
      <c r="B889" s="9" t="n"/>
      <c r="C889" s="9" t="n"/>
      <c r="D889" s="9" t="n"/>
      <c r="E889" s="11" t="n"/>
      <c r="F889" s="13" t="n"/>
      <c r="G889" s="5" t="n"/>
      <c r="H889" s="9" t="n"/>
      <c r="I889" s="9" t="n"/>
      <c r="J889" s="9" t="n"/>
      <c r="K889" s="5" t="n"/>
      <c r="L889" s="5" t="n"/>
      <c r="M889" s="12" t="n"/>
      <c r="N889" s="9" t="n"/>
    </row>
    <row r="890" ht="61.5" customHeight="1">
      <c r="A890" s="9" t="n"/>
      <c r="B890" s="9" t="n"/>
      <c r="C890" s="9" t="n"/>
      <c r="D890" s="9" t="n"/>
      <c r="E890" s="11" t="n"/>
      <c r="F890" s="13" t="n"/>
      <c r="G890" s="5" t="n"/>
      <c r="H890" s="9" t="n"/>
      <c r="I890" s="9" t="n"/>
      <c r="J890" s="9" t="n"/>
      <c r="K890" s="5" t="n"/>
      <c r="L890" s="5" t="n"/>
      <c r="M890" s="12" t="n"/>
      <c r="N890" s="9" t="n"/>
    </row>
    <row r="891" ht="61.5" customHeight="1">
      <c r="A891" s="9" t="n"/>
      <c r="B891" s="9" t="n"/>
      <c r="C891" s="9" t="n"/>
      <c r="D891" s="9" t="n"/>
      <c r="E891" s="11" t="n"/>
      <c r="F891" s="13" t="n"/>
      <c r="G891" s="5" t="n"/>
      <c r="H891" s="9" t="n"/>
      <c r="I891" s="9" t="n"/>
      <c r="J891" s="9" t="n"/>
      <c r="K891" s="5" t="n"/>
      <c r="L891" s="5" t="n"/>
      <c r="M891" s="12" t="n"/>
      <c r="N891" s="9" t="n"/>
    </row>
    <row r="892" ht="61.5" customHeight="1">
      <c r="A892" s="9" t="n"/>
      <c r="B892" s="9" t="n"/>
      <c r="C892" s="9" t="n"/>
      <c r="D892" s="9" t="n"/>
      <c r="E892" s="11" t="n"/>
      <c r="F892" s="13" t="n"/>
      <c r="G892" s="5" t="n"/>
      <c r="H892" s="9" t="n"/>
      <c r="I892" s="9" t="n"/>
      <c r="J892" s="9" t="n"/>
      <c r="K892" s="5" t="n"/>
      <c r="L892" s="5" t="n"/>
      <c r="M892" s="12" t="n"/>
      <c r="N892" s="9" t="n"/>
    </row>
    <row r="893" ht="61.5" customHeight="1">
      <c r="A893" s="9" t="n"/>
      <c r="B893" s="9" t="n"/>
      <c r="C893" s="9" t="n"/>
      <c r="D893" s="9" t="n"/>
      <c r="E893" s="11" t="n"/>
      <c r="F893" s="13" t="n"/>
      <c r="G893" s="5" t="n"/>
      <c r="H893" s="9" t="n"/>
      <c r="I893" s="9" t="n"/>
      <c r="J893" s="9" t="n"/>
      <c r="K893" s="5" t="n"/>
      <c r="L893" s="5" t="n"/>
      <c r="M893" s="12" t="n"/>
      <c r="N893" s="9" t="n"/>
    </row>
    <row r="894" ht="61.5" customHeight="1">
      <c r="A894" s="9" t="n"/>
      <c r="B894" s="9" t="n"/>
      <c r="C894" s="9" t="n"/>
      <c r="D894" s="9" t="n"/>
      <c r="E894" s="11" t="n"/>
      <c r="F894" s="13" t="n"/>
      <c r="G894" s="5" t="n"/>
      <c r="H894" s="9" t="n"/>
      <c r="I894" s="9" t="n"/>
      <c r="J894" s="9" t="n"/>
      <c r="K894" s="5" t="n"/>
      <c r="L894" s="5" t="n"/>
      <c r="M894" s="12" t="n"/>
      <c r="N894" s="9" t="n"/>
    </row>
    <row r="895" ht="61.5" customHeight="1">
      <c r="A895" s="9" t="n"/>
      <c r="B895" s="9" t="n"/>
      <c r="C895" s="9" t="n"/>
      <c r="D895" s="9" t="n"/>
      <c r="E895" s="11" t="n"/>
      <c r="F895" s="13" t="n"/>
      <c r="G895" s="5" t="n"/>
      <c r="H895" s="9" t="n"/>
      <c r="I895" s="9" t="n"/>
      <c r="J895" s="9" t="n"/>
      <c r="K895" s="5" t="n"/>
      <c r="L895" s="5" t="n"/>
      <c r="M895" s="12" t="n"/>
      <c r="N895" s="9" t="n"/>
    </row>
    <row r="896" ht="61.5" customHeight="1">
      <c r="A896" s="9" t="n"/>
      <c r="B896" s="9" t="n"/>
      <c r="C896" s="9" t="n"/>
      <c r="D896" s="9" t="n"/>
      <c r="E896" s="11" t="n"/>
      <c r="F896" s="13" t="n"/>
      <c r="G896" s="5" t="n"/>
      <c r="H896" s="9" t="n"/>
      <c r="I896" s="9" t="n"/>
      <c r="J896" s="9" t="n"/>
      <c r="K896" s="5" t="n"/>
      <c r="L896" s="5" t="n"/>
      <c r="M896" s="12" t="n"/>
      <c r="N896" s="9" t="n"/>
    </row>
    <row r="897" ht="61.5" customHeight="1">
      <c r="A897" s="9" t="n"/>
      <c r="B897" s="9" t="n"/>
      <c r="C897" s="9" t="n"/>
      <c r="D897" s="9" t="n"/>
      <c r="E897" s="11" t="n"/>
      <c r="F897" s="13" t="n"/>
      <c r="G897" s="5" t="n"/>
      <c r="H897" s="9" t="n"/>
      <c r="I897" s="9" t="n"/>
      <c r="J897" s="9" t="n"/>
      <c r="K897" s="5" t="n"/>
      <c r="L897" s="5" t="n"/>
      <c r="M897" s="12" t="n"/>
      <c r="N897" s="9" t="n"/>
    </row>
    <row r="898" ht="61.5" customHeight="1">
      <c r="A898" s="9" t="n"/>
      <c r="B898" s="9" t="n"/>
      <c r="C898" s="9" t="n"/>
      <c r="D898" s="9" t="n"/>
      <c r="E898" s="11" t="n"/>
      <c r="F898" s="13" t="n"/>
      <c r="G898" s="5" t="n"/>
      <c r="H898" s="9" t="n"/>
      <c r="I898" s="9" t="n"/>
      <c r="J898" s="9" t="n"/>
      <c r="K898" s="5" t="n"/>
      <c r="L898" s="5" t="n"/>
      <c r="M898" s="12" t="n"/>
      <c r="N898" s="9" t="n"/>
    </row>
    <row r="899" ht="61.5" customHeight="1">
      <c r="A899" s="9" t="n"/>
      <c r="B899" s="9" t="n"/>
      <c r="C899" s="9" t="n"/>
      <c r="D899" s="9" t="n"/>
      <c r="E899" s="11" t="n"/>
      <c r="F899" s="13" t="n"/>
      <c r="G899" s="5" t="n"/>
      <c r="H899" s="9" t="n"/>
      <c r="I899" s="9" t="n"/>
      <c r="J899" s="9" t="n"/>
      <c r="K899" s="5" t="n"/>
      <c r="L899" s="5" t="n"/>
      <c r="M899" s="12" t="n"/>
      <c r="N899" s="9" t="n"/>
    </row>
    <row r="900" ht="61.5" customHeight="1">
      <c r="A900" s="9" t="n"/>
      <c r="B900" s="9" t="n"/>
      <c r="C900" s="9" t="n"/>
      <c r="D900" s="9" t="n"/>
      <c r="E900" s="11" t="n"/>
      <c r="F900" s="13" t="n"/>
      <c r="G900" s="5" t="n"/>
      <c r="H900" s="9" t="n"/>
      <c r="I900" s="9" t="n"/>
      <c r="J900" s="9" t="n"/>
      <c r="K900" s="5" t="n"/>
      <c r="L900" s="5" t="n"/>
      <c r="M900" s="12" t="n"/>
      <c r="N900" s="9" t="n"/>
    </row>
    <row r="901" ht="61.5" customHeight="1">
      <c r="A901" s="9" t="n"/>
      <c r="B901" s="9" t="n"/>
      <c r="C901" s="9" t="n"/>
      <c r="D901" s="9" t="n"/>
      <c r="E901" s="11" t="n"/>
      <c r="F901" s="13" t="n"/>
      <c r="G901" s="5" t="n"/>
      <c r="H901" s="9" t="n"/>
      <c r="I901" s="9" t="n"/>
      <c r="J901" s="9" t="n"/>
      <c r="K901" s="5" t="n"/>
      <c r="L901" s="5" t="n"/>
      <c r="M901" s="12" t="n"/>
      <c r="N901" s="9" t="n"/>
    </row>
    <row r="902" ht="61.5" customHeight="1">
      <c r="A902" s="9" t="n"/>
      <c r="B902" s="9" t="n"/>
      <c r="C902" s="9" t="n"/>
      <c r="D902" s="9" t="n"/>
      <c r="E902" s="11" t="n"/>
      <c r="F902" s="13" t="n"/>
      <c r="G902" s="5" t="n"/>
      <c r="H902" s="9" t="n"/>
      <c r="I902" s="9" t="n"/>
      <c r="J902" s="9" t="n"/>
      <c r="K902" s="5" t="n"/>
      <c r="L902" s="5" t="n"/>
      <c r="M902" s="12" t="n"/>
      <c r="N902" s="9" t="n"/>
    </row>
    <row r="903" ht="61.5" customHeight="1">
      <c r="A903" s="9" t="n"/>
      <c r="B903" s="9" t="n"/>
      <c r="C903" s="9" t="n"/>
      <c r="D903" s="9" t="n"/>
      <c r="E903" s="11" t="n"/>
      <c r="F903" s="13" t="n"/>
      <c r="G903" s="5" t="n"/>
      <c r="H903" s="9" t="n"/>
      <c r="I903" s="9" t="n"/>
      <c r="J903" s="9" t="n"/>
      <c r="K903" s="5" t="n"/>
      <c r="L903" s="5" t="n"/>
      <c r="M903" s="12" t="n"/>
      <c r="N903" s="9" t="n"/>
    </row>
    <row r="904" ht="61.5" customHeight="1">
      <c r="A904" s="9" t="n"/>
      <c r="B904" s="9" t="n"/>
      <c r="C904" s="9" t="n"/>
      <c r="D904" s="9" t="n"/>
      <c r="E904" s="11" t="n"/>
      <c r="F904" s="13" t="n"/>
      <c r="G904" s="5" t="n"/>
      <c r="H904" s="9" t="n"/>
      <c r="I904" s="9" t="n"/>
      <c r="J904" s="9" t="n"/>
      <c r="K904" s="5" t="n"/>
      <c r="L904" s="5" t="n"/>
      <c r="M904" s="12" t="n"/>
      <c r="N904" s="9" t="n"/>
    </row>
    <row r="905" ht="61.5" customHeight="1">
      <c r="A905" s="9" t="n"/>
      <c r="B905" s="9" t="n"/>
      <c r="C905" s="9" t="n"/>
      <c r="D905" s="9" t="n"/>
      <c r="E905" s="11" t="n"/>
      <c r="F905" s="13" t="n"/>
      <c r="G905" s="5" t="n"/>
      <c r="H905" s="9" t="n"/>
      <c r="I905" s="9" t="n"/>
      <c r="J905" s="9" t="n"/>
      <c r="K905" s="5" t="n"/>
      <c r="L905" s="5" t="n"/>
      <c r="M905" s="12" t="n"/>
      <c r="N905" s="9" t="n"/>
    </row>
    <row r="906" ht="61.5" customHeight="1">
      <c r="A906" s="9" t="n"/>
      <c r="B906" s="9" t="n"/>
      <c r="C906" s="9" t="n"/>
      <c r="D906" s="9" t="n"/>
      <c r="E906" s="11" t="n"/>
      <c r="F906" s="13" t="n"/>
      <c r="G906" s="5" t="n"/>
      <c r="H906" s="9" t="n"/>
      <c r="I906" s="9" t="n"/>
      <c r="J906" s="9" t="n"/>
      <c r="K906" s="5" t="n"/>
      <c r="L906" s="5" t="n"/>
      <c r="M906" s="12" t="n"/>
      <c r="N906" s="9" t="n"/>
    </row>
    <row r="907" ht="61.5" customHeight="1">
      <c r="A907" s="9" t="n"/>
      <c r="B907" s="9" t="n"/>
      <c r="C907" s="9" t="n"/>
      <c r="D907" s="9" t="n"/>
      <c r="E907" s="11" t="n"/>
      <c r="F907" s="13" t="n"/>
      <c r="G907" s="5" t="n"/>
      <c r="H907" s="9" t="n"/>
      <c r="I907" s="9" t="n"/>
      <c r="J907" s="9" t="n"/>
      <c r="K907" s="5" t="n"/>
      <c r="L907" s="5" t="n"/>
      <c r="M907" s="12" t="n"/>
      <c r="N907" s="9" t="n"/>
    </row>
    <row r="908" ht="61.5" customHeight="1">
      <c r="A908" s="9" t="n"/>
      <c r="B908" s="9" t="n"/>
      <c r="C908" s="9" t="n"/>
      <c r="D908" s="9" t="n"/>
      <c r="E908" s="11" t="n"/>
      <c r="F908" s="13" t="n"/>
      <c r="G908" s="5" t="n"/>
      <c r="H908" s="9" t="n"/>
      <c r="I908" s="9" t="n"/>
      <c r="J908" s="9" t="n"/>
      <c r="K908" s="5" t="n"/>
      <c r="L908" s="5" t="n"/>
      <c r="M908" s="12" t="n"/>
      <c r="N908" s="9" t="n"/>
    </row>
    <row r="909" ht="61.5" customHeight="1">
      <c r="A909" s="9" t="n"/>
      <c r="B909" s="9" t="n"/>
      <c r="C909" s="9" t="n"/>
      <c r="D909" s="9" t="n"/>
      <c r="E909" s="11" t="n"/>
      <c r="F909" s="13" t="n"/>
      <c r="G909" s="5" t="n"/>
      <c r="H909" s="9" t="n"/>
      <c r="I909" s="9" t="n"/>
      <c r="J909" s="9" t="n"/>
      <c r="K909" s="5" t="n"/>
      <c r="L909" s="5" t="n"/>
      <c r="M909" s="12" t="n"/>
      <c r="N909" s="9" t="n"/>
    </row>
    <row r="910" ht="61.5" customHeight="1">
      <c r="A910" s="9" t="n"/>
      <c r="B910" s="9" t="n"/>
      <c r="C910" s="9" t="n"/>
      <c r="D910" s="9" t="n"/>
      <c r="E910" s="11" t="n"/>
      <c r="F910" s="13" t="n"/>
      <c r="G910" s="5" t="n"/>
      <c r="H910" s="9" t="n"/>
      <c r="I910" s="9" t="n"/>
      <c r="J910" s="9" t="n"/>
      <c r="K910" s="5" t="n"/>
      <c r="L910" s="5" t="n"/>
      <c r="M910" s="12" t="n"/>
      <c r="N910" s="9" t="n"/>
    </row>
    <row r="911" ht="61.5" customHeight="1">
      <c r="A911" s="9" t="n"/>
      <c r="B911" s="9" t="n"/>
      <c r="C911" s="9" t="n"/>
      <c r="D911" s="9" t="n"/>
      <c r="E911" s="11" t="n"/>
      <c r="F911" s="13" t="n"/>
      <c r="G911" s="5" t="n"/>
      <c r="H911" s="9" t="n"/>
      <c r="I911" s="9" t="n"/>
      <c r="J911" s="9" t="n"/>
      <c r="K911" s="5" t="n"/>
      <c r="L911" s="5" t="n"/>
      <c r="M911" s="12" t="n"/>
      <c r="N911" s="9" t="n"/>
    </row>
    <row r="912" ht="61.5" customHeight="1">
      <c r="A912" s="9" t="n"/>
      <c r="B912" s="9" t="n"/>
      <c r="C912" s="9" t="n"/>
      <c r="D912" s="9" t="n"/>
      <c r="E912" s="11" t="n"/>
      <c r="F912" s="13" t="n"/>
      <c r="G912" s="5" t="n"/>
      <c r="H912" s="9" t="n"/>
      <c r="I912" s="9" t="n"/>
      <c r="J912" s="9" t="n"/>
      <c r="K912" s="5" t="n"/>
      <c r="L912" s="5" t="n"/>
      <c r="M912" s="12" t="n"/>
      <c r="N912" s="9" t="n"/>
    </row>
    <row r="913" ht="61.5" customHeight="1">
      <c r="A913" s="9" t="n"/>
      <c r="B913" s="9" t="n"/>
      <c r="C913" s="9" t="n"/>
      <c r="D913" s="9" t="n"/>
      <c r="E913" s="11" t="n"/>
      <c r="F913" s="13" t="n"/>
      <c r="G913" s="5" t="n"/>
      <c r="H913" s="9" t="n"/>
      <c r="I913" s="9" t="n"/>
      <c r="J913" s="9" t="n"/>
      <c r="K913" s="5" t="n"/>
      <c r="L913" s="5" t="n"/>
      <c r="M913" s="12" t="n"/>
      <c r="N913" s="9" t="n"/>
    </row>
    <row r="914" ht="61.5" customHeight="1">
      <c r="A914" s="9" t="n"/>
      <c r="B914" s="9" t="n"/>
      <c r="C914" s="9" t="n"/>
      <c r="D914" s="9" t="n"/>
      <c r="E914" s="11" t="n"/>
      <c r="F914" s="13" t="n"/>
      <c r="G914" s="5" t="n"/>
      <c r="H914" s="9" t="n"/>
      <c r="I914" s="9" t="n"/>
      <c r="J914" s="9" t="n"/>
      <c r="K914" s="5" t="n"/>
      <c r="L914" s="5" t="n"/>
      <c r="M914" s="12" t="n"/>
      <c r="N914" s="9" t="n"/>
    </row>
    <row r="915" ht="61.5" customHeight="1">
      <c r="A915" s="9" t="n"/>
      <c r="B915" s="9" t="n"/>
      <c r="C915" s="9" t="n"/>
      <c r="D915" s="9" t="n"/>
      <c r="E915" s="11" t="n"/>
      <c r="F915" s="13" t="n"/>
      <c r="G915" s="5" t="n"/>
      <c r="H915" s="9" t="n"/>
      <c r="I915" s="9" t="n"/>
      <c r="J915" s="9" t="n"/>
      <c r="K915" s="5" t="n"/>
      <c r="L915" s="5" t="n"/>
      <c r="M915" s="12" t="n"/>
      <c r="N915" s="9" t="n"/>
    </row>
    <row r="916" ht="61.5" customHeight="1">
      <c r="A916" s="9" t="n"/>
      <c r="B916" s="9" t="n"/>
      <c r="C916" s="9" t="n"/>
      <c r="D916" s="9" t="n"/>
      <c r="E916" s="11" t="n"/>
      <c r="F916" s="13" t="n"/>
      <c r="G916" s="5" t="n"/>
      <c r="H916" s="9" t="n"/>
      <c r="I916" s="9" t="n"/>
      <c r="J916" s="9" t="n"/>
      <c r="K916" s="5" t="n"/>
      <c r="L916" s="5" t="n"/>
      <c r="M916" s="12" t="n"/>
      <c r="N916" s="9" t="n"/>
    </row>
    <row r="917" ht="61.5" customHeight="1">
      <c r="A917" s="9" t="n"/>
      <c r="B917" s="9" t="n"/>
      <c r="C917" s="9" t="n"/>
      <c r="D917" s="9" t="n"/>
      <c r="E917" s="11" t="n"/>
      <c r="F917" s="13" t="n"/>
      <c r="G917" s="5" t="n"/>
      <c r="H917" s="9" t="n"/>
      <c r="I917" s="9" t="n"/>
      <c r="J917" s="9" t="n"/>
      <c r="K917" s="5" t="n"/>
      <c r="L917" s="5" t="n"/>
      <c r="M917" s="12" t="n"/>
      <c r="N917" s="9" t="n"/>
    </row>
    <row r="918" ht="61.5" customHeight="1">
      <c r="A918" s="9" t="n"/>
      <c r="B918" s="9" t="n"/>
      <c r="C918" s="9" t="n"/>
      <c r="D918" s="9" t="n"/>
      <c r="E918" s="11" t="n"/>
      <c r="F918" s="13" t="n"/>
      <c r="G918" s="5" t="n"/>
      <c r="H918" s="9" t="n"/>
      <c r="I918" s="9" t="n"/>
      <c r="J918" s="9" t="n"/>
      <c r="K918" s="5" t="n"/>
      <c r="L918" s="5" t="n"/>
      <c r="M918" s="12" t="n"/>
      <c r="N918" s="9" t="n"/>
    </row>
    <row r="919" ht="61.5" customHeight="1">
      <c r="A919" s="9" t="n"/>
      <c r="B919" s="9" t="n"/>
      <c r="C919" s="9" t="n"/>
      <c r="D919" s="9" t="n"/>
      <c r="E919" s="11" t="n"/>
      <c r="F919" s="13" t="n"/>
      <c r="G919" s="5" t="n"/>
      <c r="H919" s="9" t="n"/>
      <c r="I919" s="9" t="n"/>
      <c r="J919" s="9" t="n"/>
      <c r="K919" s="5" t="n"/>
      <c r="L919" s="5" t="n"/>
      <c r="M919" s="12" t="n"/>
      <c r="N919" s="9" t="n"/>
    </row>
    <row r="920" ht="61.5" customHeight="1">
      <c r="A920" s="9" t="n"/>
      <c r="B920" s="9" t="n"/>
      <c r="C920" s="9" t="n"/>
      <c r="D920" s="9" t="n"/>
      <c r="E920" s="11" t="n"/>
      <c r="F920" s="13" t="n"/>
      <c r="G920" s="5" t="n"/>
      <c r="H920" s="9" t="n"/>
      <c r="I920" s="9" t="n"/>
      <c r="J920" s="9" t="n"/>
      <c r="K920" s="5" t="n"/>
      <c r="L920" s="5" t="n"/>
      <c r="M920" s="12" t="n"/>
      <c r="N920" s="9" t="n"/>
    </row>
    <row r="921" ht="61.5" customHeight="1">
      <c r="A921" s="9" t="n"/>
      <c r="B921" s="9" t="n"/>
      <c r="C921" s="9" t="n"/>
      <c r="D921" s="9" t="n"/>
      <c r="E921" s="11" t="n"/>
      <c r="F921" s="13" t="n"/>
      <c r="G921" s="5" t="n"/>
      <c r="H921" s="9" t="n"/>
      <c r="I921" s="9" t="n"/>
      <c r="J921" s="9" t="n"/>
      <c r="K921" s="5" t="n"/>
      <c r="L921" s="5" t="n"/>
      <c r="M921" s="12" t="n"/>
      <c r="N921" s="9" t="n"/>
    </row>
    <row r="922" ht="61.5" customHeight="1">
      <c r="A922" s="9" t="n"/>
      <c r="B922" s="9" t="n"/>
      <c r="C922" s="9" t="n"/>
      <c r="D922" s="9" t="n"/>
      <c r="E922" s="11" t="n"/>
      <c r="F922" s="13" t="n"/>
      <c r="G922" s="5" t="n"/>
      <c r="H922" s="9" t="n"/>
      <c r="I922" s="9" t="n"/>
      <c r="J922" s="9" t="n"/>
      <c r="K922" s="5" t="n"/>
      <c r="L922" s="5" t="n"/>
      <c r="M922" s="12" t="n"/>
      <c r="N922" s="9" t="n"/>
    </row>
    <row r="923" ht="61.5" customHeight="1">
      <c r="A923" s="9" t="n"/>
      <c r="B923" s="9" t="n"/>
      <c r="C923" s="9" t="n"/>
      <c r="D923" s="9" t="n"/>
      <c r="E923" s="11" t="n"/>
      <c r="F923" s="13" t="n"/>
      <c r="G923" s="5" t="n"/>
      <c r="H923" s="9" t="n"/>
      <c r="I923" s="9" t="n"/>
      <c r="J923" s="9" t="n"/>
      <c r="K923" s="5" t="n"/>
      <c r="L923" s="5" t="n"/>
      <c r="M923" s="12" t="n"/>
      <c r="N923" s="9" t="n"/>
    </row>
    <row r="924" ht="61.5" customHeight="1">
      <c r="A924" s="9" t="n"/>
      <c r="B924" s="9" t="n"/>
      <c r="C924" s="9" t="n"/>
      <c r="D924" s="9" t="n"/>
      <c r="E924" s="11" t="n"/>
      <c r="F924" s="13" t="n"/>
      <c r="G924" s="5" t="n"/>
      <c r="H924" s="9" t="n"/>
      <c r="I924" s="9" t="n"/>
      <c r="J924" s="9" t="n"/>
      <c r="K924" s="5" t="n"/>
      <c r="L924" s="5" t="n"/>
      <c r="M924" s="12" t="n"/>
      <c r="N924" s="9" t="n"/>
    </row>
    <row r="925" ht="61.5" customHeight="1">
      <c r="A925" s="9" t="n"/>
      <c r="B925" s="9" t="n"/>
      <c r="C925" s="9" t="n"/>
      <c r="D925" s="9" t="n"/>
      <c r="E925" s="11" t="n"/>
      <c r="F925" s="13" t="n"/>
      <c r="G925" s="5" t="n"/>
      <c r="H925" s="9" t="n"/>
      <c r="I925" s="9" t="n"/>
      <c r="J925" s="9" t="n"/>
      <c r="K925" s="5" t="n"/>
      <c r="L925" s="5" t="n"/>
      <c r="M925" s="12" t="n"/>
      <c r="N925" s="9" t="n"/>
    </row>
    <row r="926" ht="61.5" customHeight="1">
      <c r="A926" s="9" t="n"/>
      <c r="B926" s="9" t="n"/>
      <c r="C926" s="9" t="n"/>
      <c r="D926" s="9" t="n"/>
      <c r="E926" s="11" t="n"/>
      <c r="F926" s="13" t="n"/>
      <c r="G926" s="5" t="n"/>
      <c r="H926" s="9" t="n"/>
      <c r="I926" s="9" t="n"/>
      <c r="J926" s="9" t="n"/>
      <c r="K926" s="5" t="n"/>
      <c r="L926" s="5" t="n"/>
      <c r="M926" s="12" t="n"/>
      <c r="N926" s="9" t="n"/>
    </row>
    <row r="927" ht="61.5" customHeight="1">
      <c r="A927" s="9" t="n"/>
      <c r="B927" s="9" t="n"/>
      <c r="C927" s="9" t="n"/>
      <c r="D927" s="9" t="n"/>
      <c r="E927" s="11" t="n"/>
      <c r="F927" s="13" t="n"/>
      <c r="G927" s="5" t="n"/>
      <c r="H927" s="9" t="n"/>
      <c r="I927" s="9" t="n"/>
      <c r="J927" s="9" t="n"/>
      <c r="K927" s="5" t="n"/>
      <c r="L927" s="5" t="n"/>
      <c r="M927" s="12" t="n"/>
      <c r="N927" s="9" t="n"/>
    </row>
    <row r="928" ht="61.5" customHeight="1">
      <c r="A928" s="9" t="n"/>
      <c r="B928" s="9" t="n"/>
      <c r="C928" s="9" t="n"/>
      <c r="D928" s="9" t="n"/>
      <c r="E928" s="11" t="n"/>
      <c r="F928" s="13" t="n"/>
      <c r="G928" s="5" t="n"/>
      <c r="H928" s="9" t="n"/>
      <c r="I928" s="9" t="n"/>
      <c r="J928" s="9" t="n"/>
      <c r="K928" s="5" t="n"/>
      <c r="L928" s="5" t="n"/>
      <c r="M928" s="12" t="n"/>
      <c r="N928" s="9" t="n"/>
    </row>
    <row r="929" ht="61.5" customHeight="1">
      <c r="A929" s="9" t="n"/>
      <c r="B929" s="9" t="n"/>
      <c r="C929" s="9" t="n"/>
      <c r="D929" s="9" t="n"/>
      <c r="E929" s="11" t="n"/>
      <c r="F929" s="13" t="n"/>
      <c r="G929" s="5" t="n"/>
      <c r="H929" s="9" t="n"/>
      <c r="I929" s="9" t="n"/>
      <c r="J929" s="9" t="n"/>
      <c r="K929" s="5" t="n"/>
      <c r="L929" s="5" t="n"/>
      <c r="M929" s="12" t="n"/>
      <c r="N929" s="9" t="n"/>
    </row>
    <row r="930" ht="61.5" customHeight="1">
      <c r="A930" s="9" t="n"/>
      <c r="B930" s="9" t="n"/>
      <c r="C930" s="9" t="n"/>
      <c r="D930" s="9" t="n"/>
      <c r="E930" s="11" t="n"/>
      <c r="F930" s="13" t="n"/>
      <c r="G930" s="5" t="n"/>
      <c r="H930" s="9" t="n"/>
      <c r="I930" s="9" t="n"/>
      <c r="J930" s="9" t="n"/>
      <c r="K930" s="5" t="n"/>
      <c r="L930" s="5" t="n"/>
      <c r="M930" s="12" t="n"/>
      <c r="N930" s="9" t="n"/>
    </row>
    <row r="931" ht="61.5" customHeight="1">
      <c r="A931" s="9" t="n"/>
      <c r="B931" s="9" t="n"/>
      <c r="C931" s="9" t="n"/>
      <c r="D931" s="9" t="n"/>
      <c r="E931" s="11" t="n"/>
      <c r="F931" s="13" t="n"/>
      <c r="G931" s="5" t="n"/>
      <c r="H931" s="9" t="n"/>
      <c r="I931" s="9" t="n"/>
      <c r="J931" s="9" t="n"/>
      <c r="K931" s="5" t="n"/>
      <c r="L931" s="5" t="n"/>
      <c r="M931" s="12" t="n"/>
      <c r="N931" s="9" t="n"/>
    </row>
    <row r="932" ht="61.5" customHeight="1">
      <c r="A932" s="9" t="n"/>
      <c r="B932" s="9" t="n"/>
      <c r="C932" s="9" t="n"/>
      <c r="D932" s="9" t="n"/>
      <c r="E932" s="11" t="n"/>
      <c r="F932" s="13" t="n"/>
      <c r="G932" s="5" t="n"/>
      <c r="H932" s="9" t="n"/>
      <c r="I932" s="9" t="n"/>
      <c r="J932" s="9" t="n"/>
      <c r="K932" s="5" t="n"/>
      <c r="L932" s="5" t="n"/>
      <c r="M932" s="12" t="n"/>
      <c r="N932" s="9" t="n"/>
    </row>
    <row r="933" ht="61.5" customHeight="1">
      <c r="A933" s="9" t="n"/>
      <c r="B933" s="9" t="n"/>
      <c r="C933" s="9" t="n"/>
      <c r="D933" s="9" t="n"/>
      <c r="E933" s="11" t="n"/>
      <c r="F933" s="13" t="n"/>
      <c r="G933" s="5" t="n"/>
      <c r="H933" s="9" t="n"/>
      <c r="I933" s="9" t="n"/>
      <c r="J933" s="9" t="n"/>
      <c r="K933" s="5" t="n"/>
      <c r="L933" s="5" t="n"/>
      <c r="M933" s="12" t="n"/>
      <c r="N933" s="9" t="n"/>
    </row>
    <row r="934" ht="61.5" customHeight="1">
      <c r="A934" s="9" t="n"/>
      <c r="B934" s="9" t="n"/>
      <c r="C934" s="9" t="n"/>
      <c r="D934" s="9" t="n"/>
      <c r="E934" s="11" t="n"/>
      <c r="F934" s="13" t="n"/>
      <c r="G934" s="5" t="n"/>
      <c r="H934" s="9" t="n"/>
      <c r="I934" s="9" t="n"/>
      <c r="J934" s="9" t="n"/>
      <c r="K934" s="5" t="n"/>
      <c r="L934" s="5" t="n"/>
      <c r="M934" s="12" t="n"/>
      <c r="N934" s="9" t="n"/>
    </row>
    <row r="935" ht="61.5" customHeight="1">
      <c r="A935" s="9" t="n"/>
      <c r="B935" s="9" t="n"/>
      <c r="C935" s="9" t="n"/>
      <c r="D935" s="9" t="n"/>
      <c r="E935" s="11" t="n"/>
      <c r="F935" s="13" t="n"/>
      <c r="G935" s="5" t="n"/>
      <c r="H935" s="9" t="n"/>
      <c r="I935" s="9" t="n"/>
      <c r="J935" s="9" t="n"/>
      <c r="K935" s="5" t="n"/>
      <c r="L935" s="5" t="n"/>
      <c r="M935" s="12" t="n"/>
      <c r="N935" s="9" t="n"/>
    </row>
    <row r="936" ht="61.5" customHeight="1">
      <c r="A936" s="9" t="n"/>
      <c r="B936" s="9" t="n"/>
      <c r="C936" s="9" t="n"/>
      <c r="D936" s="9" t="n"/>
      <c r="E936" s="11" t="n"/>
      <c r="F936" s="13" t="n"/>
      <c r="G936" s="5" t="n"/>
      <c r="H936" s="9" t="n"/>
      <c r="I936" s="9" t="n"/>
      <c r="J936" s="9" t="n"/>
      <c r="K936" s="5" t="n"/>
      <c r="L936" s="5" t="n"/>
      <c r="M936" s="12" t="n"/>
      <c r="N936" s="9" t="n"/>
    </row>
    <row r="937" ht="61.5" customHeight="1">
      <c r="A937" s="9" t="n"/>
      <c r="B937" s="9" t="n"/>
      <c r="C937" s="9" t="n"/>
      <c r="D937" s="9" t="n"/>
      <c r="E937" s="11" t="n"/>
      <c r="F937" s="13" t="n"/>
      <c r="G937" s="5" t="n"/>
      <c r="H937" s="9" t="n"/>
      <c r="I937" s="9" t="n"/>
      <c r="J937" s="9" t="n"/>
      <c r="K937" s="5" t="n"/>
      <c r="L937" s="5" t="n"/>
      <c r="M937" s="12" t="n"/>
      <c r="N937" s="9" t="n"/>
    </row>
    <row r="938" ht="61.5" customHeight="1">
      <c r="A938" s="9" t="n"/>
      <c r="B938" s="9" t="n"/>
      <c r="C938" s="9" t="n"/>
      <c r="D938" s="9" t="n"/>
      <c r="E938" s="11" t="n"/>
      <c r="F938" s="13" t="n"/>
      <c r="G938" s="5" t="n"/>
      <c r="H938" s="9" t="n"/>
      <c r="I938" s="9" t="n"/>
      <c r="J938" s="9" t="n"/>
      <c r="K938" s="5" t="n"/>
      <c r="L938" s="5" t="n"/>
      <c r="M938" s="12" t="n"/>
      <c r="N938" s="9" t="n"/>
    </row>
    <row r="939" ht="61.5" customHeight="1">
      <c r="A939" s="9" t="n"/>
      <c r="B939" s="9" t="n"/>
      <c r="C939" s="9" t="n"/>
      <c r="D939" s="9" t="n"/>
      <c r="E939" s="11" t="n"/>
      <c r="F939" s="13" t="n"/>
      <c r="G939" s="5" t="n"/>
      <c r="H939" s="9" t="n"/>
      <c r="I939" s="9" t="n"/>
      <c r="J939" s="9" t="n"/>
      <c r="K939" s="5" t="n"/>
      <c r="L939" s="5" t="n"/>
      <c r="M939" s="12" t="n"/>
      <c r="N939" s="9" t="n"/>
    </row>
    <row r="940" ht="61.5" customHeight="1">
      <c r="A940" s="9" t="n"/>
      <c r="B940" s="9" t="n"/>
      <c r="C940" s="9" t="n"/>
      <c r="D940" s="9" t="n"/>
      <c r="E940" s="11" t="n"/>
      <c r="F940" s="13" t="n"/>
      <c r="G940" s="5" t="n"/>
      <c r="H940" s="9" t="n"/>
      <c r="I940" s="9" t="n"/>
      <c r="J940" s="9" t="n"/>
      <c r="K940" s="5" t="n"/>
      <c r="L940" s="5" t="n"/>
      <c r="M940" s="12" t="n"/>
      <c r="N940" s="9" t="n"/>
    </row>
    <row r="941" ht="61.5" customHeight="1">
      <c r="A941" s="9" t="n"/>
      <c r="B941" s="9" t="n"/>
      <c r="C941" s="9" t="n"/>
      <c r="D941" s="9" t="n"/>
      <c r="E941" s="11" t="n"/>
      <c r="F941" s="13" t="n"/>
      <c r="G941" s="5" t="n"/>
      <c r="H941" s="9" t="n"/>
      <c r="I941" s="9" t="n"/>
      <c r="J941" s="9" t="n"/>
      <c r="K941" s="5" t="n"/>
      <c r="L941" s="5" t="n"/>
      <c r="M941" s="12" t="n"/>
      <c r="N941" s="9" t="n"/>
    </row>
    <row r="942" ht="61.5" customHeight="1">
      <c r="A942" s="9" t="n"/>
      <c r="B942" s="9" t="n"/>
      <c r="C942" s="9" t="n"/>
      <c r="D942" s="9" t="n"/>
      <c r="E942" s="11" t="n"/>
      <c r="F942" s="13" t="n"/>
      <c r="G942" s="5" t="n"/>
      <c r="H942" s="9" t="n"/>
      <c r="I942" s="9" t="n"/>
      <c r="J942" s="9" t="n"/>
      <c r="K942" s="5" t="n"/>
      <c r="L942" s="5" t="n"/>
      <c r="M942" s="12" t="n"/>
      <c r="N942" s="9" t="n"/>
    </row>
    <row r="943" ht="61.5" customHeight="1">
      <c r="A943" s="9" t="n"/>
      <c r="B943" s="9" t="n"/>
      <c r="C943" s="9" t="n"/>
      <c r="D943" s="9" t="n"/>
      <c r="E943" s="11" t="n"/>
      <c r="F943" s="13" t="n"/>
      <c r="G943" s="5" t="n"/>
      <c r="H943" s="9" t="n"/>
      <c r="I943" s="9" t="n"/>
      <c r="J943" s="9" t="n"/>
      <c r="K943" s="5" t="n"/>
      <c r="L943" s="5" t="n"/>
      <c r="M943" s="12" t="n"/>
      <c r="N943" s="9" t="n"/>
    </row>
    <row r="944" ht="61.5" customHeight="1">
      <c r="A944" s="9" t="n"/>
      <c r="B944" s="9" t="n"/>
      <c r="C944" s="9" t="n"/>
      <c r="D944" s="9" t="n"/>
      <c r="E944" s="11" t="n"/>
      <c r="F944" s="13" t="n"/>
      <c r="G944" s="5" t="n"/>
      <c r="H944" s="9" t="n"/>
      <c r="I944" s="9" t="n"/>
      <c r="J944" s="9" t="n"/>
      <c r="K944" s="5" t="n"/>
      <c r="L944" s="5" t="n"/>
      <c r="M944" s="12" t="n"/>
      <c r="N944" s="9" t="n"/>
    </row>
    <row r="945" ht="61.5" customHeight="1">
      <c r="A945" s="9" t="n"/>
      <c r="B945" s="9" t="n"/>
      <c r="C945" s="9" t="n"/>
      <c r="D945" s="9" t="n"/>
      <c r="E945" s="11" t="n"/>
      <c r="F945" s="13" t="n"/>
      <c r="G945" s="5" t="n"/>
      <c r="H945" s="9" t="n"/>
      <c r="I945" s="9" t="n"/>
      <c r="J945" s="9" t="n"/>
      <c r="K945" s="5" t="n"/>
      <c r="L945" s="5" t="n"/>
      <c r="M945" s="12" t="n"/>
      <c r="N945" s="9" t="n"/>
    </row>
    <row r="946" ht="61.5" customHeight="1">
      <c r="A946" s="9" t="n"/>
      <c r="B946" s="9" t="n"/>
      <c r="C946" s="9" t="n"/>
      <c r="D946" s="9" t="n"/>
      <c r="E946" s="11" t="n"/>
      <c r="F946" s="13" t="n"/>
      <c r="G946" s="5" t="n"/>
      <c r="H946" s="9" t="n"/>
      <c r="I946" s="9" t="n"/>
      <c r="J946" s="9" t="n"/>
      <c r="K946" s="5" t="n"/>
      <c r="L946" s="5" t="n"/>
      <c r="M946" s="12" t="n"/>
      <c r="N946" s="9" t="n"/>
    </row>
    <row r="947" ht="61.5" customHeight="1">
      <c r="A947" s="9" t="n"/>
      <c r="B947" s="9" t="n"/>
      <c r="C947" s="9" t="n"/>
      <c r="D947" s="9" t="n"/>
      <c r="E947" s="11" t="n"/>
      <c r="F947" s="13" t="n"/>
      <c r="G947" s="5" t="n"/>
      <c r="H947" s="9" t="n"/>
      <c r="I947" s="9" t="n"/>
      <c r="J947" s="9" t="n"/>
      <c r="K947" s="5" t="n"/>
      <c r="L947" s="5" t="n"/>
      <c r="M947" s="12" t="n"/>
      <c r="N947" s="9" t="n"/>
    </row>
    <row r="948" ht="61.5" customHeight="1">
      <c r="A948" s="9" t="n"/>
      <c r="B948" s="9" t="n"/>
      <c r="C948" s="9" t="n"/>
      <c r="D948" s="9" t="n"/>
      <c r="E948" s="11" t="n"/>
      <c r="F948" s="13" t="n"/>
      <c r="G948" s="5" t="n"/>
      <c r="H948" s="9" t="n"/>
      <c r="I948" s="9" t="n"/>
      <c r="J948" s="9" t="n"/>
      <c r="K948" s="5" t="n"/>
      <c r="L948" s="5" t="n"/>
      <c r="M948" s="12" t="n"/>
      <c r="N948" s="9" t="n"/>
    </row>
    <row r="949" ht="61.5" customHeight="1">
      <c r="A949" s="9" t="n"/>
      <c r="B949" s="9" t="n"/>
      <c r="C949" s="9" t="n"/>
      <c r="D949" s="9" t="n"/>
      <c r="E949" s="11" t="n"/>
      <c r="F949" s="13" t="n"/>
      <c r="G949" s="5" t="n"/>
      <c r="H949" s="9" t="n"/>
      <c r="I949" s="9" t="n"/>
      <c r="J949" s="9" t="n"/>
      <c r="K949" s="5" t="n"/>
      <c r="L949" s="5" t="n"/>
      <c r="M949" s="12" t="n"/>
      <c r="N949" s="9" t="n"/>
    </row>
    <row r="950" ht="61.5" customHeight="1">
      <c r="A950" s="9" t="n"/>
      <c r="B950" s="9" t="n"/>
      <c r="C950" s="9" t="n"/>
      <c r="D950" s="9" t="n"/>
      <c r="E950" s="11" t="n"/>
      <c r="F950" s="13" t="n"/>
      <c r="G950" s="5" t="n"/>
      <c r="H950" s="9" t="n"/>
      <c r="I950" s="9" t="n"/>
      <c r="J950" s="9" t="n"/>
      <c r="K950" s="5" t="n"/>
      <c r="L950" s="5" t="n"/>
      <c r="M950" s="12" t="n"/>
      <c r="N950" s="9" t="n"/>
    </row>
    <row r="951" ht="61.5" customHeight="1">
      <c r="A951" s="9" t="n"/>
      <c r="B951" s="9" t="n"/>
      <c r="C951" s="9" t="n"/>
      <c r="D951" s="9" t="n"/>
      <c r="E951" s="11" t="n"/>
      <c r="F951" s="13" t="n"/>
      <c r="G951" s="5" t="n"/>
      <c r="H951" s="9" t="n"/>
      <c r="I951" s="9" t="n"/>
      <c r="J951" s="9" t="n"/>
      <c r="K951" s="5" t="n"/>
      <c r="L951" s="5" t="n"/>
      <c r="M951" s="12" t="n"/>
      <c r="N951" s="9" t="n"/>
    </row>
    <row r="952" ht="61.5" customHeight="1">
      <c r="A952" s="9" t="n"/>
      <c r="B952" s="9" t="n"/>
      <c r="C952" s="9" t="n"/>
      <c r="D952" s="9" t="n"/>
      <c r="E952" s="11" t="n"/>
      <c r="F952" s="13" t="n"/>
      <c r="G952" s="5" t="n"/>
      <c r="H952" s="9" t="n"/>
      <c r="I952" s="9" t="n"/>
      <c r="J952" s="9" t="n"/>
      <c r="K952" s="5" t="n"/>
      <c r="L952" s="5" t="n"/>
      <c r="M952" s="12" t="n"/>
      <c r="N952" s="9" t="n"/>
    </row>
    <row r="953" ht="61.5" customHeight="1">
      <c r="A953" s="9" t="n"/>
      <c r="B953" s="9" t="n"/>
      <c r="C953" s="9" t="n"/>
      <c r="D953" s="9" t="n"/>
      <c r="E953" s="11" t="n"/>
      <c r="F953" s="13" t="n"/>
      <c r="G953" s="5" t="n"/>
      <c r="H953" s="9" t="n"/>
      <c r="I953" s="9" t="n"/>
      <c r="J953" s="9" t="n"/>
      <c r="K953" s="5" t="n"/>
      <c r="L953" s="5" t="n"/>
      <c r="M953" s="12" t="n"/>
      <c r="N953" s="9" t="n"/>
    </row>
    <row r="954" ht="61.5" customHeight="1">
      <c r="A954" s="9" t="n"/>
      <c r="B954" s="9" t="n"/>
      <c r="C954" s="9" t="n"/>
      <c r="D954" s="9" t="n"/>
      <c r="E954" s="11" t="n"/>
      <c r="F954" s="13" t="n"/>
      <c r="G954" s="5" t="n"/>
      <c r="H954" s="9" t="n"/>
      <c r="I954" s="9" t="n"/>
      <c r="J954" s="9" t="n"/>
      <c r="K954" s="5" t="n"/>
      <c r="L954" s="5" t="n"/>
      <c r="M954" s="12" t="n"/>
      <c r="N954" s="9" t="n"/>
    </row>
    <row r="955" ht="61.5" customHeight="1">
      <c r="A955" s="9" t="n"/>
      <c r="B955" s="9" t="n"/>
      <c r="C955" s="9" t="n"/>
      <c r="D955" s="9" t="n"/>
      <c r="E955" s="11" t="n"/>
      <c r="F955" s="13" t="n"/>
      <c r="G955" s="5" t="n"/>
      <c r="H955" s="9" t="n"/>
      <c r="I955" s="9" t="n"/>
      <c r="J955" s="9" t="n"/>
      <c r="K955" s="5" t="n"/>
      <c r="L955" s="5" t="n"/>
      <c r="M955" s="12" t="n"/>
      <c r="N955" s="9" t="n"/>
    </row>
    <row r="956" ht="61.5" customHeight="1">
      <c r="A956" s="9" t="n"/>
      <c r="B956" s="9" t="n"/>
      <c r="C956" s="9" t="n"/>
      <c r="D956" s="9" t="n"/>
      <c r="E956" s="11" t="n"/>
      <c r="F956" s="13" t="n"/>
      <c r="G956" s="5" t="n"/>
      <c r="H956" s="9" t="n"/>
      <c r="I956" s="9" t="n"/>
      <c r="J956" s="9" t="n"/>
      <c r="K956" s="5" t="n"/>
      <c r="L956" s="5" t="n"/>
      <c r="M956" s="12" t="n"/>
      <c r="N956" s="9" t="n"/>
    </row>
    <row r="957" ht="61.5" customHeight="1">
      <c r="A957" s="9" t="n"/>
      <c r="B957" s="9" t="n"/>
      <c r="C957" s="9" t="n"/>
      <c r="D957" s="9" t="n"/>
      <c r="E957" s="11" t="n"/>
      <c r="F957" s="13" t="n"/>
      <c r="G957" s="5" t="n"/>
      <c r="H957" s="9" t="n"/>
      <c r="I957" s="9" t="n"/>
      <c r="J957" s="9" t="n"/>
      <c r="K957" s="5" t="n"/>
      <c r="L957" s="5" t="n"/>
      <c r="M957" s="12" t="n"/>
      <c r="N957" s="9" t="n"/>
    </row>
    <row r="958" ht="61.5" customHeight="1">
      <c r="A958" s="9" t="n"/>
      <c r="B958" s="9" t="n"/>
      <c r="C958" s="9" t="n"/>
      <c r="D958" s="9" t="n"/>
      <c r="E958" s="11" t="n"/>
      <c r="F958" s="13" t="n"/>
      <c r="G958" s="5" t="n"/>
      <c r="H958" s="9" t="n"/>
      <c r="I958" s="9" t="n"/>
      <c r="J958" s="9" t="n"/>
      <c r="K958" s="5" t="n"/>
      <c r="L958" s="5" t="n"/>
      <c r="M958" s="12" t="n"/>
      <c r="N958" s="9" t="n"/>
    </row>
    <row r="959" ht="61.5" customHeight="1">
      <c r="A959" s="9" t="n"/>
      <c r="B959" s="9" t="n"/>
      <c r="C959" s="9" t="n"/>
      <c r="D959" s="9" t="n"/>
      <c r="E959" s="11" t="n"/>
      <c r="F959" s="13" t="n"/>
      <c r="G959" s="5" t="n"/>
      <c r="H959" s="9" t="n"/>
      <c r="I959" s="9" t="n"/>
      <c r="J959" s="9" t="n"/>
      <c r="K959" s="5" t="n"/>
      <c r="L959" s="5" t="n"/>
      <c r="M959" s="12" t="n"/>
      <c r="N959" s="9" t="n"/>
    </row>
    <row r="960" ht="61.5" customHeight="1">
      <c r="A960" s="9" t="n"/>
      <c r="B960" s="9" t="n"/>
      <c r="C960" s="9" t="n"/>
      <c r="D960" s="9" t="n"/>
      <c r="E960" s="11" t="n"/>
      <c r="F960" s="13" t="n"/>
      <c r="G960" s="5" t="n"/>
      <c r="H960" s="9" t="n"/>
      <c r="I960" s="9" t="n"/>
      <c r="J960" s="9" t="n"/>
      <c r="K960" s="5" t="n"/>
      <c r="L960" s="5" t="n"/>
      <c r="M960" s="12" t="n"/>
      <c r="N960" s="9" t="n"/>
    </row>
    <row r="961" ht="61.5" customHeight="1">
      <c r="A961" s="9" t="n"/>
      <c r="B961" s="9" t="n"/>
      <c r="C961" s="9" t="n"/>
      <c r="D961" s="9" t="n"/>
      <c r="E961" s="11" t="n"/>
      <c r="F961" s="13" t="n"/>
      <c r="G961" s="5" t="n"/>
      <c r="H961" s="9" t="n"/>
      <c r="I961" s="9" t="n"/>
      <c r="J961" s="9" t="n"/>
      <c r="K961" s="5" t="n"/>
      <c r="L961" s="5" t="n"/>
      <c r="M961" s="12" t="n"/>
      <c r="N961" s="9" t="n"/>
    </row>
    <row r="962" ht="61.5" customHeight="1">
      <c r="A962" s="9" t="n"/>
      <c r="B962" s="9" t="n"/>
      <c r="C962" s="9" t="n"/>
      <c r="D962" s="9" t="n"/>
      <c r="E962" s="11" t="n"/>
      <c r="F962" s="13" t="n"/>
      <c r="G962" s="5" t="n"/>
      <c r="H962" s="9" t="n"/>
      <c r="I962" s="9" t="n"/>
      <c r="J962" s="9" t="n"/>
      <c r="K962" s="5" t="n"/>
      <c r="L962" s="5" t="n"/>
      <c r="M962" s="12" t="n"/>
      <c r="N962" s="9" t="n"/>
    </row>
    <row r="963" ht="61.5" customHeight="1">
      <c r="A963" s="9" t="n"/>
      <c r="B963" s="9" t="n"/>
      <c r="C963" s="9" t="n"/>
      <c r="D963" s="9" t="n"/>
      <c r="E963" s="11" t="n"/>
      <c r="F963" s="13" t="n"/>
      <c r="G963" s="5" t="n"/>
      <c r="H963" s="9" t="n"/>
      <c r="I963" s="9" t="n"/>
      <c r="J963" s="9" t="n"/>
      <c r="K963" s="5" t="n"/>
      <c r="L963" s="5" t="n"/>
      <c r="M963" s="12" t="n"/>
      <c r="N963" s="9" t="n"/>
    </row>
    <row r="964" ht="61.5" customHeight="1">
      <c r="A964" s="9" t="n"/>
      <c r="B964" s="9" t="n"/>
      <c r="C964" s="9" t="n"/>
      <c r="D964" s="9" t="n"/>
      <c r="E964" s="11" t="n"/>
      <c r="F964" s="13" t="n"/>
      <c r="G964" s="5" t="n"/>
      <c r="H964" s="9" t="n"/>
      <c r="I964" s="9" t="n"/>
      <c r="J964" s="9" t="n"/>
      <c r="K964" s="5" t="n"/>
      <c r="L964" s="5" t="n"/>
      <c r="M964" s="12" t="n"/>
      <c r="N964" s="9" t="n"/>
    </row>
    <row r="965" ht="61.5" customHeight="1">
      <c r="A965" s="9" t="n"/>
      <c r="B965" s="9" t="n"/>
      <c r="C965" s="9" t="n"/>
      <c r="D965" s="9" t="n"/>
      <c r="E965" s="11" t="n"/>
      <c r="F965" s="13" t="n"/>
      <c r="G965" s="5" t="n"/>
      <c r="H965" s="9" t="n"/>
      <c r="I965" s="9" t="n"/>
      <c r="J965" s="9" t="n"/>
      <c r="K965" s="5" t="n"/>
      <c r="L965" s="5" t="n"/>
      <c r="M965" s="12" t="n"/>
      <c r="N965" s="9" t="n"/>
    </row>
    <row r="966" ht="61.5" customHeight="1">
      <c r="A966" s="9" t="n"/>
      <c r="B966" s="9" t="n"/>
      <c r="C966" s="9" t="n"/>
      <c r="D966" s="9" t="n"/>
      <c r="E966" s="11" t="n"/>
      <c r="F966" s="13" t="n"/>
      <c r="G966" s="5" t="n"/>
      <c r="H966" s="9" t="n"/>
      <c r="I966" s="9" t="n"/>
      <c r="J966" s="9" t="n"/>
      <c r="K966" s="5" t="n"/>
      <c r="L966" s="5" t="n"/>
      <c r="M966" s="12" t="n"/>
      <c r="N966" s="9" t="n"/>
    </row>
    <row r="967" ht="61.5" customHeight="1">
      <c r="A967" s="9" t="n"/>
      <c r="B967" s="9" t="n"/>
      <c r="C967" s="9" t="n"/>
      <c r="D967" s="9" t="n"/>
      <c r="E967" s="11" t="n"/>
      <c r="F967" s="13" t="n"/>
      <c r="G967" s="5" t="n"/>
      <c r="H967" s="9" t="n"/>
      <c r="I967" s="9" t="n"/>
      <c r="J967" s="9" t="n"/>
      <c r="K967" s="5" t="n"/>
      <c r="L967" s="5" t="n"/>
      <c r="M967" s="12" t="n"/>
      <c r="N967" s="9" t="n"/>
    </row>
    <row r="968" ht="61.5" customHeight="1">
      <c r="A968" s="9" t="n"/>
      <c r="B968" s="9" t="n"/>
      <c r="C968" s="9" t="n"/>
      <c r="D968" s="9" t="n"/>
      <c r="E968" s="11" t="n"/>
      <c r="F968" s="13" t="n"/>
      <c r="G968" s="5" t="n"/>
      <c r="H968" s="9" t="n"/>
      <c r="I968" s="9" t="n"/>
      <c r="J968" s="9" t="n"/>
      <c r="K968" s="5" t="n"/>
      <c r="L968" s="5" t="n"/>
      <c r="M968" s="12" t="n"/>
      <c r="N968" s="9" t="n"/>
    </row>
    <row r="969" ht="61.5" customHeight="1">
      <c r="A969" s="9" t="n"/>
      <c r="B969" s="9" t="n"/>
      <c r="C969" s="9" t="n"/>
      <c r="D969" s="9" t="n"/>
      <c r="E969" s="11" t="n"/>
      <c r="F969" s="13" t="n"/>
      <c r="G969" s="5" t="n"/>
      <c r="H969" s="9" t="n"/>
      <c r="I969" s="9" t="n"/>
      <c r="J969" s="9" t="n"/>
      <c r="K969" s="5" t="n"/>
      <c r="L969" s="5" t="n"/>
      <c r="M969" s="12" t="n"/>
      <c r="N969" s="9" t="n"/>
    </row>
    <row r="970" ht="61.5" customHeight="1">
      <c r="A970" s="9" t="n"/>
      <c r="B970" s="9" t="n"/>
      <c r="C970" s="9" t="n"/>
      <c r="D970" s="9" t="n"/>
      <c r="E970" s="11" t="n"/>
      <c r="F970" s="13" t="n"/>
      <c r="G970" s="5" t="n"/>
      <c r="H970" s="9" t="n"/>
      <c r="I970" s="9" t="n"/>
      <c r="J970" s="9" t="n"/>
      <c r="K970" s="5" t="n"/>
      <c r="L970" s="5" t="n"/>
      <c r="M970" s="12" t="n"/>
      <c r="N970" s="9" t="n"/>
    </row>
    <row r="971" ht="61.5" customHeight="1">
      <c r="A971" s="9" t="n"/>
      <c r="B971" s="9" t="n"/>
      <c r="C971" s="9" t="n"/>
      <c r="D971" s="9" t="n"/>
      <c r="E971" s="11" t="n"/>
      <c r="F971" s="13" t="n"/>
      <c r="G971" s="5" t="n"/>
      <c r="H971" s="9" t="n"/>
      <c r="I971" s="9" t="n"/>
      <c r="J971" s="9" t="n"/>
      <c r="K971" s="5" t="n"/>
      <c r="L971" s="5" t="n"/>
      <c r="M971" s="12" t="n"/>
      <c r="N971" s="9" t="n"/>
    </row>
    <row r="972" ht="61.5" customHeight="1">
      <c r="A972" s="9" t="n"/>
      <c r="B972" s="9" t="n"/>
      <c r="C972" s="9" t="n"/>
      <c r="D972" s="9" t="n"/>
      <c r="E972" s="11" t="n"/>
      <c r="F972" s="13" t="n"/>
      <c r="G972" s="5" t="n"/>
      <c r="H972" s="9" t="n"/>
      <c r="I972" s="9" t="n"/>
      <c r="J972" s="9" t="n"/>
      <c r="K972" s="5" t="n"/>
      <c r="L972" s="5" t="n"/>
      <c r="M972" s="12" t="n"/>
      <c r="N972" s="9" t="n"/>
    </row>
    <row r="973" ht="61.5" customHeight="1">
      <c r="A973" s="9" t="n"/>
      <c r="B973" s="9" t="n"/>
      <c r="C973" s="9" t="n"/>
      <c r="D973" s="9" t="n"/>
      <c r="E973" s="11" t="n"/>
      <c r="F973" s="13" t="n"/>
      <c r="G973" s="5" t="n"/>
      <c r="H973" s="9" t="n"/>
      <c r="I973" s="9" t="n"/>
      <c r="J973" s="9" t="n"/>
      <c r="K973" s="5" t="n"/>
      <c r="L973" s="5" t="n"/>
      <c r="M973" s="12" t="n"/>
      <c r="N973" s="9" t="n"/>
    </row>
    <row r="974" ht="61.5" customHeight="1">
      <c r="A974" s="9" t="n"/>
      <c r="B974" s="9" t="n"/>
      <c r="C974" s="9" t="n"/>
      <c r="D974" s="9" t="n"/>
      <c r="E974" s="11" t="n"/>
      <c r="F974" s="13" t="n"/>
      <c r="G974" s="5" t="n"/>
      <c r="H974" s="9" t="n"/>
      <c r="I974" s="9" t="n"/>
      <c r="J974" s="9" t="n"/>
      <c r="K974" s="5" t="n"/>
      <c r="L974" s="5" t="n"/>
      <c r="M974" s="12" t="n"/>
      <c r="N974" s="9" t="n"/>
    </row>
    <row r="975" ht="61.5" customHeight="1">
      <c r="A975" s="9" t="n"/>
      <c r="B975" s="9" t="n"/>
      <c r="C975" s="9" t="n"/>
      <c r="D975" s="9" t="n"/>
      <c r="E975" s="11" t="n"/>
      <c r="F975" s="13" t="n"/>
      <c r="G975" s="5" t="n"/>
      <c r="H975" s="9" t="n"/>
      <c r="I975" s="9" t="n"/>
      <c r="J975" s="9" t="n"/>
      <c r="K975" s="5" t="n"/>
      <c r="L975" s="5" t="n"/>
      <c r="M975" s="12" t="n"/>
      <c r="N975" s="9" t="n"/>
    </row>
    <row r="976" ht="61.5" customHeight="1">
      <c r="A976" s="9" t="n"/>
      <c r="B976" s="9" t="n"/>
      <c r="C976" s="9" t="n"/>
      <c r="D976" s="9" t="n"/>
      <c r="E976" s="11" t="n"/>
      <c r="F976" s="13" t="n"/>
      <c r="G976" s="5" t="n"/>
      <c r="H976" s="9" t="n"/>
      <c r="I976" s="9" t="n"/>
      <c r="J976" s="9" t="n"/>
      <c r="K976" s="5" t="n"/>
      <c r="L976" s="5" t="n"/>
      <c r="M976" s="12" t="n"/>
      <c r="N976" s="9" t="n"/>
    </row>
    <row r="977" ht="61.5" customHeight="1">
      <c r="A977" s="9" t="n"/>
      <c r="B977" s="9" t="n"/>
      <c r="C977" s="9" t="n"/>
      <c r="D977" s="9" t="n"/>
      <c r="E977" s="11" t="n"/>
      <c r="F977" s="13" t="n"/>
      <c r="G977" s="5" t="n"/>
      <c r="H977" s="9" t="n"/>
      <c r="I977" s="9" t="n"/>
      <c r="J977" s="9" t="n"/>
      <c r="K977" s="5" t="n"/>
      <c r="L977" s="5" t="n"/>
      <c r="M977" s="12" t="n"/>
      <c r="N977" s="9" t="n"/>
    </row>
    <row r="978" ht="61.5" customHeight="1">
      <c r="A978" s="9" t="n"/>
      <c r="B978" s="9" t="n"/>
      <c r="C978" s="9" t="n"/>
      <c r="D978" s="9" t="n"/>
      <c r="E978" s="11" t="n"/>
      <c r="F978" s="13" t="n"/>
      <c r="G978" s="5" t="n"/>
      <c r="H978" s="9" t="n"/>
      <c r="I978" s="9" t="n"/>
      <c r="J978" s="9" t="n"/>
      <c r="K978" s="5" t="n"/>
      <c r="L978" s="5" t="n"/>
      <c r="M978" s="12" t="n"/>
      <c r="N978" s="9" t="n"/>
    </row>
    <row r="979" ht="61.5" customHeight="1">
      <c r="A979" s="9" t="n"/>
      <c r="B979" s="9" t="n"/>
      <c r="C979" s="9" t="n"/>
      <c r="D979" s="9" t="n"/>
      <c r="E979" s="11" t="n"/>
      <c r="F979" s="13" t="n"/>
      <c r="G979" s="5" t="n"/>
      <c r="H979" s="9" t="n"/>
      <c r="I979" s="9" t="n"/>
      <c r="J979" s="9" t="n"/>
      <c r="K979" s="5" t="n"/>
      <c r="L979" s="5" t="n"/>
      <c r="M979" s="12" t="n"/>
      <c r="N979" s="9" t="n"/>
    </row>
    <row r="980" ht="61.5" customHeight="1">
      <c r="A980" s="9" t="n"/>
      <c r="B980" s="9" t="n"/>
      <c r="C980" s="9" t="n"/>
      <c r="D980" s="9" t="n"/>
      <c r="E980" s="11" t="n"/>
      <c r="F980" s="13" t="n"/>
      <c r="G980" s="5" t="n"/>
      <c r="H980" s="9" t="n"/>
      <c r="I980" s="9" t="n"/>
      <c r="J980" s="9" t="n"/>
      <c r="K980" s="5" t="n"/>
      <c r="L980" s="5" t="n"/>
      <c r="M980" s="12" t="n"/>
      <c r="N980" s="9" t="n"/>
    </row>
    <row r="981" ht="61.5" customHeight="1">
      <c r="A981" s="9" t="n"/>
      <c r="B981" s="9" t="n"/>
      <c r="C981" s="9" t="n"/>
      <c r="D981" s="9" t="n"/>
      <c r="E981" s="11" t="n"/>
      <c r="F981" s="13" t="n"/>
      <c r="G981" s="5" t="n"/>
      <c r="H981" s="9" t="n"/>
      <c r="I981" s="9" t="n"/>
      <c r="J981" s="9" t="n"/>
      <c r="K981" s="5" t="n"/>
      <c r="L981" s="5" t="n"/>
      <c r="M981" s="12" t="n"/>
      <c r="N981" s="9" t="n"/>
    </row>
    <row r="982" ht="61.5" customHeight="1">
      <c r="A982" s="9" t="n"/>
      <c r="B982" s="9" t="n"/>
      <c r="C982" s="9" t="n"/>
      <c r="D982" s="9" t="n"/>
      <c r="E982" s="11" t="n"/>
      <c r="F982" s="13" t="n"/>
      <c r="G982" s="5" t="n"/>
      <c r="H982" s="9" t="n"/>
      <c r="I982" s="9" t="n"/>
      <c r="J982" s="9" t="n"/>
      <c r="K982" s="5" t="n"/>
      <c r="L982" s="5" t="n"/>
      <c r="M982" s="12" t="n"/>
      <c r="N982" s="9" t="n"/>
    </row>
    <row r="983" ht="61.5" customHeight="1">
      <c r="A983" s="9" t="n"/>
      <c r="B983" s="9" t="n"/>
      <c r="C983" s="9" t="n"/>
      <c r="D983" s="9" t="n"/>
      <c r="E983" s="11" t="n"/>
      <c r="F983" s="13" t="n"/>
      <c r="G983" s="5" t="n"/>
      <c r="H983" s="9" t="n"/>
      <c r="I983" s="9" t="n"/>
      <c r="J983" s="9" t="n"/>
      <c r="K983" s="5" t="n"/>
      <c r="L983" s="5" t="n"/>
      <c r="M983" s="12" t="n"/>
      <c r="N983" s="9" t="n"/>
    </row>
    <row r="984" ht="61.5" customHeight="1">
      <c r="A984" s="9" t="n"/>
      <c r="B984" s="9" t="n"/>
      <c r="C984" s="9" t="n"/>
      <c r="D984" s="9" t="n"/>
      <c r="E984" s="11" t="n"/>
      <c r="F984" s="13" t="n"/>
      <c r="G984" s="5" t="n"/>
      <c r="H984" s="9" t="n"/>
      <c r="I984" s="9" t="n"/>
      <c r="J984" s="9" t="n"/>
      <c r="K984" s="5" t="n"/>
      <c r="L984" s="5" t="n"/>
      <c r="M984" s="12" t="n"/>
      <c r="N984" s="9" t="n"/>
    </row>
    <row r="985" ht="61.5" customHeight="1">
      <c r="A985" s="9" t="n"/>
      <c r="B985" s="9" t="n"/>
      <c r="C985" s="9" t="n"/>
      <c r="D985" s="9" t="n"/>
      <c r="E985" s="11" t="n"/>
      <c r="F985" s="13" t="n"/>
      <c r="G985" s="5" t="n"/>
      <c r="H985" s="9" t="n"/>
      <c r="I985" s="9" t="n"/>
      <c r="J985" s="9" t="n"/>
      <c r="K985" s="5" t="n"/>
      <c r="L985" s="5" t="n"/>
      <c r="M985" s="12" t="n"/>
      <c r="N985" s="9" t="n"/>
    </row>
    <row r="986" ht="61.5" customHeight="1">
      <c r="A986" s="9" t="n"/>
      <c r="B986" s="9" t="n"/>
      <c r="C986" s="9" t="n"/>
      <c r="D986" s="9" t="n"/>
      <c r="E986" s="11" t="n"/>
      <c r="F986" s="13" t="n"/>
      <c r="G986" s="5" t="n"/>
      <c r="H986" s="9" t="n"/>
      <c r="I986" s="9" t="n"/>
      <c r="J986" s="9" t="n"/>
      <c r="K986" s="5" t="n"/>
      <c r="L986" s="5" t="n"/>
      <c r="M986" s="12" t="n"/>
      <c r="N986" s="9" t="n"/>
    </row>
    <row r="987" ht="61.5" customHeight="1">
      <c r="A987" s="9" t="n"/>
      <c r="B987" s="9" t="n"/>
      <c r="C987" s="9" t="n"/>
      <c r="D987" s="9" t="n"/>
      <c r="E987" s="11" t="n"/>
      <c r="F987" s="13" t="n"/>
      <c r="G987" s="5" t="n"/>
      <c r="H987" s="9" t="n"/>
      <c r="I987" s="9" t="n"/>
      <c r="J987" s="9" t="n"/>
      <c r="K987" s="5" t="n"/>
      <c r="L987" s="5" t="n"/>
      <c r="M987" s="12" t="n"/>
      <c r="N987" s="9" t="n"/>
    </row>
    <row r="988" ht="61.5" customHeight="1">
      <c r="A988" s="9" t="n"/>
      <c r="B988" s="9" t="n"/>
      <c r="C988" s="9" t="n"/>
      <c r="D988" s="9" t="n"/>
      <c r="E988" s="11" t="n"/>
      <c r="F988" s="13" t="n"/>
      <c r="G988" s="5" t="n"/>
      <c r="H988" s="9" t="n"/>
      <c r="I988" s="9" t="n"/>
      <c r="J988" s="9" t="n"/>
      <c r="K988" s="5" t="n"/>
      <c r="L988" s="5" t="n"/>
      <c r="M988" s="12" t="n"/>
      <c r="N988" s="9" t="n"/>
    </row>
    <row r="989" ht="61.5" customHeight="1">
      <c r="A989" s="9" t="n"/>
      <c r="B989" s="9" t="n"/>
      <c r="C989" s="9" t="n"/>
      <c r="D989" s="9" t="n"/>
      <c r="E989" s="11" t="n"/>
      <c r="F989" s="13" t="n"/>
      <c r="G989" s="5" t="n"/>
      <c r="H989" s="9" t="n"/>
      <c r="I989" s="9" t="n"/>
      <c r="J989" s="9" t="n"/>
      <c r="K989" s="5" t="n"/>
      <c r="L989" s="5" t="n"/>
      <c r="M989" s="12" t="n"/>
      <c r="N989" s="9" t="n"/>
    </row>
    <row r="990" ht="61.5" customHeight="1">
      <c r="A990" s="9" t="n"/>
      <c r="B990" s="9" t="n"/>
      <c r="C990" s="9" t="n"/>
      <c r="D990" s="9" t="n"/>
      <c r="E990" s="11" t="n"/>
      <c r="F990" s="13" t="n"/>
      <c r="G990" s="5" t="n"/>
      <c r="H990" s="9" t="n"/>
      <c r="I990" s="9" t="n"/>
      <c r="J990" s="9" t="n"/>
      <c r="K990" s="5" t="n"/>
      <c r="L990" s="5" t="n"/>
      <c r="M990" s="12" t="n"/>
      <c r="N990" s="9" t="n"/>
    </row>
    <row r="991" ht="61.5" customHeight="1">
      <c r="A991" s="9" t="n"/>
      <c r="B991" s="9" t="n"/>
      <c r="C991" s="9" t="n"/>
      <c r="D991" s="9" t="n"/>
      <c r="E991" s="11" t="n"/>
      <c r="F991" s="13" t="n"/>
      <c r="G991" s="5" t="n"/>
      <c r="H991" s="9" t="n"/>
      <c r="I991" s="9" t="n"/>
      <c r="J991" s="9" t="n"/>
      <c r="K991" s="5" t="n"/>
      <c r="L991" s="5" t="n"/>
      <c r="M991" s="12" t="n"/>
      <c r="N991" s="9" t="n"/>
    </row>
    <row r="992" ht="61.5" customHeight="1">
      <c r="A992" s="9" t="n"/>
      <c r="B992" s="9" t="n"/>
      <c r="C992" s="9" t="n"/>
      <c r="D992" s="9" t="n"/>
      <c r="E992" s="11" t="n"/>
      <c r="F992" s="13" t="n"/>
      <c r="G992" s="5" t="n"/>
      <c r="H992" s="9" t="n"/>
      <c r="I992" s="9" t="n"/>
      <c r="J992" s="9" t="n"/>
      <c r="K992" s="5" t="n"/>
      <c r="L992" s="5" t="n"/>
      <c r="M992" s="12" t="n"/>
      <c r="N992" s="9" t="n"/>
    </row>
    <row r="993" ht="61.5" customHeight="1">
      <c r="A993" s="9" t="n"/>
      <c r="B993" s="9" t="n"/>
      <c r="C993" s="9" t="n"/>
      <c r="D993" s="9" t="n"/>
      <c r="E993" s="11" t="n"/>
      <c r="F993" s="13" t="n"/>
      <c r="G993" s="5" t="n"/>
      <c r="H993" s="9" t="n"/>
      <c r="I993" s="9" t="n"/>
      <c r="J993" s="9" t="n"/>
      <c r="K993" s="5" t="n"/>
      <c r="L993" s="5" t="n"/>
      <c r="M993" s="12" t="n"/>
      <c r="N993" s="9" t="n"/>
    </row>
    <row r="994" ht="61.5" customHeight="1">
      <c r="A994" s="9" t="n"/>
      <c r="B994" s="9" t="n"/>
      <c r="C994" s="9" t="n"/>
      <c r="D994" s="9" t="n"/>
      <c r="E994" s="11" t="n"/>
      <c r="F994" s="13" t="n"/>
      <c r="G994" s="5" t="n"/>
      <c r="H994" s="9" t="n"/>
      <c r="I994" s="9" t="n"/>
      <c r="J994" s="9" t="n"/>
      <c r="K994" s="5" t="n"/>
      <c r="L994" s="5" t="n"/>
      <c r="M994" s="12" t="n"/>
      <c r="N994" s="9" t="n"/>
    </row>
    <row r="995" ht="61.5" customHeight="1">
      <c r="A995" s="9" t="n"/>
      <c r="B995" s="9" t="n"/>
      <c r="C995" s="9" t="n"/>
      <c r="D995" s="9" t="n"/>
      <c r="E995" s="11" t="n"/>
      <c r="F995" s="13" t="n"/>
      <c r="G995" s="5" t="n"/>
      <c r="H995" s="9" t="n"/>
      <c r="I995" s="9" t="n"/>
      <c r="J995" s="9" t="n"/>
      <c r="K995" s="5" t="n"/>
      <c r="L995" s="5" t="n"/>
      <c r="M995" s="12" t="n"/>
      <c r="N995" s="9" t="n"/>
    </row>
    <row r="996" ht="61.5" customHeight="1">
      <c r="A996" s="9" t="n"/>
      <c r="B996" s="9" t="n"/>
      <c r="C996" s="9" t="n"/>
      <c r="D996" s="9" t="n"/>
      <c r="E996" s="11" t="n"/>
      <c r="F996" s="13" t="n"/>
      <c r="G996" s="5" t="n"/>
      <c r="H996" s="9" t="n"/>
      <c r="I996" s="9" t="n"/>
      <c r="J996" s="9" t="n"/>
      <c r="K996" s="5" t="n"/>
      <c r="L996" s="5" t="n"/>
      <c r="M996" s="12" t="n"/>
      <c r="N996" s="9" t="n"/>
    </row>
    <row r="997" ht="61.5" customHeight="1">
      <c r="A997" s="9" t="n"/>
      <c r="B997" s="9" t="n"/>
      <c r="C997" s="9" t="n"/>
      <c r="D997" s="9" t="n"/>
      <c r="E997" s="11" t="n"/>
      <c r="F997" s="13" t="n"/>
      <c r="G997" s="5" t="n"/>
      <c r="H997" s="9" t="n"/>
      <c r="I997" s="9" t="n"/>
      <c r="J997" s="9" t="n"/>
      <c r="K997" s="5" t="n"/>
      <c r="L997" s="5" t="n"/>
      <c r="M997" s="12" t="n"/>
      <c r="N997" s="9" t="n"/>
    </row>
    <row r="998" ht="61.5" customHeight="1">
      <c r="A998" s="9" t="n"/>
      <c r="B998" s="9" t="n"/>
      <c r="C998" s="9" t="n"/>
      <c r="D998" s="9" t="n"/>
      <c r="E998" s="11" t="n"/>
      <c r="F998" s="13" t="n"/>
      <c r="G998" s="5" t="n"/>
      <c r="H998" s="9" t="n"/>
      <c r="I998" s="9" t="n"/>
      <c r="J998" s="9" t="n"/>
      <c r="K998" s="5" t="n"/>
      <c r="L998" s="5" t="n"/>
      <c r="M998" s="12" t="n"/>
      <c r="N998" s="9" t="n"/>
    </row>
    <row r="999" ht="61.5" customHeight="1">
      <c r="A999" s="9" t="n"/>
      <c r="B999" s="9" t="n"/>
      <c r="C999" s="9" t="n"/>
      <c r="D999" s="9" t="n"/>
      <c r="E999" s="11" t="n"/>
      <c r="F999" s="13" t="n"/>
      <c r="G999" s="5" t="n"/>
      <c r="H999" s="9" t="n"/>
      <c r="I999" s="9" t="n"/>
      <c r="J999" s="9" t="n"/>
      <c r="K999" s="5" t="n"/>
      <c r="L999" s="5" t="n"/>
      <c r="M999" s="12" t="n"/>
      <c r="N999" s="9" t="n"/>
    </row>
    <row r="1000" ht="61.5" customHeight="1">
      <c r="A1000" s="9" t="n"/>
      <c r="B1000" s="9" t="n"/>
      <c r="C1000" s="9" t="n"/>
      <c r="D1000" s="9" t="n"/>
      <c r="E1000" s="11" t="n"/>
      <c r="F1000" s="13" t="n"/>
      <c r="G1000" s="5" t="n"/>
      <c r="H1000" s="9" t="n"/>
      <c r="I1000" s="9" t="n"/>
      <c r="J1000" s="9" t="n"/>
      <c r="K1000" s="5" t="n"/>
      <c r="L1000" s="5" t="n"/>
      <c r="M1000" s="12" t="n"/>
      <c r="N1000" s="9" t="n"/>
    </row>
    <row r="1001" ht="61.5" customHeight="1">
      <c r="A1001" s="9" t="n"/>
      <c r="B1001" s="9" t="n"/>
      <c r="C1001" s="9" t="n"/>
      <c r="D1001" s="9" t="n"/>
      <c r="E1001" s="11" t="n"/>
      <c r="F1001" s="13" t="n"/>
      <c r="G1001" s="5" t="n"/>
      <c r="H1001" s="9" t="n"/>
      <c r="I1001" s="9" t="n"/>
      <c r="J1001" s="9" t="n"/>
      <c r="K1001" s="5" t="n"/>
      <c r="L1001" s="5" t="n"/>
      <c r="M1001" s="12" t="n"/>
      <c r="N1001" s="9" t="n"/>
    </row>
    <row r="1002" ht="61.5" customHeight="1">
      <c r="A1002" s="9" t="n"/>
      <c r="B1002" s="9" t="n"/>
      <c r="C1002" s="9" t="n"/>
      <c r="D1002" s="9" t="n"/>
      <c r="E1002" s="5" t="n"/>
      <c r="F1002" s="13" t="n"/>
      <c r="G1002" s="5" t="n"/>
      <c r="H1002" s="9" t="n"/>
      <c r="I1002" s="9" t="n"/>
      <c r="J1002" s="9" t="n"/>
      <c r="K1002" s="5" t="n"/>
      <c r="L1002" s="5" t="n"/>
      <c r="M1002" s="12" t="n"/>
      <c r="N1002" s="9" t="n"/>
    </row>
  </sheetData>
  <autoFilter ref="A1:M1002"/>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28"/>
  <sheetViews>
    <sheetView workbookViewId="0">
      <selection activeCell="A1" sqref="A1"/>
    </sheetView>
  </sheetViews>
  <sheetFormatPr baseColWidth="8" defaultColWidth="12.6328125" defaultRowHeight="15.75" customHeight="1"/>
  <cols>
    <col width="4.90625" customWidth="1" min="1" max="1"/>
    <col width="20.08984375" customWidth="1" min="5" max="5"/>
  </cols>
  <sheetData>
    <row r="1" ht="13" customHeight="1">
      <c r="A1" s="45" t="inlineStr">
        <is>
          <t>S.No</t>
        </is>
      </c>
      <c r="B1" s="46" t="inlineStr">
        <is>
          <t>Place Available</t>
        </is>
      </c>
      <c r="C1" s="46" t="inlineStr">
        <is>
          <t>Qty Ava</t>
        </is>
      </c>
      <c r="D1" s="46" t="inlineStr">
        <is>
          <t>Demand</t>
        </is>
      </c>
      <c r="E1" s="46" t="inlineStr">
        <is>
          <t>High/Low/Mod</t>
        </is>
      </c>
      <c r="F1" s="46" t="inlineStr">
        <is>
          <t>Yes/No</t>
        </is>
      </c>
      <c r="G1" s="46" t="inlineStr">
        <is>
          <t>Category</t>
        </is>
      </c>
    </row>
    <row r="2" ht="15.75" customHeight="1">
      <c r="A2" s="47" t="n">
        <v>1</v>
      </c>
      <c r="B2" s="9" t="inlineStr">
        <is>
          <t>Top</t>
        </is>
      </c>
      <c r="C2" s="9" t="inlineStr">
        <is>
          <t>Available</t>
        </is>
      </c>
      <c r="D2" s="9" t="inlineStr">
        <is>
          <t>VeryHigh</t>
        </is>
      </c>
      <c r="E2" s="9" t="inlineStr">
        <is>
          <t>Low</t>
        </is>
      </c>
      <c r="F2" s="9" t="n">
        <v>0</v>
      </c>
      <c r="G2" s="9" t="inlineStr">
        <is>
          <t>Succulent</t>
        </is>
      </c>
    </row>
    <row r="3" ht="15.75" customHeight="1">
      <c r="A3" s="47" t="n">
        <v>2</v>
      </c>
      <c r="B3" s="9" t="inlineStr">
        <is>
          <t>Down</t>
        </is>
      </c>
      <c r="C3" s="9" t="inlineStr">
        <is>
          <t>Low</t>
        </is>
      </c>
      <c r="D3" s="9" t="inlineStr">
        <is>
          <t>High</t>
        </is>
      </c>
      <c r="E3" s="9" t="inlineStr">
        <is>
          <t>Moderate</t>
        </is>
      </c>
      <c r="F3" s="9" t="n">
        <v>1</v>
      </c>
      <c r="G3" s="9" t="inlineStr">
        <is>
          <t>Cactus</t>
        </is>
      </c>
    </row>
    <row r="4" ht="15.75" customHeight="1">
      <c r="A4" s="47" t="n">
        <v>3</v>
      </c>
      <c r="B4" s="9" t="inlineStr">
        <is>
          <t>Both</t>
        </is>
      </c>
      <c r="C4" s="9" t="inlineStr">
        <is>
          <t>NA</t>
        </is>
      </c>
      <c r="D4" s="9" t="inlineStr">
        <is>
          <t>Medium</t>
        </is>
      </c>
      <c r="E4" s="9" t="inlineStr">
        <is>
          <t>High</t>
        </is>
      </c>
      <c r="F4" s="9" t="n"/>
      <c r="G4" s="9" t="inlineStr">
        <is>
          <t>Echeveria</t>
        </is>
      </c>
    </row>
    <row r="5" ht="15.75" customHeight="1">
      <c r="A5" s="47" t="n">
        <v>4</v>
      </c>
      <c r="B5" s="9" t="n"/>
      <c r="D5" s="9" t="inlineStr">
        <is>
          <t>Low</t>
        </is>
      </c>
      <c r="E5" s="9" t="inlineStr">
        <is>
          <t>Not Specific</t>
        </is>
      </c>
      <c r="F5" s="9" t="n"/>
      <c r="G5" s="9" t="inlineStr">
        <is>
          <t>Jade</t>
        </is>
      </c>
    </row>
    <row r="6" ht="15.75" customHeight="1">
      <c r="A6" s="47" t="n">
        <v>5</v>
      </c>
      <c r="B6" s="9" t="n"/>
      <c r="C6" s="9" t="n"/>
      <c r="D6" s="9" t="inlineStr">
        <is>
          <t>VeryLow</t>
        </is>
      </c>
      <c r="E6" s="9" t="n"/>
      <c r="F6" s="9" t="n"/>
      <c r="G6" s="9" t="inlineStr">
        <is>
          <t>Crassula</t>
        </is>
      </c>
    </row>
    <row r="7" ht="15.75" customHeight="1">
      <c r="A7" s="47" t="n">
        <v>6</v>
      </c>
      <c r="B7" s="9" t="n"/>
      <c r="C7" s="9" t="n"/>
      <c r="D7" s="9" t="inlineStr">
        <is>
          <t>NotStarted</t>
        </is>
      </c>
      <c r="E7" s="9" t="n"/>
      <c r="F7" s="9" t="n"/>
      <c r="G7" s="9" t="inlineStr">
        <is>
          <t>Peperomia</t>
        </is>
      </c>
    </row>
    <row r="8" ht="15.75" customHeight="1">
      <c r="A8" s="47" t="n">
        <v>7</v>
      </c>
      <c r="B8" s="9" t="n"/>
      <c r="C8" s="9" t="n"/>
      <c r="D8" s="9" t="n"/>
      <c r="E8" s="9" t="n"/>
      <c r="F8" s="9" t="n"/>
      <c r="G8" s="9" t="inlineStr">
        <is>
          <t>Aloe</t>
        </is>
      </c>
    </row>
    <row r="9" ht="15.75" customHeight="1">
      <c r="A9" s="47" t="n">
        <v>8</v>
      </c>
      <c r="B9" s="9" t="n"/>
      <c r="C9" s="9" t="n"/>
      <c r="D9" s="9" t="n"/>
      <c r="E9" s="9" t="n"/>
      <c r="F9" s="9" t="n"/>
      <c r="G9" s="9" t="inlineStr">
        <is>
          <t>Sedum</t>
        </is>
      </c>
    </row>
    <row r="10" ht="15.75" customHeight="1">
      <c r="A10" s="47" t="n">
        <v>9</v>
      </c>
      <c r="B10" s="9" t="n"/>
      <c r="C10" s="9" t="n"/>
      <c r="D10" s="9" t="n"/>
      <c r="E10" s="9" t="n"/>
      <c r="F10" s="9" t="n"/>
      <c r="G10" s="9" t="inlineStr">
        <is>
          <t>Haworthia</t>
        </is>
      </c>
    </row>
    <row r="11" ht="15.75" customHeight="1">
      <c r="A11" s="47" t="n">
        <v>10</v>
      </c>
      <c r="B11" s="9" t="n"/>
      <c r="C11" s="9" t="n"/>
      <c r="D11" s="9" t="n"/>
      <c r="E11" s="9" t="n"/>
      <c r="F11" s="9" t="n"/>
      <c r="G11" s="9" t="inlineStr">
        <is>
          <t>Creeper</t>
        </is>
      </c>
    </row>
    <row r="12" ht="15.75" customHeight="1">
      <c r="A12" s="47" t="n">
        <v>11</v>
      </c>
      <c r="B12" s="9" t="n"/>
      <c r="C12" s="9" t="n"/>
      <c r="D12" s="9" t="n"/>
      <c r="E12" s="9" t="n"/>
      <c r="F12" s="9" t="n"/>
      <c r="G12" s="9" t="inlineStr">
        <is>
          <t>Sansevieria</t>
        </is>
      </c>
    </row>
    <row r="13" ht="15.75" customHeight="1">
      <c r="A13" s="47" t="n">
        <v>12</v>
      </c>
      <c r="B13" s="9" t="n"/>
      <c r="C13" s="9" t="n"/>
      <c r="D13" s="9" t="n"/>
      <c r="E13" s="9" t="n"/>
      <c r="F13" s="9" t="n"/>
      <c r="G13" s="9" t="inlineStr">
        <is>
          <t>Others</t>
        </is>
      </c>
    </row>
    <row r="15" ht="15.75" customHeight="1">
      <c r="D15" s="34" t="inlineStr">
        <is>
          <t>V_Hig</t>
        </is>
      </c>
    </row>
    <row r="16" ht="15.75" customHeight="1">
      <c r="D16" s="34" t="inlineStr">
        <is>
          <t>V_Loow</t>
        </is>
      </c>
    </row>
    <row r="17" ht="15.75" customHeight="1">
      <c r="H17" s="48" t="n"/>
    </row>
    <row r="18" ht="15.75" customHeight="1">
      <c r="H18" s="48" t="n"/>
    </row>
    <row r="19" ht="15.75" customHeight="1">
      <c r="H19" s="48" t="n"/>
    </row>
    <row r="20" ht="15.75" customHeight="1">
      <c r="H20" s="48" t="n"/>
    </row>
    <row r="21" ht="15.75" customHeight="1">
      <c r="H21" s="48" t="n"/>
    </row>
    <row r="22" ht="15.75" customHeight="1">
      <c r="H22" s="48" t="n"/>
    </row>
    <row r="23" ht="15.75" customHeight="1">
      <c r="H23" s="48" t="n"/>
    </row>
    <row r="24" ht="15.75" customHeight="1">
      <c r="H24" s="48" t="n"/>
    </row>
    <row r="25" ht="15.75" customHeight="1">
      <c r="H25" s="48" t="n"/>
    </row>
    <row r="26" ht="15.75" customHeight="1">
      <c r="H26" s="48" t="n"/>
    </row>
    <row r="27" ht="15.75" customHeight="1">
      <c r="H27" s="48" t="n"/>
    </row>
    <row r="28" ht="15.75" customHeight="1">
      <c r="H28" s="48" t="n"/>
    </row>
  </sheetData>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1:C16"/>
  <sheetViews>
    <sheetView workbookViewId="0">
      <selection activeCell="A1" sqref="A1"/>
    </sheetView>
  </sheetViews>
  <sheetFormatPr baseColWidth="8" defaultColWidth="12.6328125" defaultRowHeight="15.75" customHeight="1"/>
  <sheetData>
    <row r="1" ht="15.75" customHeight="1">
      <c r="A1" s="34" t="inlineStr">
        <is>
          <t>ID</t>
        </is>
      </c>
      <c r="B1" s="34" t="inlineStr">
        <is>
          <t>Name</t>
        </is>
      </c>
      <c r="C1" s="34" t="inlineStr">
        <is>
          <t>Embeded Link</t>
        </is>
      </c>
    </row>
    <row r="2" ht="14" customHeight="1">
      <c r="A2" s="34" t="n">
        <v>1</v>
      </c>
      <c r="B2" s="49" t="inlineStr">
        <is>
          <t>Sharon R Thomas</t>
        </is>
      </c>
      <c r="C2" s="50" t="inlineStr">
        <is>
          <t>https://www.facebook.com/sharon.thomas.7798/posts/pfbid02tB4wJswyLzzTfpZLyikFCfFCUL96EgTf7DJo1PpWgfAgeWnM5Wofp2FHE7WMs5Gl</t>
        </is>
      </c>
    </row>
    <row r="3" ht="14" customHeight="1">
      <c r="A3" s="34" t="n">
        <v>2</v>
      </c>
      <c r="B3" s="49" t="inlineStr">
        <is>
          <t>Sairindhree Sarkar</t>
        </is>
      </c>
      <c r="C3" s="50" t="inlineStr">
        <is>
          <t>https://www.facebook.com/sairindhree.sarkar/posts/pfbid02vF6cEFtHgFrRGJ97doX5bcCzTksvVqZ1r8fQtkjY73bg5zAWnCtJHwdPqQdoV8NTl</t>
        </is>
      </c>
    </row>
    <row r="4" ht="14" customHeight="1">
      <c r="A4" s="34" t="n">
        <v>3</v>
      </c>
      <c r="B4" s="49" t="inlineStr">
        <is>
          <t>Pugazenthi BP</t>
        </is>
      </c>
      <c r="C4" s="50" t="inlineStr">
        <is>
          <t>https://www.facebook.com/pugazenthi.pugal.33/posts/pfbid0VY3UY59o3ad4wY5RoNW2EsFr8xMsb9HNwex23FYmgGq6AZU6zbWZJEbGPxvJ3tJcl</t>
        </is>
      </c>
    </row>
    <row r="5" ht="14" customHeight="1">
      <c r="A5" s="34" t="n">
        <v>4</v>
      </c>
      <c r="B5" s="49" t="inlineStr">
        <is>
          <t>Sumesh C K</t>
        </is>
      </c>
      <c r="C5" s="50" t="inlineStr">
        <is>
          <t>https://www.facebook.com/sumesh.c.k.581/posts/pfbid02HhL3zUUn2Si6XTWGfHRdFQF6fB1gFN93MMSjpE4qjH1YAPejEPYAPxb7iRJGe3Bal</t>
        </is>
      </c>
    </row>
    <row r="6" ht="14" customHeight="1">
      <c r="A6" s="34" t="n">
        <v>5</v>
      </c>
      <c r="B6" s="49" t="inlineStr">
        <is>
          <t>Trendy N Traditional</t>
        </is>
      </c>
      <c r="C6" s="50" t="inlineStr">
        <is>
          <t>https://www.facebook.com/trendy.traditional.7/posts/pfbid0NmsSKXYD7PKD2t4LW8dnck8EUqM1DbQ2pUKE8RDyNpdC9vmPXaeKjN4hwXsAoY4Fl</t>
        </is>
      </c>
    </row>
    <row r="7" ht="14" customHeight="1">
      <c r="A7" s="34" t="n">
        <v>6</v>
      </c>
      <c r="B7" s="49" t="inlineStr">
        <is>
          <t>Mohanasundaram J</t>
        </is>
      </c>
      <c r="C7" s="50" t="inlineStr">
        <is>
          <t>https://www.facebook.com/mohanasundaram.j.1/posts/pfbid02S4mWZLGzdG7dH5HFGUYPeUGFaChfJ65U9eX3WmNNCvMCFWit81pcdNBsWcZUxnNcl</t>
        </is>
      </c>
    </row>
    <row r="8" ht="14" customHeight="1">
      <c r="A8" s="34" t="n">
        <v>7</v>
      </c>
      <c r="B8" s="49" t="inlineStr">
        <is>
          <t>Pratisha Babli Hazarika</t>
        </is>
      </c>
      <c r="C8" s="50" t="inlineStr">
        <is>
          <t>https://www.facebook.com/pratisha.hazarika/posts/pfbid02gYbQKrBsno8QnLC2D9oqk62KPAZRM6tSsmo1tickEvYbVVPsSGVX7MVUiy3sVAnBl</t>
        </is>
      </c>
    </row>
    <row r="9" ht="14" customHeight="1">
      <c r="A9" s="34" t="n">
        <v>8</v>
      </c>
      <c r="B9" s="49" t="inlineStr">
        <is>
          <t>Prerana Polekar</t>
        </is>
      </c>
      <c r="C9" s="50" t="inlineStr">
        <is>
          <t>https://www.facebook.com/prerana.polekar/posts/pfbid0QhGJnFNL3Z5R6wiZZxBQAYSBKHNviNN33e6BCxcQgTY4Cca6o59Cey7dEjmy1MPvl</t>
        </is>
      </c>
    </row>
    <row r="10" ht="14" customHeight="1">
      <c r="A10" s="34" t="n">
        <v>9</v>
      </c>
      <c r="B10" s="49" t="inlineStr">
        <is>
          <t>Namrata Maru Gala</t>
        </is>
      </c>
      <c r="C10" s="50" t="inlineStr">
        <is>
          <t>https://www.facebook.com/galanamrata/posts/pfbid0z675PKxEqoAeQ8RUh3NmuVmLbhMLdHpdhcCa5Xwsz8wKaA6DENh6jHGu3ySs7ovRl</t>
        </is>
      </c>
    </row>
    <row r="11" ht="14" customHeight="1">
      <c r="A11" s="34" t="n">
        <v>10</v>
      </c>
      <c r="B11" s="49" t="inlineStr">
        <is>
          <t>Vinodha Anand</t>
        </is>
      </c>
      <c r="C11" s="50" t="inlineStr">
        <is>
          <t>https://www.facebook.com/vinodha.anand/posts/pfbid0cp975PCjC5pioT34wbhwPcaXeTBqGF8jw8mUr961pYQJVsynworRBbaysW9XCSLKl</t>
        </is>
      </c>
    </row>
    <row r="12" ht="14" customHeight="1">
      <c r="A12" s="34" t="n">
        <v>11</v>
      </c>
      <c r="B12" s="49" t="inlineStr">
        <is>
          <t>Sajaniashokan Polloorkandy</t>
        </is>
      </c>
      <c r="C12" s="50" t="inlineStr">
        <is>
          <t>https://www.facebook.com/sajaniashokan.polloorkandy/posts/pfbid02hVkC5RyATVdcoUtutE1BjKaWDb2P66gmETmm5jJycwncNJ78unPeXKCtnPs8Ez5El</t>
        </is>
      </c>
    </row>
    <row r="13" ht="14" customHeight="1">
      <c r="A13" s="34" t="n">
        <v>12</v>
      </c>
      <c r="B13" s="49" t="inlineStr">
        <is>
          <t>Ajay A</t>
        </is>
      </c>
      <c r="C13" s="50" t="inlineStr">
        <is>
          <t>https://www.facebook.com/ajaya.cheruvakodan/posts/pfbid02Gtv2JLiZU5tXLZYtnNe33CkSyYHYffJGXER3gKVNu7WHibhKiM8pd8sx1tyqEXkbl</t>
        </is>
      </c>
    </row>
    <row r="14" ht="14" customHeight="1">
      <c r="A14" s="34" t="n">
        <v>13</v>
      </c>
      <c r="B14" s="49" t="inlineStr">
        <is>
          <t>Sudhamathi Arunmolian</t>
        </is>
      </c>
      <c r="C14" s="50" t="inlineStr">
        <is>
          <t>https://www.facebook.com/sudha.arun.9210/posts/pfbid0Wnn3V3ohLgryfZQM8pC45CMAv7iDHF95HWH1YP2cDwk2GKk3wT4d6UbijcGxRbK6l</t>
        </is>
      </c>
    </row>
    <row r="15" ht="14" customHeight="1">
      <c r="A15" s="34" t="n">
        <v>14</v>
      </c>
      <c r="B15" s="49" t="inlineStr">
        <is>
          <t>Derick Pinto</t>
        </is>
      </c>
      <c r="C15" s="50" t="inlineStr">
        <is>
          <t>https://www.facebook.com/derickpinto23/posts/pfbid02tjqbNKrMus5qHNm5zRC4nXhwNbXhz1dXKXXxUzm17XmFmnuxsHsxxAM1GgvAWpuUl</t>
        </is>
      </c>
    </row>
    <row r="16" ht="14" customHeight="1">
      <c r="A16" s="34" t="n">
        <v>15</v>
      </c>
      <c r="B16" s="49" t="inlineStr">
        <is>
          <t>Sumeli Biswas</t>
        </is>
      </c>
      <c r="C16" s="50" t="inlineStr">
        <is>
          <t>https://www.facebook.com/sumeli.biswas/posts/pfbid02tJcPwWWRTVTTJde99SQwQKsgW7Zzh6GfTBYZt1XuGMFSkDGZVXJnw9ktYjtj8wj2l</t>
        </is>
      </c>
    </row>
  </sheetData>
  <hyperlinks>
    <hyperlink xmlns:r="http://schemas.openxmlformats.org/officeDocument/2006/relationships" ref="B2" r:id="rId1"/>
    <hyperlink xmlns:r="http://schemas.openxmlformats.org/officeDocument/2006/relationships" ref="C2" r:id="rId2"/>
    <hyperlink xmlns:r="http://schemas.openxmlformats.org/officeDocument/2006/relationships" ref="B3" r:id="rId3"/>
    <hyperlink xmlns:r="http://schemas.openxmlformats.org/officeDocument/2006/relationships" ref="C3" r:id="rId4"/>
    <hyperlink xmlns:r="http://schemas.openxmlformats.org/officeDocument/2006/relationships" ref="B4" r:id="rId5"/>
    <hyperlink xmlns:r="http://schemas.openxmlformats.org/officeDocument/2006/relationships" ref="C4" r:id="rId6"/>
    <hyperlink xmlns:r="http://schemas.openxmlformats.org/officeDocument/2006/relationships" ref="B5" r:id="rId7"/>
    <hyperlink xmlns:r="http://schemas.openxmlformats.org/officeDocument/2006/relationships" ref="C5" r:id="rId8"/>
    <hyperlink xmlns:r="http://schemas.openxmlformats.org/officeDocument/2006/relationships" ref="B6" r:id="rId9"/>
    <hyperlink xmlns:r="http://schemas.openxmlformats.org/officeDocument/2006/relationships" ref="C6" r:id="rId10"/>
    <hyperlink xmlns:r="http://schemas.openxmlformats.org/officeDocument/2006/relationships" ref="B7" r:id="rId11"/>
    <hyperlink xmlns:r="http://schemas.openxmlformats.org/officeDocument/2006/relationships" ref="C7" r:id="rId12"/>
    <hyperlink xmlns:r="http://schemas.openxmlformats.org/officeDocument/2006/relationships" ref="B8" r:id="rId13"/>
    <hyperlink xmlns:r="http://schemas.openxmlformats.org/officeDocument/2006/relationships" ref="C8" r:id="rId14"/>
    <hyperlink xmlns:r="http://schemas.openxmlformats.org/officeDocument/2006/relationships" ref="B9" r:id="rId15"/>
    <hyperlink xmlns:r="http://schemas.openxmlformats.org/officeDocument/2006/relationships" ref="C9" r:id="rId16"/>
    <hyperlink xmlns:r="http://schemas.openxmlformats.org/officeDocument/2006/relationships" ref="B10" r:id="rId17"/>
    <hyperlink xmlns:r="http://schemas.openxmlformats.org/officeDocument/2006/relationships" ref="C10" r:id="rId18"/>
    <hyperlink xmlns:r="http://schemas.openxmlformats.org/officeDocument/2006/relationships" ref="B11" r:id="rId19"/>
    <hyperlink xmlns:r="http://schemas.openxmlformats.org/officeDocument/2006/relationships" ref="C11" r:id="rId20"/>
    <hyperlink xmlns:r="http://schemas.openxmlformats.org/officeDocument/2006/relationships" ref="B12" r:id="rId21"/>
    <hyperlink xmlns:r="http://schemas.openxmlformats.org/officeDocument/2006/relationships" ref="C12" r:id="rId22"/>
    <hyperlink xmlns:r="http://schemas.openxmlformats.org/officeDocument/2006/relationships" ref="B13" r:id="rId23"/>
    <hyperlink xmlns:r="http://schemas.openxmlformats.org/officeDocument/2006/relationships" ref="C13" r:id="rId24"/>
    <hyperlink xmlns:r="http://schemas.openxmlformats.org/officeDocument/2006/relationships" ref="B14" r:id="rId25"/>
    <hyperlink xmlns:r="http://schemas.openxmlformats.org/officeDocument/2006/relationships" ref="C14" r:id="rId26"/>
    <hyperlink xmlns:r="http://schemas.openxmlformats.org/officeDocument/2006/relationships" ref="B15" r:id="rId27"/>
    <hyperlink xmlns:r="http://schemas.openxmlformats.org/officeDocument/2006/relationships" ref="C15" r:id="rId28"/>
    <hyperlink xmlns:r="http://schemas.openxmlformats.org/officeDocument/2006/relationships" ref="B16" r:id="rId29"/>
    <hyperlink xmlns:r="http://schemas.openxmlformats.org/officeDocument/2006/relationships" ref="C16" r:id="rId30"/>
  </hyperlinks>
  <pageMargins left="0.7" right="0.7" top="0.75" bottom="0.75" header="0.3" footer="0.3"/>
</worksheet>
</file>

<file path=xl/worksheets/sheet8.xml><?xml version="1.0" encoding="utf-8"?>
<worksheet xmlns="http://schemas.openxmlformats.org/spreadsheetml/2006/main">
  <sheetPr>
    <outlinePr summaryBelow="0" summaryRight="0"/>
    <pageSetUpPr/>
  </sheetPr>
  <dimension ref="A1:J1001"/>
  <sheetViews>
    <sheetView workbookViewId="0">
      <selection activeCell="A1" sqref="A1"/>
    </sheetView>
  </sheetViews>
  <sheetFormatPr baseColWidth="8" defaultColWidth="12.6328125" defaultRowHeight="15.75" customHeight="1"/>
  <cols>
    <col width="21.26953125" customWidth="1" min="2" max="2"/>
    <col width="6.6328125" customWidth="1" min="7" max="7"/>
    <col width="7" customWidth="1" min="9" max="9"/>
  </cols>
  <sheetData>
    <row r="1" ht="15.75" customHeight="1">
      <c r="A1" s="51" t="inlineStr">
        <is>
          <t>id</t>
        </is>
      </c>
      <c r="B1" s="27" t="inlineStr">
        <is>
          <t>title</t>
        </is>
      </c>
      <c r="C1" s="27" t="inlineStr">
        <is>
          <t>Common Name</t>
        </is>
      </c>
      <c r="D1" s="52" t="inlineStr">
        <is>
          <t>category</t>
        </is>
      </c>
      <c r="G1" s="53" t="inlineStr">
        <is>
          <t>Hanging</t>
        </is>
      </c>
      <c r="I1" s="54" t="inlineStr">
        <is>
          <t>mother</t>
        </is>
      </c>
      <c r="J1" s="55" t="inlineStr">
        <is>
          <t>Indoor</t>
        </is>
      </c>
    </row>
    <row r="2" ht="15.75" customHeight="1">
      <c r="A2" s="53" t="n">
        <v>1</v>
      </c>
      <c r="B2" s="28" t="inlineStr">
        <is>
          <t>Sempervivum Tectorum</t>
        </is>
      </c>
      <c r="C2" s="28" t="inlineStr">
        <is>
          <t>Red tip</t>
        </is>
      </c>
      <c r="D2" s="29" t="inlineStr">
        <is>
          <t>Succulent</t>
        </is>
      </c>
      <c r="G2" s="53" t="n">
        <v>0</v>
      </c>
      <c r="I2" s="53" t="n">
        <v>0</v>
      </c>
      <c r="J2" s="56" t="n">
        <v>0</v>
      </c>
    </row>
    <row r="3" ht="15.75" customHeight="1">
      <c r="A3" s="53" t="n">
        <v>2</v>
      </c>
      <c r="B3" s="28" t="inlineStr">
        <is>
          <t>Bergeranthus</t>
        </is>
      </c>
      <c r="C3" s="28" t="inlineStr">
        <is>
          <t>Yellow Flower</t>
        </is>
      </c>
      <c r="D3" s="29" t="inlineStr">
        <is>
          <t>Succulent</t>
        </is>
      </c>
      <c r="G3" s="53" t="n">
        <v>0</v>
      </c>
      <c r="I3" s="53" t="n">
        <v>0</v>
      </c>
      <c r="J3" s="56" t="n">
        <v>0</v>
      </c>
    </row>
    <row r="4" ht="15.75" customHeight="1">
      <c r="A4" s="53" t="n">
        <v>3</v>
      </c>
      <c r="B4" s="28" t="inlineStr">
        <is>
          <t>Sedum Lineare(yellow)</t>
        </is>
      </c>
      <c r="C4" s="28" t="inlineStr">
        <is>
          <t>Yellow Sedum</t>
        </is>
      </c>
      <c r="D4" s="30" t="inlineStr">
        <is>
          <t>Sedum</t>
        </is>
      </c>
      <c r="G4" s="53" t="n">
        <v>1</v>
      </c>
      <c r="I4" s="53" t="n">
        <v>0</v>
      </c>
      <c r="J4" s="38" t="n">
        <v>0</v>
      </c>
    </row>
    <row r="5" ht="15.75" customHeight="1">
      <c r="A5" s="53" t="n">
        <v>4</v>
      </c>
      <c r="B5" s="28" t="inlineStr">
        <is>
          <t>Haworthia cymbiformis</t>
        </is>
      </c>
      <c r="C5" s="28" t="inlineStr">
        <is>
          <t>Stone</t>
        </is>
      </c>
      <c r="D5" s="30" t="inlineStr">
        <is>
          <t>Haworthia</t>
        </is>
      </c>
      <c r="G5" s="53" t="n">
        <v>0</v>
      </c>
      <c r="I5" s="53" t="n">
        <v>0</v>
      </c>
      <c r="J5" s="56" t="n">
        <v>1</v>
      </c>
    </row>
    <row r="6" ht="15.75" customHeight="1">
      <c r="A6" s="53" t="n">
        <v>5</v>
      </c>
      <c r="B6" s="28" t="inlineStr">
        <is>
          <t>Chamaecerus Silvestii</t>
        </is>
      </c>
      <c r="C6" s="28" t="inlineStr">
        <is>
          <t>Peanut Cactus</t>
        </is>
      </c>
      <c r="D6" s="30" t="inlineStr">
        <is>
          <t>Cactus</t>
        </is>
      </c>
      <c r="G6" s="53" t="n">
        <v>0</v>
      </c>
      <c r="I6" s="53" t="n">
        <v>0</v>
      </c>
      <c r="J6" s="56" t="n">
        <v>0</v>
      </c>
    </row>
    <row r="7" ht="15.75" customHeight="1">
      <c r="A7" s="53" t="n">
        <v>6</v>
      </c>
      <c r="B7" s="28" t="inlineStr">
        <is>
          <t>Sempervivum (Lakshmi Kamal)</t>
        </is>
      </c>
      <c r="C7" s="28" t="inlineStr">
        <is>
          <t>Lakshmi Kamal</t>
        </is>
      </c>
      <c r="D7" s="29" t="inlineStr">
        <is>
          <t>Succulent</t>
        </is>
      </c>
      <c r="G7" s="53" t="n">
        <v>0</v>
      </c>
      <c r="I7" s="53" t="n">
        <v>0</v>
      </c>
      <c r="J7" s="38" t="n">
        <v>0</v>
      </c>
    </row>
    <row r="8" ht="15.75" customHeight="1">
      <c r="A8" s="53" t="n">
        <v>7</v>
      </c>
      <c r="B8" s="28" t="inlineStr">
        <is>
          <t>Echeveria peacockii</t>
        </is>
      </c>
      <c r="C8" s="28" t="inlineStr">
        <is>
          <t>White Lotus</t>
        </is>
      </c>
      <c r="D8" s="30" t="inlineStr">
        <is>
          <t>Echeveria</t>
        </is>
      </c>
      <c r="G8" s="53" t="n">
        <v>0</v>
      </c>
      <c r="I8" s="53" t="n">
        <v>0</v>
      </c>
      <c r="J8" s="56" t="n">
        <v>0</v>
      </c>
    </row>
    <row r="9" ht="15.75" customHeight="1">
      <c r="A9" s="53" t="n">
        <v>8</v>
      </c>
      <c r="B9" s="28" t="inlineStr">
        <is>
          <t>Crassula Portulacea(miniature)</t>
        </is>
      </c>
      <c r="C9" s="28" t="inlineStr">
        <is>
          <t>Jade miniature</t>
        </is>
      </c>
      <c r="D9" s="30" t="inlineStr">
        <is>
          <t>Jade</t>
        </is>
      </c>
      <c r="G9" s="53" t="n">
        <v>0</v>
      </c>
      <c r="I9" s="53" t="n">
        <v>0</v>
      </c>
      <c r="J9" s="56" t="n">
        <v>1</v>
      </c>
    </row>
    <row r="10" ht="15.75" customHeight="1">
      <c r="A10" s="53" t="n">
        <v>9</v>
      </c>
      <c r="B10" s="28" t="inlineStr">
        <is>
          <t>Senecio Radicans</t>
        </is>
      </c>
      <c r="C10" s="28" t="inlineStr">
        <is>
          <t>string of necklace</t>
        </is>
      </c>
      <c r="D10" s="30" t="inlineStr">
        <is>
          <t>Succulent</t>
        </is>
      </c>
      <c r="G10" s="53" t="n">
        <v>0</v>
      </c>
      <c r="I10" s="53" t="n">
        <v>0</v>
      </c>
      <c r="J10" s="38" t="n">
        <v>0</v>
      </c>
    </row>
    <row r="11" ht="15.75" customHeight="1">
      <c r="A11" s="53" t="n">
        <v>10</v>
      </c>
      <c r="B11" s="28" t="inlineStr">
        <is>
          <t>Zebrina Huernia</t>
        </is>
      </c>
      <c r="C11" s="28" t="inlineStr">
        <is>
          <t>Chocolate</t>
        </is>
      </c>
      <c r="D11" s="29" t="inlineStr">
        <is>
          <t>Succulent</t>
        </is>
      </c>
      <c r="G11" s="53" t="n">
        <v>0</v>
      </c>
      <c r="I11" s="53" t="n">
        <v>0</v>
      </c>
      <c r="J11" s="56" t="n">
        <v>0</v>
      </c>
    </row>
    <row r="12" ht="15.75" customHeight="1">
      <c r="A12" s="53" t="n">
        <v>11</v>
      </c>
      <c r="B12" s="28" t="inlineStr">
        <is>
          <t>Hoodia</t>
        </is>
      </c>
      <c r="C12" s="28" t="inlineStr">
        <is>
          <t>Jack fruit</t>
        </is>
      </c>
      <c r="D12" s="29" t="inlineStr">
        <is>
          <t>Succulent</t>
        </is>
      </c>
      <c r="G12" s="53" t="n">
        <v>0</v>
      </c>
      <c r="I12" s="53" t="n">
        <v>0</v>
      </c>
      <c r="J12" s="56" t="n">
        <v>0</v>
      </c>
    </row>
    <row r="13" ht="15.75" customHeight="1">
      <c r="A13" s="53" t="n">
        <v>12</v>
      </c>
      <c r="B13" s="28" t="inlineStr">
        <is>
          <t>Callisia</t>
        </is>
      </c>
      <c r="C13" s="28" t="inlineStr">
        <is>
          <t>Lavender</t>
        </is>
      </c>
      <c r="D13" s="30" t="inlineStr">
        <is>
          <t>Sedum</t>
        </is>
      </c>
      <c r="G13" s="53" t="n">
        <v>1</v>
      </c>
      <c r="I13" s="53" t="n">
        <v>0</v>
      </c>
      <c r="J13" s="38" t="n">
        <v>0</v>
      </c>
    </row>
    <row r="14" ht="15.75" customHeight="1">
      <c r="A14" s="53" t="n">
        <v>13</v>
      </c>
      <c r="B14" s="28" t="inlineStr">
        <is>
          <t>Crassula ovatha</t>
        </is>
      </c>
      <c r="C14" s="28" t="inlineStr">
        <is>
          <t>Finger Jade</t>
        </is>
      </c>
      <c r="D14" s="30" t="inlineStr">
        <is>
          <t>Jade</t>
        </is>
      </c>
      <c r="G14" s="53" t="n">
        <v>0</v>
      </c>
      <c r="I14" s="53" t="n">
        <v>0</v>
      </c>
      <c r="J14" s="56" t="n">
        <v>1</v>
      </c>
    </row>
    <row r="15" ht="15.75" customHeight="1">
      <c r="A15" s="53" t="n">
        <v>14</v>
      </c>
      <c r="B15" s="28" t="inlineStr">
        <is>
          <t>Echeveria Setosa</t>
        </is>
      </c>
      <c r="C15" s="28" t="inlineStr">
        <is>
          <t>Diamond</t>
        </is>
      </c>
      <c r="D15" s="30" t="inlineStr">
        <is>
          <t>Echeveria</t>
        </is>
      </c>
      <c r="G15" s="53" t="n">
        <v>0</v>
      </c>
      <c r="I15" s="53" t="n">
        <v>0</v>
      </c>
      <c r="J15" s="56" t="n">
        <v>0</v>
      </c>
    </row>
    <row r="16" ht="15.75" customHeight="1">
      <c r="A16" s="53" t="n">
        <v>15</v>
      </c>
      <c r="B16" s="28" t="inlineStr">
        <is>
          <t>Echeveria</t>
        </is>
      </c>
      <c r="C16" s="28" t="inlineStr">
        <is>
          <t>Echeveria</t>
        </is>
      </c>
      <c r="D16" s="30" t="inlineStr">
        <is>
          <t>Echeveria</t>
        </is>
      </c>
      <c r="E16" s="34" t="n">
        <v>18</v>
      </c>
      <c r="F16" s="57" t="inlineStr">
        <is>
          <t>indoor=1</t>
        </is>
      </c>
      <c r="G16" s="53" t="n">
        <v>0</v>
      </c>
      <c r="I16" s="53" t="n">
        <v>0</v>
      </c>
      <c r="J16" s="38" t="n">
        <v>0</v>
      </c>
    </row>
    <row r="17" ht="15.75" customHeight="1">
      <c r="A17" s="53" t="n">
        <v>16</v>
      </c>
      <c r="B17" s="28" t="inlineStr">
        <is>
          <t>Sedum Morganianum</t>
        </is>
      </c>
      <c r="C17" s="28" t="inlineStr">
        <is>
          <t>Monkey Tail</t>
        </is>
      </c>
      <c r="D17" s="30" t="inlineStr">
        <is>
          <t>Succulent</t>
        </is>
      </c>
      <c r="E17" s="34" t="n">
        <v>19</v>
      </c>
      <c r="F17" s="57" t="inlineStr">
        <is>
          <t>hanging=1</t>
        </is>
      </c>
      <c r="G17" s="53" t="n">
        <v>1</v>
      </c>
      <c r="I17" s="53" t="n">
        <v>0</v>
      </c>
      <c r="J17" s="56" t="n">
        <v>0</v>
      </c>
    </row>
    <row r="18" ht="15.75" customHeight="1">
      <c r="A18" s="53" t="n">
        <v>17</v>
      </c>
      <c r="B18" s="28" t="inlineStr">
        <is>
          <t>Haworthiopsis Reinwardtii</t>
        </is>
      </c>
      <c r="C18" s="28" t="inlineStr">
        <is>
          <t>Height Haworthia</t>
        </is>
      </c>
      <c r="D18" s="30" t="inlineStr">
        <is>
          <t>Haworthia</t>
        </is>
      </c>
      <c r="E18" s="34" t="n">
        <v>20</v>
      </c>
      <c r="F18" s="58" t="inlineStr">
        <is>
          <t>offer</t>
        </is>
      </c>
      <c r="G18" s="53" t="n">
        <v>0</v>
      </c>
      <c r="I18" s="53" t="n">
        <v>0</v>
      </c>
      <c r="J18" s="56" t="n">
        <v>1</v>
      </c>
    </row>
    <row r="19" ht="15.75" customHeight="1">
      <c r="A19" s="53" t="n">
        <v>18</v>
      </c>
      <c r="B19" s="28" t="inlineStr">
        <is>
          <t>Sinocrassula yunnanensis</t>
        </is>
      </c>
      <c r="C19" s="28" t="inlineStr">
        <is>
          <t>Chinese Jade</t>
        </is>
      </c>
      <c r="D19" s="29" t="inlineStr">
        <is>
          <t>Crassula</t>
        </is>
      </c>
      <c r="E19" s="34" t="n">
        <v>21</v>
      </c>
      <c r="F19" s="57" t="inlineStr">
        <is>
          <t>mother=1</t>
        </is>
      </c>
      <c r="G19" s="53" t="n">
        <v>0</v>
      </c>
      <c r="I19" s="53" t="n">
        <v>0</v>
      </c>
      <c r="J19" s="38" t="n">
        <v>0</v>
      </c>
    </row>
    <row r="20" ht="15.75" customHeight="1">
      <c r="A20" s="53" t="n">
        <v>19</v>
      </c>
      <c r="B20" s="28" t="inlineStr">
        <is>
          <t>Malephoracrocea</t>
        </is>
      </c>
      <c r="C20" s="28" t="inlineStr">
        <is>
          <t>Oval</t>
        </is>
      </c>
      <c r="D20" s="29" t="inlineStr">
        <is>
          <t>Succulent</t>
        </is>
      </c>
      <c r="E20" s="34" t="n">
        <v>22</v>
      </c>
      <c r="F20" s="59" t="inlineStr">
        <is>
          <t>combo=1</t>
        </is>
      </c>
      <c r="G20" s="53" t="n">
        <v>0</v>
      </c>
      <c r="I20" s="53" t="n">
        <v>0</v>
      </c>
      <c r="J20" s="56" t="n">
        <v>0</v>
      </c>
    </row>
    <row r="21" ht="15.75" customHeight="1">
      <c r="A21" s="53" t="n">
        <v>20</v>
      </c>
      <c r="B21" s="28" t="inlineStr">
        <is>
          <t>Opuntia Red</t>
        </is>
      </c>
      <c r="C21" s="28" t="inlineStr">
        <is>
          <t>Opuntia Red</t>
        </is>
      </c>
      <c r="D21" s="30" t="inlineStr">
        <is>
          <t>Cactus</t>
        </is>
      </c>
      <c r="E21" s="34" t="n">
        <v>23</v>
      </c>
      <c r="F21" s="59" t="inlineStr">
        <is>
          <t>restock</t>
        </is>
      </c>
      <c r="G21" s="53" t="n">
        <v>0</v>
      </c>
      <c r="I21" s="53" t="n">
        <v>0</v>
      </c>
      <c r="J21" s="56" t="n">
        <v>0</v>
      </c>
    </row>
    <row r="22" ht="15.75" customHeight="1">
      <c r="A22" s="53" t="n">
        <v>21</v>
      </c>
      <c r="B22" s="28" t="inlineStr">
        <is>
          <t>Opuntia yellow</t>
        </is>
      </c>
      <c r="C22" s="28" t="inlineStr">
        <is>
          <t>Opuntia yellow</t>
        </is>
      </c>
      <c r="D22" s="30" t="inlineStr">
        <is>
          <t>Cactus</t>
        </is>
      </c>
      <c r="G22" s="53" t="n">
        <v>0</v>
      </c>
      <c r="I22" s="53" t="n">
        <v>0</v>
      </c>
      <c r="J22" s="38" t="n">
        <v>0</v>
      </c>
    </row>
    <row r="23" ht="15.75" customHeight="1">
      <c r="A23" s="53" t="n">
        <v>22</v>
      </c>
      <c r="B23" s="28" t="inlineStr">
        <is>
          <t>Graptopetalum Amethystinum</t>
        </is>
      </c>
      <c r="C23" s="28" t="inlineStr">
        <is>
          <t>Moonstone</t>
        </is>
      </c>
      <c r="D23" s="29" t="inlineStr">
        <is>
          <t>Succulent</t>
        </is>
      </c>
      <c r="G23" s="53" t="n">
        <v>0</v>
      </c>
      <c r="I23" s="53" t="n">
        <v>0</v>
      </c>
      <c r="J23" s="56" t="n">
        <v>0</v>
      </c>
    </row>
    <row r="24" ht="15.75" customHeight="1">
      <c r="A24" s="53" t="n">
        <v>23</v>
      </c>
      <c r="B24" s="28" t="inlineStr">
        <is>
          <t>Echeveria Setosa</t>
        </is>
      </c>
      <c r="C24" s="28" t="inlineStr">
        <is>
          <t>Velvet</t>
        </is>
      </c>
      <c r="D24" s="30" t="inlineStr">
        <is>
          <t>Echeveria</t>
        </is>
      </c>
      <c r="G24" s="53" t="n">
        <v>0</v>
      </c>
      <c r="I24" s="53" t="n">
        <v>0</v>
      </c>
      <c r="J24" s="56" t="n">
        <v>0</v>
      </c>
    </row>
    <row r="25" ht="15.75" customHeight="1">
      <c r="A25" s="53" t="n">
        <v>24</v>
      </c>
      <c r="B25" s="28" t="inlineStr">
        <is>
          <t>Opuntia Monacantha</t>
        </is>
      </c>
      <c r="C25" s="28" t="inlineStr">
        <is>
          <t>Tree Cactus</t>
        </is>
      </c>
      <c r="D25" s="30" t="inlineStr">
        <is>
          <t>Cactus</t>
        </is>
      </c>
      <c r="G25" s="53" t="n">
        <v>0</v>
      </c>
      <c r="I25" s="53" t="n">
        <v>0</v>
      </c>
      <c r="J25" s="38" t="n">
        <v>0</v>
      </c>
    </row>
    <row r="26" ht="15.75" customHeight="1">
      <c r="A26" s="53" t="n">
        <v>25</v>
      </c>
      <c r="B26" s="28" t="inlineStr">
        <is>
          <t>Kalanchoe Tomentosa (Chocolate Soldier)</t>
        </is>
      </c>
      <c r="C26" s="28" t="inlineStr">
        <is>
          <t>Rabbit ears</t>
        </is>
      </c>
      <c r="D26" s="30" t="inlineStr">
        <is>
          <t>Echeveria</t>
        </is>
      </c>
      <c r="G26" s="53" t="n">
        <v>0</v>
      </c>
      <c r="I26" s="53" t="n">
        <v>0</v>
      </c>
      <c r="J26" s="56" t="n">
        <v>0</v>
      </c>
    </row>
    <row r="27" ht="15.75" customHeight="1">
      <c r="A27" s="53" t="n">
        <v>26</v>
      </c>
      <c r="B27" s="28" t="inlineStr">
        <is>
          <t>Echeveria Gilwa</t>
        </is>
      </c>
      <c r="C27" s="28" t="inlineStr">
        <is>
          <t>Black Prince</t>
        </is>
      </c>
      <c r="D27" s="30" t="inlineStr">
        <is>
          <t>Echeveria</t>
        </is>
      </c>
      <c r="G27" s="53" t="n">
        <v>0</v>
      </c>
      <c r="I27" s="53" t="n">
        <v>0</v>
      </c>
      <c r="J27" s="56" t="n">
        <v>0</v>
      </c>
    </row>
    <row r="28" ht="15.75" customHeight="1">
      <c r="A28" s="53" t="n">
        <v>27</v>
      </c>
      <c r="B28" s="28" t="inlineStr">
        <is>
          <t>Echeveria Akmalia</t>
        </is>
      </c>
      <c r="C28" s="28" t="inlineStr">
        <is>
          <t>Bramha Prabhu</t>
        </is>
      </c>
      <c r="D28" s="30" t="inlineStr">
        <is>
          <t>Echeveria</t>
        </is>
      </c>
      <c r="G28" s="53" t="n">
        <v>0</v>
      </c>
      <c r="I28" s="53" t="n">
        <v>0</v>
      </c>
      <c r="J28" s="38" t="n">
        <v>0</v>
      </c>
    </row>
    <row r="29" ht="15.75" customHeight="1">
      <c r="A29" s="53" t="n">
        <v>28</v>
      </c>
      <c r="B29" s="28" t="inlineStr">
        <is>
          <t>Echeveria elegans</t>
        </is>
      </c>
      <c r="C29" s="28" t="inlineStr">
        <is>
          <t>Blue Echeviria</t>
        </is>
      </c>
      <c r="D29" s="30" t="inlineStr">
        <is>
          <t>Echeveria</t>
        </is>
      </c>
      <c r="G29" s="53" t="n">
        <v>0</v>
      </c>
      <c r="I29" s="53" t="n">
        <v>0</v>
      </c>
      <c r="J29" s="56" t="n">
        <v>0</v>
      </c>
    </row>
    <row r="30" ht="15.75" customHeight="1">
      <c r="A30" s="53" t="n">
        <v>29</v>
      </c>
      <c r="B30" s="28" t="inlineStr">
        <is>
          <t>Aloe juvenna</t>
        </is>
      </c>
      <c r="C30" s="28" t="inlineStr">
        <is>
          <t>Tiger Tooth Aloe</t>
        </is>
      </c>
      <c r="D30" s="30" t="inlineStr">
        <is>
          <t>Aloe</t>
        </is>
      </c>
      <c r="G30" s="53" t="n">
        <v>0</v>
      </c>
      <c r="I30" s="53" t="n">
        <v>0</v>
      </c>
      <c r="J30" s="56" t="n">
        <v>1</v>
      </c>
    </row>
    <row r="31" ht="15.75" customHeight="1">
      <c r="A31" s="53" t="n">
        <v>30</v>
      </c>
      <c r="B31" s="28" t="inlineStr">
        <is>
          <t>Blue stick long</t>
        </is>
      </c>
      <c r="C31" s="28" t="inlineStr">
        <is>
          <t>Blue stick long</t>
        </is>
      </c>
      <c r="D31" s="29" t="inlineStr">
        <is>
          <t>Succulent</t>
        </is>
      </c>
      <c r="G31" s="53" t="n">
        <v>0</v>
      </c>
      <c r="I31" s="53" t="n">
        <v>0</v>
      </c>
      <c r="J31" s="38" t="n">
        <v>0</v>
      </c>
    </row>
    <row r="32" ht="15.75" customHeight="1">
      <c r="A32" s="53" t="n">
        <v>31</v>
      </c>
      <c r="B32" s="28" t="inlineStr">
        <is>
          <t>Mammillaria vetula</t>
        </is>
      </c>
      <c r="C32" s="28" t="inlineStr">
        <is>
          <t>thimble Cactus</t>
        </is>
      </c>
      <c r="D32" s="29" t="inlineStr">
        <is>
          <t>Cactus</t>
        </is>
      </c>
      <c r="G32" s="53" t="n">
        <v>0</v>
      </c>
      <c r="I32" s="53" t="n">
        <v>0</v>
      </c>
      <c r="J32" s="56" t="n">
        <v>0</v>
      </c>
    </row>
    <row r="33" ht="15.75" customHeight="1">
      <c r="A33" s="53" t="n">
        <v>32</v>
      </c>
      <c r="B33" s="28" t="inlineStr">
        <is>
          <t>Aloe Breuifolia</t>
        </is>
      </c>
      <c r="C33" s="28" t="inlineStr">
        <is>
          <t>White Aloe</t>
        </is>
      </c>
      <c r="D33" s="29" t="inlineStr">
        <is>
          <t>Aloe</t>
        </is>
      </c>
      <c r="G33" s="53" t="n">
        <v>0</v>
      </c>
      <c r="I33" s="53" t="n">
        <v>0</v>
      </c>
      <c r="J33" s="56" t="n">
        <v>1</v>
      </c>
    </row>
    <row r="34" ht="15.75" customHeight="1">
      <c r="A34" s="53" t="n">
        <v>33</v>
      </c>
      <c r="B34" s="28" t="inlineStr">
        <is>
          <t>Aloe humilis</t>
        </is>
      </c>
      <c r="C34" s="28" t="inlineStr">
        <is>
          <t>Grey Aloe</t>
        </is>
      </c>
      <c r="D34" s="29" t="inlineStr">
        <is>
          <t>Aloe</t>
        </is>
      </c>
      <c r="G34" s="53" t="n">
        <v>0</v>
      </c>
      <c r="I34" s="53" t="n">
        <v>0</v>
      </c>
      <c r="J34" s="38" t="n">
        <v>1</v>
      </c>
    </row>
    <row r="35" ht="15.75" customHeight="1">
      <c r="A35" s="53" t="n">
        <v>34</v>
      </c>
      <c r="B35" s="28" t="inlineStr">
        <is>
          <t>Faucaria Tigrina</t>
        </is>
      </c>
      <c r="C35" s="28" t="inlineStr">
        <is>
          <t>Chrocodile Teeth</t>
        </is>
      </c>
      <c r="D35" s="29" t="inlineStr">
        <is>
          <t>Succulent</t>
        </is>
      </c>
      <c r="G35" s="53" t="n">
        <v>0</v>
      </c>
      <c r="I35" s="53" t="n">
        <v>0</v>
      </c>
      <c r="J35" s="56" t="n">
        <v>0</v>
      </c>
    </row>
    <row r="36" ht="15.75" customHeight="1">
      <c r="A36" s="53" t="n">
        <v>35</v>
      </c>
      <c r="B36" s="28" t="inlineStr">
        <is>
          <t>Haworthia Resendeana</t>
        </is>
      </c>
      <c r="C36" s="28" t="inlineStr">
        <is>
          <t>Normal Haworthia</t>
        </is>
      </c>
      <c r="D36" s="29" t="inlineStr">
        <is>
          <t>Haworthia</t>
        </is>
      </c>
      <c r="G36" s="53" t="n">
        <v>0</v>
      </c>
      <c r="I36" s="53" t="n">
        <v>0</v>
      </c>
      <c r="J36" s="56" t="n">
        <v>1</v>
      </c>
    </row>
    <row r="37" ht="14.5" customHeight="1">
      <c r="A37" s="53" t="n">
        <v>36</v>
      </c>
      <c r="B37" s="28" t="inlineStr">
        <is>
          <t>Sedum Dasyphyllum</t>
        </is>
      </c>
      <c r="C37" s="28" t="inlineStr">
        <is>
          <t>Face Sedum</t>
        </is>
      </c>
      <c r="D37" s="29" t="inlineStr">
        <is>
          <t>Sedum</t>
        </is>
      </c>
      <c r="G37" s="53" t="n">
        <v>1</v>
      </c>
      <c r="I37" s="53" t="n">
        <v>0</v>
      </c>
      <c r="J37" s="38" t="n">
        <v>0</v>
      </c>
    </row>
    <row r="38" ht="14.5" customHeight="1">
      <c r="A38" s="53" t="n">
        <v>37</v>
      </c>
      <c r="B38" s="28" t="inlineStr">
        <is>
          <t>Crassula tetragona</t>
        </is>
      </c>
      <c r="C38" s="28" t="inlineStr">
        <is>
          <t>Cone Tree</t>
        </is>
      </c>
      <c r="D38" s="29" t="inlineStr">
        <is>
          <t>Crassula</t>
        </is>
      </c>
      <c r="G38" s="53" t="n">
        <v>0</v>
      </c>
      <c r="I38" s="53" t="n">
        <v>0</v>
      </c>
      <c r="J38" s="56" t="n">
        <v>0</v>
      </c>
    </row>
    <row r="39" ht="14.5" customHeight="1">
      <c r="A39" s="53" t="n">
        <v>38</v>
      </c>
      <c r="B39" s="28" t="inlineStr">
        <is>
          <t>Sedum Lineare(green)</t>
        </is>
      </c>
      <c r="C39" s="28" t="inlineStr">
        <is>
          <t>Green Sedum</t>
        </is>
      </c>
      <c r="D39" s="29" t="inlineStr">
        <is>
          <t>Sedum</t>
        </is>
      </c>
      <c r="G39" s="53" t="n">
        <v>1</v>
      </c>
      <c r="I39" s="53" t="n">
        <v>0</v>
      </c>
      <c r="J39" s="56" t="n">
        <v>0</v>
      </c>
    </row>
    <row r="40" ht="14.5" customHeight="1">
      <c r="A40" s="53" t="n">
        <v>39</v>
      </c>
      <c r="B40" s="28" t="inlineStr">
        <is>
          <t>Radiator Plant</t>
        </is>
      </c>
      <c r="C40" s="28" t="inlineStr">
        <is>
          <t>Radiator</t>
        </is>
      </c>
      <c r="D40" s="29" t="inlineStr">
        <is>
          <t>Succulent</t>
        </is>
      </c>
      <c r="G40" s="53" t="n">
        <v>0</v>
      </c>
      <c r="I40" s="53" t="n">
        <v>0</v>
      </c>
      <c r="J40" s="38" t="n">
        <v>0</v>
      </c>
    </row>
    <row r="41" ht="14.5" customHeight="1">
      <c r="A41" s="53" t="n">
        <v>40</v>
      </c>
      <c r="B41" s="28" t="inlineStr">
        <is>
          <t>Short leaved Aloe</t>
        </is>
      </c>
      <c r="C41" s="28" t="inlineStr">
        <is>
          <t>Brown Aloe</t>
        </is>
      </c>
      <c r="D41" s="29" t="inlineStr">
        <is>
          <t>Aloe</t>
        </is>
      </c>
      <c r="G41" s="53" t="n">
        <v>0</v>
      </c>
      <c r="I41" s="53" t="n">
        <v>0</v>
      </c>
      <c r="J41" s="56" t="n">
        <v>0</v>
      </c>
    </row>
    <row r="42" ht="14.5" customHeight="1">
      <c r="A42" s="53" t="n">
        <v>41</v>
      </c>
      <c r="B42" s="28" t="inlineStr">
        <is>
          <t>Senecio Cephalophorus</t>
        </is>
      </c>
      <c r="C42" s="28" t="inlineStr">
        <is>
          <t>Cabbage succulent</t>
        </is>
      </c>
      <c r="D42" s="29" t="inlineStr">
        <is>
          <t>Succulent</t>
        </is>
      </c>
      <c r="G42" s="53" t="n">
        <v>0</v>
      </c>
      <c r="I42" s="53" t="n">
        <v>0</v>
      </c>
      <c r="J42" s="56" t="n">
        <v>0</v>
      </c>
    </row>
    <row r="43" ht="14.5" customHeight="1">
      <c r="A43" s="53" t="n">
        <v>42</v>
      </c>
      <c r="B43" s="28" t="inlineStr">
        <is>
          <t>chlorophytum laxum</t>
        </is>
      </c>
      <c r="C43" s="28" t="inlineStr">
        <is>
          <t>Zebra Grass</t>
        </is>
      </c>
      <c r="D43" s="29" t="inlineStr">
        <is>
          <t>Others</t>
        </is>
      </c>
      <c r="G43" s="53" t="n">
        <v>0</v>
      </c>
      <c r="I43" s="53" t="n">
        <v>0</v>
      </c>
      <c r="J43" s="38" t="n">
        <v>0</v>
      </c>
    </row>
    <row r="44" ht="14.5" customHeight="1">
      <c r="A44" s="53" t="n">
        <v>43</v>
      </c>
      <c r="B44" s="28" t="inlineStr">
        <is>
          <t>Fairy Castle</t>
        </is>
      </c>
      <c r="C44" s="28" t="inlineStr">
        <is>
          <t>Fairy Castle</t>
        </is>
      </c>
      <c r="D44" s="29" t="inlineStr">
        <is>
          <t>Cactus</t>
        </is>
      </c>
      <c r="G44" s="53" t="n">
        <v>0</v>
      </c>
      <c r="I44" s="53" t="n">
        <v>0</v>
      </c>
      <c r="J44" s="56" t="n">
        <v>0</v>
      </c>
    </row>
    <row r="45" ht="14.5" customHeight="1">
      <c r="A45" s="53" t="n">
        <v>44</v>
      </c>
      <c r="B45" s="28" t="inlineStr">
        <is>
          <t>Echeveria Runyonii</t>
        </is>
      </c>
      <c r="C45" s="28" t="inlineStr">
        <is>
          <t>Curve Echeveria</t>
        </is>
      </c>
      <c r="D45" s="29" t="inlineStr">
        <is>
          <t>Echeveria</t>
        </is>
      </c>
      <c r="G45" s="53" t="n">
        <v>0</v>
      </c>
      <c r="I45" s="53" t="n">
        <v>0</v>
      </c>
      <c r="J45" s="56" t="n">
        <v>0</v>
      </c>
    </row>
    <row r="46" ht="14.5" customHeight="1">
      <c r="A46" s="53" t="n">
        <v>45</v>
      </c>
      <c r="B46" s="28" t="inlineStr">
        <is>
          <t>Kalanchoe</t>
        </is>
      </c>
      <c r="C46" s="28" t="inlineStr">
        <is>
          <t>Kalanchoe</t>
        </is>
      </c>
      <c r="D46" s="29" t="inlineStr">
        <is>
          <t>Succulent</t>
        </is>
      </c>
      <c r="G46" s="53" t="n">
        <v>0</v>
      </c>
      <c r="I46" s="53" t="n">
        <v>0</v>
      </c>
      <c r="J46" s="38" t="n">
        <v>0</v>
      </c>
    </row>
    <row r="47" ht="14.5" customHeight="1">
      <c r="A47" s="53" t="n">
        <v>46</v>
      </c>
      <c r="B47" s="28" t="inlineStr">
        <is>
          <t>Pereskiopsis</t>
        </is>
      </c>
      <c r="C47" s="28" t="inlineStr">
        <is>
          <t>Tree Succulent</t>
        </is>
      </c>
      <c r="D47" s="29" t="inlineStr">
        <is>
          <t>Succulent</t>
        </is>
      </c>
      <c r="G47" s="53" t="n">
        <v>0</v>
      </c>
      <c r="I47" s="53" t="n">
        <v>0</v>
      </c>
      <c r="J47" s="56" t="n">
        <v>0</v>
      </c>
    </row>
    <row r="48" ht="14.5" customHeight="1">
      <c r="A48" s="53" t="n">
        <v>47</v>
      </c>
      <c r="B48" s="28" t="inlineStr">
        <is>
          <t>Dianthus</t>
        </is>
      </c>
      <c r="C48" s="28" t="inlineStr">
        <is>
          <t>Dianthus</t>
        </is>
      </c>
      <c r="D48" s="29" t="inlineStr">
        <is>
          <t>Others</t>
        </is>
      </c>
      <c r="G48" s="53" t="n">
        <v>0</v>
      </c>
      <c r="I48" s="53" t="n">
        <v>0</v>
      </c>
      <c r="J48" s="56" t="n">
        <v>0</v>
      </c>
    </row>
    <row r="49" ht="14.5" customHeight="1">
      <c r="A49" s="53" t="n">
        <v>48</v>
      </c>
      <c r="B49" s="28" t="inlineStr">
        <is>
          <t>Peperomia caperata</t>
        </is>
      </c>
      <c r="C49" s="28" t="inlineStr">
        <is>
          <t>Pepromia Long leaf</t>
        </is>
      </c>
      <c r="D49" s="29" t="inlineStr">
        <is>
          <t>Peperomia</t>
        </is>
      </c>
      <c r="G49" s="53" t="n">
        <v>0</v>
      </c>
      <c r="I49" s="53" t="n">
        <v>0</v>
      </c>
      <c r="J49" s="38" t="n">
        <v>1</v>
      </c>
    </row>
    <row r="50" ht="14.5" customHeight="1">
      <c r="A50" s="53" t="n">
        <v>49</v>
      </c>
      <c r="B50" s="28" t="inlineStr">
        <is>
          <t>Hydrangea</t>
        </is>
      </c>
      <c r="C50" s="28" t="inlineStr">
        <is>
          <t>Hydrangea</t>
        </is>
      </c>
      <c r="D50" s="29" t="inlineStr">
        <is>
          <t>Others</t>
        </is>
      </c>
      <c r="G50" s="53" t="n">
        <v>0</v>
      </c>
      <c r="I50" s="53" t="n">
        <v>0</v>
      </c>
      <c r="J50" s="56" t="n">
        <v>0</v>
      </c>
    </row>
    <row r="51" ht="14.5" customHeight="1">
      <c r="A51" s="53" t="n">
        <v>50</v>
      </c>
      <c r="B51" s="28" t="inlineStr">
        <is>
          <t>Wax Ivy</t>
        </is>
      </c>
      <c r="C51" s="28" t="inlineStr">
        <is>
          <t>Wax Ivy</t>
        </is>
      </c>
      <c r="D51" s="29" t="inlineStr">
        <is>
          <t>Creeper</t>
        </is>
      </c>
      <c r="G51" s="53" t="n">
        <v>1</v>
      </c>
      <c r="I51" s="53" t="n">
        <v>0</v>
      </c>
      <c r="J51" s="56" t="n">
        <v>1</v>
      </c>
    </row>
    <row r="52" ht="14.5" customHeight="1">
      <c r="A52" s="53" t="n">
        <v>51</v>
      </c>
      <c r="B52" s="28" t="inlineStr">
        <is>
          <t>Camelia</t>
        </is>
      </c>
      <c r="C52" s="28" t="inlineStr">
        <is>
          <t>Camelia</t>
        </is>
      </c>
      <c r="D52" s="29" t="inlineStr">
        <is>
          <t>Others</t>
        </is>
      </c>
      <c r="G52" s="53" t="n">
        <v>0</v>
      </c>
      <c r="I52" s="53" t="n">
        <v>0</v>
      </c>
      <c r="J52" s="38" t="n">
        <v>0</v>
      </c>
    </row>
    <row r="53" ht="14.5" customHeight="1">
      <c r="A53" s="53" t="n">
        <v>52</v>
      </c>
      <c r="B53" s="28" t="inlineStr">
        <is>
          <t>Crassula ovata</t>
        </is>
      </c>
      <c r="C53" s="28" t="inlineStr">
        <is>
          <t>Jade</t>
        </is>
      </c>
      <c r="D53" s="29" t="inlineStr">
        <is>
          <t>Jade</t>
        </is>
      </c>
      <c r="G53" s="53" t="n">
        <v>0</v>
      </c>
      <c r="I53" s="53" t="n">
        <v>0</v>
      </c>
      <c r="J53" s="56" t="n">
        <v>1</v>
      </c>
    </row>
    <row r="54" ht="14.5" customHeight="1">
      <c r="A54" s="53" t="n">
        <v>53</v>
      </c>
      <c r="B54" s="28" t="inlineStr">
        <is>
          <t>Haworthia Zebra</t>
        </is>
      </c>
      <c r="C54" s="28" t="inlineStr">
        <is>
          <t>Haworthia Zebra</t>
        </is>
      </c>
      <c r="D54" s="29" t="inlineStr">
        <is>
          <t>Haworthia</t>
        </is>
      </c>
      <c r="G54" s="53" t="n">
        <v>0</v>
      </c>
      <c r="I54" s="53" t="n">
        <v>0</v>
      </c>
      <c r="J54" s="56" t="n">
        <v>1</v>
      </c>
    </row>
    <row r="55" ht="14.5" customHeight="1">
      <c r="A55" s="53" t="n">
        <v>54</v>
      </c>
      <c r="B55" s="28" t="inlineStr">
        <is>
          <t>Sempervivum arachnoideum</t>
        </is>
      </c>
      <c r="C55" s="28" t="inlineStr">
        <is>
          <t>Cob Web</t>
        </is>
      </c>
      <c r="D55" s="29" t="inlineStr">
        <is>
          <t>Succulent</t>
        </is>
      </c>
      <c r="G55" s="53" t="n">
        <v>0</v>
      </c>
      <c r="I55" s="53" t="n">
        <v>0</v>
      </c>
      <c r="J55" s="38" t="n">
        <v>0</v>
      </c>
    </row>
    <row r="56" ht="14.5" customHeight="1">
      <c r="A56" s="53" t="n">
        <v>55</v>
      </c>
      <c r="B56" s="28" t="inlineStr">
        <is>
          <t>Crassula capitella</t>
        </is>
      </c>
      <c r="C56" s="28" t="inlineStr">
        <is>
          <t>camp fire</t>
        </is>
      </c>
      <c r="D56" s="29" t="inlineStr">
        <is>
          <t>Crassula</t>
        </is>
      </c>
      <c r="E56" s="34" t="n">
        <v>6</v>
      </c>
      <c r="F56" s="34" t="inlineStr">
        <is>
          <t>Succulent</t>
        </is>
      </c>
      <c r="G56" s="53" t="n">
        <v>0</v>
      </c>
      <c r="I56" s="53" t="n">
        <v>0</v>
      </c>
      <c r="J56" s="56" t="n">
        <v>0</v>
      </c>
    </row>
    <row r="57" ht="14.5" customHeight="1">
      <c r="A57" s="53" t="n">
        <v>56</v>
      </c>
      <c r="B57" s="28" t="inlineStr">
        <is>
          <t>Opuntia white</t>
        </is>
      </c>
      <c r="C57" s="28" t="inlineStr">
        <is>
          <t>Opentia white</t>
        </is>
      </c>
      <c r="D57" s="29" t="inlineStr">
        <is>
          <t>Cactus</t>
        </is>
      </c>
      <c r="E57" s="34" t="n">
        <v>7</v>
      </c>
      <c r="F57" s="34" t="inlineStr">
        <is>
          <t>Cactus</t>
        </is>
      </c>
      <c r="G57" s="53" t="n">
        <v>0</v>
      </c>
      <c r="I57" s="53" t="n">
        <v>0</v>
      </c>
      <c r="J57" s="56" t="n">
        <v>0</v>
      </c>
    </row>
    <row r="58" ht="14.5" customHeight="1">
      <c r="A58" s="53" t="n">
        <v>57</v>
      </c>
      <c r="B58" s="28" t="inlineStr">
        <is>
          <t>Syngonium podophyllum</t>
        </is>
      </c>
      <c r="C58" s="28" t="inlineStr">
        <is>
          <t>arrowhead</t>
        </is>
      </c>
      <c r="D58" s="29" t="inlineStr">
        <is>
          <t>Others</t>
        </is>
      </c>
      <c r="E58" s="34" t="n">
        <v>8</v>
      </c>
      <c r="F58" s="34" t="inlineStr">
        <is>
          <t>Echeveria</t>
        </is>
      </c>
      <c r="G58" s="53" t="n">
        <v>0</v>
      </c>
      <c r="I58" s="53" t="n">
        <v>0</v>
      </c>
      <c r="J58" s="38" t="n">
        <v>0</v>
      </c>
    </row>
    <row r="59" ht="14.5" customHeight="1">
      <c r="A59" s="53" t="n">
        <v>58</v>
      </c>
      <c r="B59" s="28" t="inlineStr">
        <is>
          <t>Resnova</t>
        </is>
      </c>
      <c r="C59" s="28" t="inlineStr">
        <is>
          <t>Indoor Big Leaf</t>
        </is>
      </c>
      <c r="D59" s="29" t="inlineStr">
        <is>
          <t>Others</t>
        </is>
      </c>
      <c r="E59" s="34" t="n">
        <v>9</v>
      </c>
      <c r="F59" s="34" t="inlineStr">
        <is>
          <t>Jade</t>
        </is>
      </c>
      <c r="G59" s="53" t="n">
        <v>0</v>
      </c>
      <c r="I59" s="53" t="n">
        <v>0</v>
      </c>
      <c r="J59" s="56" t="n">
        <v>0</v>
      </c>
    </row>
    <row r="60" ht="14.5" customHeight="1">
      <c r="A60" s="53" t="n">
        <v>59</v>
      </c>
      <c r="B60" s="28" t="inlineStr">
        <is>
          <t>Cheiridopsis denticulata</t>
        </is>
      </c>
      <c r="C60" s="28" t="inlineStr">
        <is>
          <t>Oval Flower</t>
        </is>
      </c>
      <c r="D60" s="29" t="inlineStr">
        <is>
          <t>Succulent</t>
        </is>
      </c>
      <c r="E60" s="34" t="n">
        <v>10</v>
      </c>
      <c r="F60" s="34" t="inlineStr">
        <is>
          <t>Crassula</t>
        </is>
      </c>
      <c r="G60" s="53" t="n">
        <v>0</v>
      </c>
      <c r="I60" s="53" t="n">
        <v>0</v>
      </c>
      <c r="J60" s="56" t="n">
        <v>0</v>
      </c>
    </row>
    <row r="61" ht="14.5" customHeight="1">
      <c r="A61" s="53" t="n">
        <v>60</v>
      </c>
      <c r="B61" s="28" t="inlineStr">
        <is>
          <t>Peperomia caperata</t>
        </is>
      </c>
      <c r="C61" s="28" t="inlineStr">
        <is>
          <t>Pepromia Purple</t>
        </is>
      </c>
      <c r="D61" s="60" t="inlineStr">
        <is>
          <t>Peperomia</t>
        </is>
      </c>
      <c r="E61" s="34" t="n">
        <v>11</v>
      </c>
      <c r="F61" s="34" t="inlineStr">
        <is>
          <t>Peperomia</t>
        </is>
      </c>
      <c r="G61" s="53" t="n">
        <v>0</v>
      </c>
      <c r="I61" s="53" t="n">
        <v>0</v>
      </c>
      <c r="J61" s="38" t="n">
        <v>1</v>
      </c>
    </row>
    <row r="62" ht="14.5" customHeight="1">
      <c r="A62" s="53" t="n">
        <v>61</v>
      </c>
      <c r="B62" s="28" t="inlineStr">
        <is>
          <t>Acanthocalycium</t>
        </is>
      </c>
      <c r="C62" s="28" t="inlineStr">
        <is>
          <t>Ball Cactus long</t>
        </is>
      </c>
      <c r="D62" s="29" t="inlineStr">
        <is>
          <t>Cactus</t>
        </is>
      </c>
      <c r="E62" s="34" t="n">
        <v>12</v>
      </c>
      <c r="F62" s="34" t="inlineStr">
        <is>
          <t>Aloe</t>
        </is>
      </c>
      <c r="G62" s="53" t="n">
        <v>0</v>
      </c>
      <c r="I62" s="53" t="n">
        <v>0</v>
      </c>
      <c r="J62" s="56" t="n">
        <v>0</v>
      </c>
    </row>
    <row r="63" ht="14.5" customHeight="1">
      <c r="A63" s="53" t="n">
        <v>62</v>
      </c>
      <c r="B63" s="28" t="inlineStr">
        <is>
          <t>Short-leaved Aloe</t>
        </is>
      </c>
      <c r="C63" s="28" t="inlineStr">
        <is>
          <t>White Aloe(S-L)</t>
        </is>
      </c>
      <c r="D63" s="29" t="inlineStr">
        <is>
          <t>Aloe</t>
        </is>
      </c>
      <c r="E63" s="34" t="n">
        <v>13</v>
      </c>
      <c r="F63" s="34" t="inlineStr">
        <is>
          <t>Sedum</t>
        </is>
      </c>
      <c r="G63" s="53" t="n">
        <v>0</v>
      </c>
      <c r="I63" s="53" t="n">
        <v>0</v>
      </c>
      <c r="J63" s="56" t="n">
        <v>1</v>
      </c>
    </row>
    <row r="64" ht="14.5" customHeight="1">
      <c r="A64" s="53" t="n">
        <v>63</v>
      </c>
      <c r="B64" s="28" t="inlineStr">
        <is>
          <t>Echinopsis subdenudata</t>
        </is>
      </c>
      <c r="C64" s="28" t="inlineStr">
        <is>
          <t>Ball white flower</t>
        </is>
      </c>
      <c r="D64" s="29" t="inlineStr">
        <is>
          <t>Cactus</t>
        </is>
      </c>
      <c r="E64" s="34" t="n">
        <v>14</v>
      </c>
      <c r="F64" s="34" t="inlineStr">
        <is>
          <t>Haworthia</t>
        </is>
      </c>
      <c r="G64" s="53" t="n">
        <v>0</v>
      </c>
      <c r="I64" s="53" t="n">
        <v>0</v>
      </c>
      <c r="J64" s="38" t="n">
        <v>0</v>
      </c>
    </row>
    <row r="65" ht="14.5" customHeight="1">
      <c r="A65" s="53" t="n">
        <v>64</v>
      </c>
      <c r="B65" s="28" t="inlineStr">
        <is>
          <t>Echeveria setosa</t>
        </is>
      </c>
      <c r="C65" s="28" t="inlineStr">
        <is>
          <t>Echeveria fur</t>
        </is>
      </c>
      <c r="D65" s="9" t="inlineStr">
        <is>
          <t>Echeveria</t>
        </is>
      </c>
      <c r="E65" s="34" t="n">
        <v>15</v>
      </c>
      <c r="F65" s="34" t="inlineStr">
        <is>
          <t>Creeper</t>
        </is>
      </c>
      <c r="G65" s="53" t="n">
        <v>0</v>
      </c>
      <c r="I65" s="53" t="n">
        <v>0</v>
      </c>
      <c r="J65" s="56" t="n">
        <v>0</v>
      </c>
    </row>
    <row r="66" ht="14.5" customHeight="1">
      <c r="A66" s="53" t="n">
        <v>65</v>
      </c>
      <c r="B66" s="28" t="inlineStr">
        <is>
          <t>Crassula Falcata</t>
        </is>
      </c>
      <c r="C66" s="28" t="inlineStr">
        <is>
          <t>Boat</t>
        </is>
      </c>
      <c r="D66" s="29" t="inlineStr">
        <is>
          <t>Crassula</t>
        </is>
      </c>
      <c r="E66" s="34" t="n">
        <v>16</v>
      </c>
      <c r="F66" s="34" t="inlineStr">
        <is>
          <t>Sansevieria</t>
        </is>
      </c>
      <c r="G66" s="53" t="n">
        <v>0</v>
      </c>
      <c r="I66" s="53" t="n">
        <v>0</v>
      </c>
      <c r="J66" s="56" t="n">
        <v>0</v>
      </c>
    </row>
    <row r="67" ht="14.5" customHeight="1">
      <c r="A67" s="53" t="n">
        <v>66</v>
      </c>
      <c r="B67" s="28" t="inlineStr">
        <is>
          <t>Haworthia bayeri</t>
        </is>
      </c>
      <c r="C67" s="28" t="inlineStr">
        <is>
          <t>brown stone</t>
        </is>
      </c>
      <c r="D67" s="29" t="inlineStr">
        <is>
          <t>Haworthia</t>
        </is>
      </c>
      <c r="E67" s="34" t="n">
        <v>17</v>
      </c>
      <c r="F67" s="34" t="inlineStr">
        <is>
          <t>Others</t>
        </is>
      </c>
      <c r="G67" s="53" t="n">
        <v>0</v>
      </c>
      <c r="I67" s="53" t="n">
        <v>0</v>
      </c>
      <c r="J67" s="38" t="n">
        <v>1</v>
      </c>
    </row>
    <row r="68" ht="14.5" customHeight="1">
      <c r="A68" s="53" t="n">
        <v>67</v>
      </c>
      <c r="B68" s="28" t="inlineStr">
        <is>
          <t>Haworthiopsis attenuata</t>
        </is>
      </c>
      <c r="C68" s="28" t="inlineStr">
        <is>
          <t>Haworthia Fat</t>
        </is>
      </c>
      <c r="D68" s="29" t="inlineStr">
        <is>
          <t>Haworthia</t>
        </is>
      </c>
      <c r="G68" s="53" t="n">
        <v>0</v>
      </c>
      <c r="I68" s="53" t="n">
        <v>0</v>
      </c>
      <c r="J68" s="56" t="n">
        <v>1</v>
      </c>
    </row>
    <row r="69" ht="14.5" customHeight="1">
      <c r="A69" s="53" t="n">
        <v>68</v>
      </c>
      <c r="B69" s="28" t="inlineStr">
        <is>
          <t>Haworthiopsis coarctata</t>
        </is>
      </c>
      <c r="C69" s="28" t="inlineStr">
        <is>
          <t>Haworthia Dot</t>
        </is>
      </c>
      <c r="D69" s="29" t="inlineStr">
        <is>
          <t>Haworthia</t>
        </is>
      </c>
      <c r="G69" s="53" t="n">
        <v>0</v>
      </c>
      <c r="I69" s="53" t="n">
        <v>0</v>
      </c>
      <c r="J69" s="56" t="n">
        <v>1</v>
      </c>
    </row>
    <row r="70" ht="14.5" customHeight="1">
      <c r="A70" s="53" t="n">
        <v>69</v>
      </c>
      <c r="B70" s="28" t="inlineStr">
        <is>
          <t>Haworth's aeonium</t>
        </is>
      </c>
      <c r="C70" s="28" t="inlineStr">
        <is>
          <t>tricolour aeonium</t>
        </is>
      </c>
      <c r="D70" s="29" t="inlineStr">
        <is>
          <t>Succulent</t>
        </is>
      </c>
      <c r="G70" s="53" t="n">
        <v>0</v>
      </c>
      <c r="I70" s="53" t="n">
        <v>0</v>
      </c>
      <c r="J70" s="38" t="n">
        <v>0</v>
      </c>
    </row>
    <row r="71" ht="14.5" customHeight="1">
      <c r="A71" s="53" t="n">
        <v>70</v>
      </c>
      <c r="B71" s="28" t="inlineStr">
        <is>
          <t>Echeveria agavoides</t>
        </is>
      </c>
      <c r="C71" s="28" t="inlineStr">
        <is>
          <t>Rangoli Echeviria</t>
        </is>
      </c>
      <c r="D71" s="9" t="inlineStr">
        <is>
          <t>Echeveria</t>
        </is>
      </c>
      <c r="G71" s="53" t="n">
        <v>0</v>
      </c>
      <c r="I71" s="53" t="n">
        <v>0</v>
      </c>
      <c r="J71" s="56" t="n">
        <v>0</v>
      </c>
    </row>
    <row r="72" ht="14.5" customHeight="1">
      <c r="A72" s="53" t="n">
        <v>71</v>
      </c>
      <c r="B72" s="28" t="inlineStr">
        <is>
          <t>Pachyphytum oviferum</t>
        </is>
      </c>
      <c r="C72" s="28" t="inlineStr">
        <is>
          <t>Grey Moonstone</t>
        </is>
      </c>
      <c r="D72" s="29" t="inlineStr">
        <is>
          <t>Succulent</t>
        </is>
      </c>
      <c r="G72" s="53" t="n">
        <v>0</v>
      </c>
      <c r="I72" s="53" t="n">
        <v>0</v>
      </c>
      <c r="J72" s="56" t="n">
        <v>0</v>
      </c>
    </row>
    <row r="73" ht="14.5" customHeight="1">
      <c r="A73" s="53" t="n">
        <v>72</v>
      </c>
      <c r="B73" s="28" t="inlineStr">
        <is>
          <t>String of pearls</t>
        </is>
      </c>
      <c r="C73" s="28" t="inlineStr">
        <is>
          <t>String of pearls</t>
        </is>
      </c>
      <c r="D73" s="9" t="inlineStr">
        <is>
          <t>Succulent</t>
        </is>
      </c>
      <c r="G73" s="53" t="n">
        <v>0</v>
      </c>
      <c r="I73" s="53" t="n">
        <v>0</v>
      </c>
      <c r="J73" s="38" t="n">
        <v>0</v>
      </c>
    </row>
    <row r="74" ht="14.5" customHeight="1">
      <c r="A74" s="53" t="n">
        <v>73</v>
      </c>
      <c r="B74" s="28" t="inlineStr">
        <is>
          <t>Dracaena trifasciata</t>
        </is>
      </c>
      <c r="C74" s="28" t="inlineStr">
        <is>
          <t>Snake Draft Yellow Border</t>
        </is>
      </c>
      <c r="D74" s="29" t="inlineStr">
        <is>
          <t>Sansevieria</t>
        </is>
      </c>
      <c r="G74" s="53" t="n">
        <v>0</v>
      </c>
      <c r="I74" s="53" t="n">
        <v>0</v>
      </c>
      <c r="J74" s="56" t="n">
        <v>1</v>
      </c>
    </row>
    <row r="75" ht="14.5" customHeight="1">
      <c r="A75" s="53" t="n">
        <v>74</v>
      </c>
      <c r="B75" s="28" t="inlineStr">
        <is>
          <t>Senecio barbertonicus</t>
        </is>
      </c>
      <c r="C75" s="28" t="inlineStr">
        <is>
          <t>Pepromia long green</t>
        </is>
      </c>
      <c r="D75" s="29" t="inlineStr">
        <is>
          <t>Succulent</t>
        </is>
      </c>
      <c r="G75" s="53" t="n">
        <v>0</v>
      </c>
      <c r="I75" s="53" t="n">
        <v>0</v>
      </c>
      <c r="J75" s="56" t="n">
        <v>0</v>
      </c>
    </row>
    <row r="76" ht="14.5" customHeight="1">
      <c r="A76" s="53" t="n">
        <v>75</v>
      </c>
      <c r="B76" s="28" t="inlineStr">
        <is>
          <t>Adromischus Cristatus</t>
        </is>
      </c>
      <c r="C76" s="28" t="inlineStr">
        <is>
          <t>Panda</t>
        </is>
      </c>
      <c r="D76" s="29" t="inlineStr">
        <is>
          <t>Succulent</t>
        </is>
      </c>
      <c r="G76" s="53" t="n">
        <v>0</v>
      </c>
      <c r="I76" s="53" t="n">
        <v>0</v>
      </c>
      <c r="J76" s="38" t="n">
        <v>0</v>
      </c>
    </row>
    <row r="77" ht="14.5" customHeight="1">
      <c r="A77" s="53" t="n">
        <v>76</v>
      </c>
      <c r="B77" s="28" t="inlineStr">
        <is>
          <t>Haworthiopsis limifolia</t>
        </is>
      </c>
      <c r="C77" s="28" t="inlineStr">
        <is>
          <t>Haworthia Rough</t>
        </is>
      </c>
      <c r="D77" s="29" t="inlineStr">
        <is>
          <t>Haworthia</t>
        </is>
      </c>
      <c r="G77" s="53" t="n">
        <v>0</v>
      </c>
      <c r="I77" s="53" t="n">
        <v>0</v>
      </c>
      <c r="J77" s="56" t="n">
        <v>1</v>
      </c>
    </row>
    <row r="78" ht="14.5" customHeight="1">
      <c r="A78" s="53" t="n">
        <v>77</v>
      </c>
      <c r="B78" s="28" t="inlineStr">
        <is>
          <t>Anacampseros Baeseckei</t>
        </is>
      </c>
      <c r="C78" s="28" t="inlineStr">
        <is>
          <t>Seed Plant</t>
        </is>
      </c>
      <c r="D78" s="29" t="inlineStr">
        <is>
          <t>Succulent</t>
        </is>
      </c>
      <c r="G78" s="53" t="n">
        <v>0</v>
      </c>
      <c r="I78" s="53" t="n">
        <v>0</v>
      </c>
      <c r="J78" s="56" t="n">
        <v>0</v>
      </c>
    </row>
    <row r="79" ht="14.5" customHeight="1">
      <c r="A79" s="53" t="n">
        <v>78</v>
      </c>
      <c r="B79" s="28" t="inlineStr">
        <is>
          <t>Aloe vera</t>
        </is>
      </c>
      <c r="C79" s="28" t="inlineStr">
        <is>
          <t>Aloe vera black</t>
        </is>
      </c>
      <c r="D79" s="29" t="inlineStr">
        <is>
          <t>Aloe</t>
        </is>
      </c>
      <c r="G79" s="53" t="n">
        <v>0</v>
      </c>
      <c r="I79" s="53" t="n">
        <v>0</v>
      </c>
      <c r="J79" s="38" t="n">
        <v>0</v>
      </c>
    </row>
    <row r="80" ht="14.5" customHeight="1">
      <c r="A80" s="53" t="n">
        <v>79</v>
      </c>
      <c r="B80" s="28" t="inlineStr">
        <is>
          <t>Gasteria</t>
        </is>
      </c>
      <c r="C80" s="28" t="inlineStr">
        <is>
          <t>Dot Aloe</t>
        </is>
      </c>
      <c r="D80" s="29" t="inlineStr">
        <is>
          <t>Aloe</t>
        </is>
      </c>
      <c r="G80" s="53" t="n">
        <v>0</v>
      </c>
      <c r="I80" s="53" t="n">
        <v>0</v>
      </c>
      <c r="J80" s="56" t="n">
        <v>0</v>
      </c>
    </row>
    <row r="81" ht="14.5" customHeight="1">
      <c r="A81" s="53" t="n">
        <v>80</v>
      </c>
      <c r="B81" s="28" t="inlineStr">
        <is>
          <t>Jain temple</t>
        </is>
      </c>
      <c r="C81" s="28" t="inlineStr">
        <is>
          <t>Jain temple</t>
        </is>
      </c>
      <c r="D81" s="29" t="inlineStr">
        <is>
          <t>Crassula</t>
        </is>
      </c>
      <c r="G81" s="53" t="n">
        <v>0</v>
      </c>
      <c r="I81" s="53" t="n">
        <v>0</v>
      </c>
      <c r="J81" s="56" t="n">
        <v>0</v>
      </c>
    </row>
    <row r="82" ht="14.5" customHeight="1">
      <c r="A82" s="53" t="n">
        <v>81</v>
      </c>
      <c r="B82" s="28" t="inlineStr">
        <is>
          <t>English ivy</t>
        </is>
      </c>
      <c r="C82" s="28" t="inlineStr">
        <is>
          <t>English Variegated ivy</t>
        </is>
      </c>
      <c r="D82" s="29" t="inlineStr">
        <is>
          <t>Creeper</t>
        </is>
      </c>
      <c r="G82" s="53" t="n">
        <v>1</v>
      </c>
      <c r="I82" s="53" t="n">
        <v>0</v>
      </c>
      <c r="J82" s="38" t="n">
        <v>1</v>
      </c>
    </row>
    <row r="83" ht="14.5" customHeight="1">
      <c r="A83" s="53" t="n">
        <v>82</v>
      </c>
      <c r="B83" s="28" t="inlineStr">
        <is>
          <t>Vinca major</t>
        </is>
      </c>
      <c r="C83" s="28" t="inlineStr">
        <is>
          <t>Vinca major</t>
        </is>
      </c>
      <c r="D83" s="29" t="inlineStr">
        <is>
          <t>Creeper</t>
        </is>
      </c>
      <c r="G83" s="53" t="n">
        <v>1</v>
      </c>
      <c r="I83" s="53" t="n">
        <v>0</v>
      </c>
      <c r="J83" s="56" t="n">
        <v>1</v>
      </c>
    </row>
    <row r="84" ht="14.5" customHeight="1">
      <c r="A84" s="53" t="n">
        <v>83</v>
      </c>
      <c r="B84" s="28" t="inlineStr">
        <is>
          <t>Hedera Ivy</t>
        </is>
      </c>
      <c r="C84" s="28" t="inlineStr">
        <is>
          <t>Hedera Ivy</t>
        </is>
      </c>
      <c r="D84" s="29" t="inlineStr">
        <is>
          <t>Creeper</t>
        </is>
      </c>
      <c r="G84" s="53" t="n">
        <v>1</v>
      </c>
      <c r="I84" s="53" t="n">
        <v>0</v>
      </c>
      <c r="J84" s="56" t="n">
        <v>1</v>
      </c>
    </row>
    <row r="85" ht="14.5" customHeight="1">
      <c r="A85" s="53" t="n">
        <v>84</v>
      </c>
      <c r="B85" s="28" t="inlineStr">
        <is>
          <t>Drimiopsis</t>
        </is>
      </c>
      <c r="C85" s="28" t="inlineStr">
        <is>
          <t>Indoor small leaf</t>
        </is>
      </c>
      <c r="D85" s="29" t="inlineStr">
        <is>
          <t>Others</t>
        </is>
      </c>
      <c r="G85" s="53" t="n">
        <v>0</v>
      </c>
      <c r="I85" s="53" t="n">
        <v>0</v>
      </c>
      <c r="J85" s="38" t="n">
        <v>0</v>
      </c>
    </row>
    <row r="86" ht="14.5" customHeight="1">
      <c r="A86" s="53" t="n">
        <v>85</v>
      </c>
      <c r="B86" s="28" t="inlineStr">
        <is>
          <t>Sedum lineare(silver)</t>
        </is>
      </c>
      <c r="C86" s="28" t="inlineStr">
        <is>
          <t>Silver Sedum</t>
        </is>
      </c>
      <c r="D86" s="29" t="inlineStr">
        <is>
          <t>Sedum</t>
        </is>
      </c>
      <c r="G86" s="53" t="n">
        <v>1</v>
      </c>
      <c r="I86" s="53" t="n">
        <v>0</v>
      </c>
      <c r="J86" s="56" t="n">
        <v>0</v>
      </c>
    </row>
    <row r="87" ht="14.5" customHeight="1">
      <c r="A87" s="53" t="n">
        <v>86</v>
      </c>
      <c r="B87" s="28" t="inlineStr">
        <is>
          <t>Haworthia decipiens</t>
        </is>
      </c>
      <c r="C87" s="28" t="inlineStr">
        <is>
          <t>Haworthia green</t>
        </is>
      </c>
      <c r="D87" s="29" t="inlineStr">
        <is>
          <t>Haworthia</t>
        </is>
      </c>
      <c r="G87" s="53" t="n">
        <v>0</v>
      </c>
      <c r="I87" s="53" t="n">
        <v>0</v>
      </c>
      <c r="J87" s="56" t="n">
        <v>1</v>
      </c>
    </row>
    <row r="88" ht="14.5" customHeight="1">
      <c r="A88" s="53" t="n">
        <v>87</v>
      </c>
      <c r="B88" s="28" t="inlineStr">
        <is>
          <t>echeveria glauca cristata</t>
        </is>
      </c>
      <c r="C88" s="28" t="inlineStr">
        <is>
          <t>White stick</t>
        </is>
      </c>
      <c r="D88" s="9" t="inlineStr">
        <is>
          <t>Echeveria</t>
        </is>
      </c>
      <c r="G88" s="53" t="n">
        <v>0</v>
      </c>
      <c r="I88" s="53" t="n">
        <v>0</v>
      </c>
      <c r="J88" s="38" t="n">
        <v>0</v>
      </c>
    </row>
    <row r="89" ht="14.5" customHeight="1">
      <c r="A89" s="53" t="n">
        <v>88</v>
      </c>
      <c r="B89" s="28" t="inlineStr">
        <is>
          <t>Hechtia glauca</t>
        </is>
      </c>
      <c r="C89" s="28" t="inlineStr">
        <is>
          <t>Green Aloe</t>
        </is>
      </c>
      <c r="D89" s="29" t="inlineStr">
        <is>
          <t>Aloe</t>
        </is>
      </c>
      <c r="G89" s="53" t="n">
        <v>0</v>
      </c>
      <c r="I89" s="53" t="n">
        <v>0</v>
      </c>
      <c r="J89" s="56" t="n">
        <v>1</v>
      </c>
    </row>
    <row r="90" ht="14.5" customHeight="1">
      <c r="A90" s="53" t="n">
        <v>89</v>
      </c>
      <c r="B90" s="28" t="inlineStr">
        <is>
          <t>Echeveria nuda</t>
        </is>
      </c>
      <c r="C90" s="28" t="inlineStr">
        <is>
          <t>Green Echeviria</t>
        </is>
      </c>
      <c r="D90" s="9" t="inlineStr">
        <is>
          <t>Echeveria</t>
        </is>
      </c>
      <c r="G90" s="53" t="n">
        <v>0</v>
      </c>
      <c r="I90" s="53" t="n">
        <v>0</v>
      </c>
      <c r="J90" s="56" t="n">
        <v>0</v>
      </c>
    </row>
    <row r="91" ht="14.5" customHeight="1">
      <c r="A91" s="53" t="n">
        <v>90</v>
      </c>
      <c r="B91" s="28" t="inlineStr">
        <is>
          <t>portulakarea</t>
        </is>
      </c>
      <c r="C91" s="28" t="inlineStr">
        <is>
          <t>Umbrella</t>
        </is>
      </c>
      <c r="D91" s="29" t="inlineStr">
        <is>
          <t>Succulent</t>
        </is>
      </c>
      <c r="G91" s="53" t="n">
        <v>0</v>
      </c>
      <c r="I91" s="53" t="n">
        <v>0</v>
      </c>
      <c r="J91" s="38" t="n">
        <v>0</v>
      </c>
    </row>
    <row r="92" ht="14.5" customHeight="1">
      <c r="A92" s="53" t="n">
        <v>91</v>
      </c>
      <c r="B92" s="28" t="inlineStr">
        <is>
          <t>Crassula perforata</t>
        </is>
      </c>
      <c r="C92" s="28" t="inlineStr">
        <is>
          <t>Chilly</t>
        </is>
      </c>
      <c r="D92" s="29" t="inlineStr">
        <is>
          <t>Crassula</t>
        </is>
      </c>
      <c r="G92" s="53" t="n">
        <v>0</v>
      </c>
      <c r="I92" s="53" t="n">
        <v>0</v>
      </c>
      <c r="J92" s="56" t="n">
        <v>0</v>
      </c>
    </row>
    <row r="93" ht="14.5" customHeight="1">
      <c r="A93" s="53" t="n">
        <v>92</v>
      </c>
      <c r="B93" s="28" t="inlineStr">
        <is>
          <t>Fishbone</t>
        </is>
      </c>
      <c r="C93" s="28" t="inlineStr">
        <is>
          <t>Fishbone</t>
        </is>
      </c>
      <c r="D93" s="29" t="inlineStr">
        <is>
          <t>Cactus</t>
        </is>
      </c>
      <c r="G93" s="53" t="n">
        <v>0</v>
      </c>
      <c r="I93" s="53" t="n">
        <v>0</v>
      </c>
      <c r="J93" s="56" t="n">
        <v>0</v>
      </c>
    </row>
    <row r="94" ht="14.5" customHeight="1">
      <c r="A94" s="53" t="n">
        <v>93</v>
      </c>
      <c r="B94" s="28" t="inlineStr">
        <is>
          <t>Chlorophytum/spider plant</t>
        </is>
      </c>
      <c r="C94" s="28" t="inlineStr">
        <is>
          <t>Chlorophytm</t>
        </is>
      </c>
      <c r="D94" s="29" t="inlineStr">
        <is>
          <t>Others</t>
        </is>
      </c>
      <c r="G94" s="53" t="n">
        <v>0</v>
      </c>
      <c r="I94" s="53" t="n">
        <v>0</v>
      </c>
      <c r="J94" s="38" t="n">
        <v>0</v>
      </c>
    </row>
    <row r="95" ht="14.5" customHeight="1">
      <c r="A95" s="53" t="n">
        <v>94</v>
      </c>
      <c r="B95" s="28" t="inlineStr">
        <is>
          <t>CC</t>
        </is>
      </c>
      <c r="C95" s="28" t="inlineStr">
        <is>
          <t>Change Color</t>
        </is>
      </c>
      <c r="D95" s="29" t="inlineStr">
        <is>
          <t>Others</t>
        </is>
      </c>
      <c r="G95" s="53" t="n">
        <v>0</v>
      </c>
      <c r="I95" s="53" t="n">
        <v>0</v>
      </c>
      <c r="J95" s="56" t="n">
        <v>0</v>
      </c>
    </row>
    <row r="96" ht="14.5" customHeight="1">
      <c r="A96" s="53" t="n">
        <v>95</v>
      </c>
      <c r="B96" s="28" t="inlineStr">
        <is>
          <t>Serissafoetida</t>
        </is>
      </c>
      <c r="C96" s="28" t="inlineStr">
        <is>
          <t>Bad smell</t>
        </is>
      </c>
      <c r="D96" s="29" t="inlineStr">
        <is>
          <t>Others</t>
        </is>
      </c>
      <c r="G96" s="53" t="n">
        <v>0</v>
      </c>
      <c r="I96" s="53" t="n">
        <v>0</v>
      </c>
      <c r="J96" s="56" t="n">
        <v>0</v>
      </c>
    </row>
    <row r="97" ht="14.5" customHeight="1">
      <c r="A97" s="53" t="n">
        <v>96</v>
      </c>
      <c r="B97" s="28" t="inlineStr">
        <is>
          <t>Stapelia Lepida</t>
        </is>
      </c>
      <c r="C97" s="28" t="inlineStr">
        <is>
          <t>Tiger Flower</t>
        </is>
      </c>
      <c r="D97" s="29" t="inlineStr">
        <is>
          <t>Succulent</t>
        </is>
      </c>
      <c r="G97" s="53" t="n">
        <v>0</v>
      </c>
      <c r="I97" s="53" t="n">
        <v>0</v>
      </c>
      <c r="J97" s="38" t="n">
        <v>0</v>
      </c>
    </row>
    <row r="98" ht="14.5" customHeight="1">
      <c r="A98" s="53" t="n">
        <v>97</v>
      </c>
      <c r="B98" s="28" t="inlineStr">
        <is>
          <t>Euphorbia flanaganii</t>
        </is>
      </c>
      <c r="C98" s="28" t="inlineStr">
        <is>
          <t>medusa's head</t>
        </is>
      </c>
      <c r="D98" s="29" t="inlineStr">
        <is>
          <t>Succulent</t>
        </is>
      </c>
      <c r="G98" s="53" t="n">
        <v>0</v>
      </c>
      <c r="I98" s="53" t="n">
        <v>0</v>
      </c>
      <c r="J98" s="56" t="n">
        <v>0</v>
      </c>
    </row>
    <row r="99" ht="14.5" customHeight="1">
      <c r="A99" s="53" t="n">
        <v>98</v>
      </c>
      <c r="B99" s="28" t="inlineStr">
        <is>
          <t>Euphorbia ferox</t>
        </is>
      </c>
      <c r="C99" s="28" t="inlineStr">
        <is>
          <t>Bomb</t>
        </is>
      </c>
      <c r="D99" s="29" t="inlineStr">
        <is>
          <t>Cactus</t>
        </is>
      </c>
      <c r="G99" s="53" t="n">
        <v>0</v>
      </c>
      <c r="I99" s="53" t="n">
        <v>0</v>
      </c>
      <c r="J99" s="56" t="n">
        <v>0</v>
      </c>
    </row>
    <row r="100" ht="14.5" customHeight="1">
      <c r="A100" s="53" t="n">
        <v>99</v>
      </c>
      <c r="B100" s="28" t="inlineStr">
        <is>
          <t>Aeonium arboreum/green</t>
        </is>
      </c>
      <c r="C100" s="28" t="inlineStr">
        <is>
          <t>Aeonium Green</t>
        </is>
      </c>
      <c r="D100" s="29" t="inlineStr">
        <is>
          <t>Succulent</t>
        </is>
      </c>
      <c r="G100" s="53" t="n">
        <v>0</v>
      </c>
      <c r="I100" s="53" t="n">
        <v>0</v>
      </c>
      <c r="J100" s="38" t="n">
        <v>0</v>
      </c>
    </row>
    <row r="101" ht="14.5" customHeight="1">
      <c r="A101" s="53" t="n">
        <v>100</v>
      </c>
      <c r="B101" s="28" t="inlineStr">
        <is>
          <t>Aeonium arboreum/Purple</t>
        </is>
      </c>
      <c r="C101" s="28" t="inlineStr">
        <is>
          <t>Aeonium Purple</t>
        </is>
      </c>
      <c r="D101" s="29" t="inlineStr">
        <is>
          <t>Succulent</t>
        </is>
      </c>
      <c r="G101" s="53" t="n">
        <v>0</v>
      </c>
      <c r="I101" s="53" t="n">
        <v>0</v>
      </c>
      <c r="J101" s="56" t="n">
        <v>0</v>
      </c>
    </row>
    <row r="102" ht="14.5" customHeight="1">
      <c r="A102" s="53" t="n">
        <v>101</v>
      </c>
      <c r="B102" s="28" t="inlineStr">
        <is>
          <t>crassula exilis</t>
        </is>
      </c>
      <c r="C102" s="28" t="inlineStr">
        <is>
          <t>Tiger Sedum</t>
        </is>
      </c>
      <c r="D102" s="29" t="inlineStr">
        <is>
          <t>Sedum</t>
        </is>
      </c>
      <c r="G102" s="53" t="n">
        <v>1</v>
      </c>
      <c r="I102" s="53" t="n">
        <v>0</v>
      </c>
      <c r="J102" s="56" t="n">
        <v>0</v>
      </c>
    </row>
    <row r="103" ht="14.5" customHeight="1">
      <c r="A103" s="53" t="n">
        <v>102</v>
      </c>
      <c r="B103" s="28" t="inlineStr">
        <is>
          <t>Sansevieria zeylanica</t>
        </is>
      </c>
      <c r="C103" s="28" t="inlineStr">
        <is>
          <t>Snake Long</t>
        </is>
      </c>
      <c r="D103" s="29" t="inlineStr">
        <is>
          <t>Sansevieria</t>
        </is>
      </c>
      <c r="G103" s="53" t="n">
        <v>0</v>
      </c>
      <c r="I103" s="53" t="n">
        <v>0</v>
      </c>
      <c r="J103" s="38" t="n">
        <v>1</v>
      </c>
    </row>
    <row r="104" ht="14.5" customHeight="1">
      <c r="A104" s="53" t="n">
        <v>103</v>
      </c>
      <c r="B104" s="28" t="inlineStr">
        <is>
          <t>blue chalksticks</t>
        </is>
      </c>
      <c r="C104" s="28" t="inlineStr">
        <is>
          <t>Blue stick</t>
        </is>
      </c>
      <c r="D104" s="29" t="inlineStr">
        <is>
          <t>Succulent</t>
        </is>
      </c>
      <c r="G104" s="53" t="n">
        <v>0</v>
      </c>
      <c r="I104" s="53" t="n">
        <v>0</v>
      </c>
      <c r="J104" s="56" t="n">
        <v>0</v>
      </c>
    </row>
    <row r="105" ht="14.5" customHeight="1">
      <c r="A105" s="53" t="n">
        <v>104</v>
      </c>
      <c r="B105" s="28" t="inlineStr">
        <is>
          <t>Christmas Cactus</t>
        </is>
      </c>
      <c r="C105" s="28" t="inlineStr">
        <is>
          <t>Christmas Cactus</t>
        </is>
      </c>
      <c r="D105" s="29" t="inlineStr">
        <is>
          <t>Cactus</t>
        </is>
      </c>
      <c r="G105" s="53" t="n">
        <v>0</v>
      </c>
      <c r="I105" s="53" t="n">
        <v>0</v>
      </c>
      <c r="J105" s="56" t="n">
        <v>0</v>
      </c>
    </row>
    <row r="106" ht="14.5" customHeight="1">
      <c r="A106" s="53" t="n">
        <v>105</v>
      </c>
      <c r="B106" s="28" t="inlineStr">
        <is>
          <t>Spyder plant/ iris</t>
        </is>
      </c>
      <c r="C106" s="28" t="inlineStr">
        <is>
          <t>Iris</t>
        </is>
      </c>
      <c r="D106" s="29" t="inlineStr">
        <is>
          <t>Others</t>
        </is>
      </c>
      <c r="G106" s="53" t="n">
        <v>0</v>
      </c>
      <c r="I106" s="53" t="n">
        <v>0</v>
      </c>
      <c r="J106" s="38" t="n">
        <v>0</v>
      </c>
    </row>
    <row r="107" ht="14.5" customHeight="1">
      <c r="A107" s="53" t="n">
        <v>106</v>
      </c>
      <c r="B107" s="28" t="inlineStr">
        <is>
          <t>Sansevieria Compacta Dwarf</t>
        </is>
      </c>
      <c r="C107" s="28" t="inlineStr">
        <is>
          <t>Snake Draft Long</t>
        </is>
      </c>
      <c r="D107" s="29" t="inlineStr">
        <is>
          <t>Sansevieria</t>
        </is>
      </c>
      <c r="G107" s="53" t="n">
        <v>0</v>
      </c>
      <c r="I107" s="53" t="n">
        <v>0</v>
      </c>
      <c r="J107" s="56" t="n">
        <v>1</v>
      </c>
    </row>
    <row r="108" ht="14.5" customHeight="1">
      <c r="A108" s="53" t="n">
        <v>107</v>
      </c>
      <c r="B108" s="28" t="inlineStr">
        <is>
          <t>Delosperma</t>
        </is>
      </c>
      <c r="C108" s="28" t="inlineStr">
        <is>
          <t>Rough Sedum</t>
        </is>
      </c>
      <c r="D108" s="29" t="inlineStr">
        <is>
          <t>Succulent</t>
        </is>
      </c>
      <c r="G108" s="53" t="n">
        <v>1</v>
      </c>
      <c r="I108" s="53" t="n">
        <v>0</v>
      </c>
      <c r="J108" s="56" t="n">
        <v>0</v>
      </c>
    </row>
    <row r="109" ht="14.5" customHeight="1">
      <c r="A109" s="53" t="n">
        <v>108</v>
      </c>
      <c r="B109" s="28" t="inlineStr">
        <is>
          <t>Jade plant (verigated)</t>
        </is>
      </c>
      <c r="C109" s="28" t="inlineStr">
        <is>
          <t>Jade Verigated</t>
        </is>
      </c>
      <c r="D109" s="29" t="inlineStr">
        <is>
          <t>Jade</t>
        </is>
      </c>
      <c r="G109" s="53" t="n">
        <v>0</v>
      </c>
      <c r="I109" s="53" t="n">
        <v>0</v>
      </c>
      <c r="J109" s="38" t="n">
        <v>0</v>
      </c>
    </row>
    <row r="110" ht="14.5" customHeight="1">
      <c r="A110" s="53" t="n">
        <v>109</v>
      </c>
      <c r="B110" s="28" t="inlineStr">
        <is>
          <t>Sedum Morganianum</t>
        </is>
      </c>
      <c r="C110" s="28" t="inlineStr">
        <is>
          <t>Donkey Tail</t>
        </is>
      </c>
      <c r="D110" s="29" t="inlineStr">
        <is>
          <t>Succulent</t>
        </is>
      </c>
      <c r="G110" s="53" t="n">
        <v>1</v>
      </c>
      <c r="I110" s="53" t="n">
        <v>0</v>
      </c>
      <c r="J110" s="56" t="n">
        <v>0</v>
      </c>
    </row>
    <row r="111" ht="14.5" customHeight="1">
      <c r="A111" s="53" t="n">
        <v>110</v>
      </c>
      <c r="B111" s="28" t="inlineStr">
        <is>
          <t>Super Donkey Tail</t>
        </is>
      </c>
      <c r="C111" s="28" t="inlineStr">
        <is>
          <t>Super Donkey Tail</t>
        </is>
      </c>
      <c r="D111" s="29" t="inlineStr">
        <is>
          <t>Succulent</t>
        </is>
      </c>
      <c r="G111" s="53" t="n">
        <v>0</v>
      </c>
      <c r="I111" s="53" t="n">
        <v>0</v>
      </c>
      <c r="J111" s="56" t="n">
        <v>0</v>
      </c>
    </row>
    <row r="112" ht="14.5" customHeight="1">
      <c r="A112" s="53" t="n">
        <v>111</v>
      </c>
      <c r="B112" s="28" t="inlineStr">
        <is>
          <t>String of tears</t>
        </is>
      </c>
      <c r="C112" s="28" t="inlineStr">
        <is>
          <t>String of tears</t>
        </is>
      </c>
      <c r="D112" s="29" t="inlineStr">
        <is>
          <t>Succulent</t>
        </is>
      </c>
      <c r="G112" s="53" t="n">
        <v>0</v>
      </c>
      <c r="I112" s="53" t="n">
        <v>0</v>
      </c>
      <c r="J112" s="38" t="n">
        <v>0</v>
      </c>
    </row>
    <row r="113" ht="14.5" customHeight="1">
      <c r="A113" s="53" t="n">
        <v>112</v>
      </c>
      <c r="B113" s="28" t="inlineStr">
        <is>
          <t>Crassula muscosa</t>
        </is>
      </c>
      <c r="C113" s="28" t="inlineStr">
        <is>
          <t>lizard's tail</t>
        </is>
      </c>
      <c r="D113" s="29" t="inlineStr">
        <is>
          <t>Crassula</t>
        </is>
      </c>
      <c r="G113" s="53" t="n">
        <v>0</v>
      </c>
      <c r="I113" s="53" t="n">
        <v>0</v>
      </c>
      <c r="J113" s="56" t="n">
        <v>0</v>
      </c>
    </row>
    <row r="114" ht="14.5" customHeight="1">
      <c r="A114" s="53" t="n">
        <v>113</v>
      </c>
      <c r="B114" s="28" t="inlineStr">
        <is>
          <t>Syngonium/golden yellow</t>
        </is>
      </c>
      <c r="C114" s="28" t="inlineStr">
        <is>
          <t>Syngonium yellow</t>
        </is>
      </c>
      <c r="D114" s="29" t="inlineStr">
        <is>
          <t>Others</t>
        </is>
      </c>
      <c r="G114" s="53" t="n">
        <v>0</v>
      </c>
      <c r="I114" s="53" t="n">
        <v>0</v>
      </c>
      <c r="J114" s="56" t="n">
        <v>0</v>
      </c>
    </row>
    <row r="115" ht="14.5" customHeight="1">
      <c r="A115" s="53" t="n">
        <v>114</v>
      </c>
      <c r="B115" s="28" t="inlineStr">
        <is>
          <t>Syngonium/golden green</t>
        </is>
      </c>
      <c r="C115" s="28" t="inlineStr">
        <is>
          <t>Syngonium green</t>
        </is>
      </c>
      <c r="D115" s="29" t="inlineStr">
        <is>
          <t>Others</t>
        </is>
      </c>
      <c r="G115" s="53" t="n">
        <v>0</v>
      </c>
      <c r="I115" s="53" t="n">
        <v>0</v>
      </c>
      <c r="J115" s="38" t="n">
        <v>0</v>
      </c>
    </row>
    <row r="116" ht="14.5" customHeight="1">
      <c r="A116" s="53" t="n">
        <v>115</v>
      </c>
      <c r="B116" s="28" t="inlineStr">
        <is>
          <t>Peace lily</t>
        </is>
      </c>
      <c r="C116" s="28" t="inlineStr">
        <is>
          <t>Peace lily</t>
        </is>
      </c>
      <c r="D116" s="29" t="inlineStr">
        <is>
          <t>Others</t>
        </is>
      </c>
      <c r="G116" s="53" t="n">
        <v>0</v>
      </c>
      <c r="I116" s="53" t="n">
        <v>0</v>
      </c>
      <c r="J116" s="56" t="n">
        <v>0</v>
      </c>
    </row>
    <row r="117" ht="14.5" customHeight="1">
      <c r="A117" s="53" t="n">
        <v>116</v>
      </c>
      <c r="B117" s="28" t="inlineStr">
        <is>
          <t>Aloe brown</t>
        </is>
      </c>
      <c r="C117" s="28" t="inlineStr">
        <is>
          <t>Aloe brown</t>
        </is>
      </c>
      <c r="D117" s="29" t="inlineStr">
        <is>
          <t>Aloe</t>
        </is>
      </c>
      <c r="G117" s="53" t="n">
        <v>0</v>
      </c>
      <c r="I117" s="53" t="n">
        <v>0</v>
      </c>
      <c r="J117" s="56" t="n">
        <v>1</v>
      </c>
    </row>
    <row r="118" ht="14.5" customHeight="1">
      <c r="A118" s="53" t="n">
        <v>117</v>
      </c>
      <c r="B118" s="28" t="inlineStr">
        <is>
          <t>Sedum rubrotinctum</t>
        </is>
      </c>
      <c r="C118" s="28" t="inlineStr">
        <is>
          <t>jelly bean</t>
        </is>
      </c>
      <c r="D118" s="29" t="inlineStr">
        <is>
          <t>Succulent</t>
        </is>
      </c>
      <c r="G118" s="53" t="n">
        <v>1</v>
      </c>
      <c r="I118" s="53" t="n">
        <v>0</v>
      </c>
      <c r="J118" s="38" t="n">
        <v>0</v>
      </c>
    </row>
    <row r="119" ht="14.5" customHeight="1">
      <c r="A119" s="53" t="n">
        <v>118</v>
      </c>
      <c r="B119" s="28" t="inlineStr">
        <is>
          <t>Lavandula lanata</t>
        </is>
      </c>
      <c r="C119" s="28" t="inlineStr">
        <is>
          <t>woolly lavender</t>
        </is>
      </c>
      <c r="D119" s="29" t="inlineStr">
        <is>
          <t>Succulent</t>
        </is>
      </c>
      <c r="G119" s="53" t="n">
        <v>0</v>
      </c>
      <c r="I119" s="53" t="n">
        <v>0</v>
      </c>
      <c r="J119" s="56" t="n">
        <v>0</v>
      </c>
    </row>
    <row r="120" ht="14.5" customHeight="1">
      <c r="A120" s="53" t="n">
        <v>119</v>
      </c>
      <c r="B120" s="28" t="inlineStr">
        <is>
          <t>African violet</t>
        </is>
      </c>
      <c r="C120" s="28" t="inlineStr">
        <is>
          <t>African violet</t>
        </is>
      </c>
      <c r="D120" s="29" t="inlineStr">
        <is>
          <t>Others</t>
        </is>
      </c>
      <c r="G120" s="53" t="n">
        <v>0</v>
      </c>
      <c r="I120" s="53" t="n">
        <v>0</v>
      </c>
      <c r="J120" s="56" t="n">
        <v>0</v>
      </c>
    </row>
    <row r="121" ht="14.5" customHeight="1">
      <c r="A121" s="53" t="n">
        <v>120</v>
      </c>
      <c r="B121" s="28" t="inlineStr">
        <is>
          <t>Peperomia obtusifolia variegated green</t>
        </is>
      </c>
      <c r="C121" s="28" t="inlineStr">
        <is>
          <t>Peperomia var green</t>
        </is>
      </c>
      <c r="D121" s="29" t="inlineStr">
        <is>
          <t>Peperomia</t>
        </is>
      </c>
      <c r="G121" s="53" t="n">
        <v>0</v>
      </c>
      <c r="I121" s="53" t="n">
        <v>0</v>
      </c>
      <c r="J121" s="38" t="n">
        <v>1</v>
      </c>
    </row>
    <row r="122" ht="14.5" customHeight="1">
      <c r="A122" s="53" t="n">
        <v>121</v>
      </c>
      <c r="B122" s="28" t="inlineStr">
        <is>
          <t>Peperomia obtusifolia/green</t>
        </is>
      </c>
      <c r="C122" s="28" t="inlineStr">
        <is>
          <t>Pep thick green</t>
        </is>
      </c>
      <c r="D122" s="29" t="inlineStr">
        <is>
          <t>Peperomia</t>
        </is>
      </c>
      <c r="G122" s="53" t="n">
        <v>0</v>
      </c>
      <c r="I122" s="53" t="n">
        <v>0</v>
      </c>
      <c r="J122" s="56" t="n">
        <v>1</v>
      </c>
    </row>
    <row r="123" ht="14.5" customHeight="1">
      <c r="A123" s="53" t="n">
        <v>122</v>
      </c>
      <c r="B123" s="28" t="inlineStr">
        <is>
          <t>Peperomia obtusifolia</t>
        </is>
      </c>
      <c r="C123" s="28" t="inlineStr">
        <is>
          <t>Pep thick green</t>
        </is>
      </c>
      <c r="D123" s="29" t="inlineStr">
        <is>
          <t>Peperomia</t>
        </is>
      </c>
      <c r="G123" s="53" t="n">
        <v>0</v>
      </c>
      <c r="I123" s="53" t="n">
        <v>0</v>
      </c>
      <c r="J123" s="56" t="n">
        <v>1</v>
      </c>
    </row>
    <row r="124" ht="14.5" customHeight="1">
      <c r="A124" s="53" t="n">
        <v>123</v>
      </c>
      <c r="B124" s="28" t="inlineStr">
        <is>
          <t>Peperomia obtusifolia variegated</t>
        </is>
      </c>
      <c r="C124" s="28" t="inlineStr">
        <is>
          <t>Pep thick var white</t>
        </is>
      </c>
      <c r="D124" s="29" t="inlineStr">
        <is>
          <t>Peperomia</t>
        </is>
      </c>
      <c r="G124" s="53" t="n">
        <v>0</v>
      </c>
      <c r="I124" s="53" t="n">
        <v>0</v>
      </c>
      <c r="J124" s="38" t="n">
        <v>1</v>
      </c>
    </row>
    <row r="125" ht="14.5" customHeight="1">
      <c r="A125" s="53" t="n">
        <v>124</v>
      </c>
      <c r="B125" s="28" t="inlineStr">
        <is>
          <t>Portulaka variegated</t>
        </is>
      </c>
      <c r="C125" s="28" t="inlineStr">
        <is>
          <t>Portulaka variegated</t>
        </is>
      </c>
      <c r="D125" s="29" t="inlineStr">
        <is>
          <t>Others</t>
        </is>
      </c>
      <c r="G125" s="53" t="n">
        <v>0</v>
      </c>
      <c r="I125" s="53" t="n">
        <v>0</v>
      </c>
      <c r="J125" s="56" t="n">
        <v>0</v>
      </c>
    </row>
    <row r="126" ht="14.5" customHeight="1">
      <c r="A126" s="53" t="n">
        <v>125</v>
      </c>
      <c r="B126" s="28" t="inlineStr">
        <is>
          <t>Turtle wine</t>
        </is>
      </c>
      <c r="C126" s="28" t="inlineStr">
        <is>
          <t>Turtle wine</t>
        </is>
      </c>
      <c r="D126" s="29" t="inlineStr">
        <is>
          <t>Sedum</t>
        </is>
      </c>
      <c r="G126" s="53" t="n">
        <v>1</v>
      </c>
      <c r="I126" s="53" t="n">
        <v>0</v>
      </c>
      <c r="J126" s="56" t="n">
        <v>0</v>
      </c>
    </row>
    <row r="127" ht="14.5" customHeight="1">
      <c r="A127" s="53" t="n">
        <v>126</v>
      </c>
      <c r="B127" s="28" t="inlineStr">
        <is>
          <t>Snake Draft Verigated</t>
        </is>
      </c>
      <c r="C127" s="28" t="inlineStr">
        <is>
          <t>Snake Draft Verigated</t>
        </is>
      </c>
      <c r="D127" s="29" t="inlineStr">
        <is>
          <t>Sansevieria</t>
        </is>
      </c>
      <c r="G127" s="53" t="n">
        <v>0</v>
      </c>
      <c r="I127" s="53" t="n">
        <v>0</v>
      </c>
      <c r="J127" s="38" t="n">
        <v>1</v>
      </c>
    </row>
    <row r="128" ht="14.5" customHeight="1">
      <c r="A128" s="53" t="n">
        <v>127</v>
      </c>
      <c r="B128" s="28" t="inlineStr">
        <is>
          <t>Aeonium Silver</t>
        </is>
      </c>
      <c r="C128" s="28" t="inlineStr">
        <is>
          <t>Aeonium Silver</t>
        </is>
      </c>
      <c r="D128" s="29" t="inlineStr">
        <is>
          <t>Succulent</t>
        </is>
      </c>
      <c r="G128" s="53" t="n">
        <v>0</v>
      </c>
      <c r="I128" s="53" t="n">
        <v>0</v>
      </c>
      <c r="J128" s="56" t="n">
        <v>0</v>
      </c>
    </row>
    <row r="129" ht="14.5" customHeight="1">
      <c r="A129" s="53" t="n">
        <v>128</v>
      </c>
      <c r="B129" s="28" t="inlineStr">
        <is>
          <t>Jellybean stonecrop</t>
        </is>
      </c>
      <c r="C129" s="28" t="inlineStr">
        <is>
          <t>Jellybean stonecrop</t>
        </is>
      </c>
      <c r="D129" s="29" t="inlineStr">
        <is>
          <t>Succulent</t>
        </is>
      </c>
      <c r="G129" s="53" t="n">
        <v>0</v>
      </c>
      <c r="I129" s="53" t="n">
        <v>0</v>
      </c>
      <c r="J129" s="56" t="n">
        <v>0</v>
      </c>
    </row>
    <row r="130" ht="14.5" customHeight="1">
      <c r="A130" s="53" t="n">
        <v>129</v>
      </c>
      <c r="B130" s="28" t="inlineStr">
        <is>
          <t>GraptoSedum</t>
        </is>
      </c>
      <c r="C130" s="28" t="inlineStr">
        <is>
          <t>Sun Sedum</t>
        </is>
      </c>
      <c r="D130" s="29" t="inlineStr">
        <is>
          <t>Succulent</t>
        </is>
      </c>
      <c r="G130" s="53" t="n">
        <v>0</v>
      </c>
      <c r="I130" s="53" t="n">
        <v>0</v>
      </c>
      <c r="J130" s="38" t="n">
        <v>0</v>
      </c>
    </row>
    <row r="131" ht="14.5" customHeight="1">
      <c r="A131" s="53" t="n">
        <v>130</v>
      </c>
      <c r="B131" s="28" t="inlineStr">
        <is>
          <t>Sedum crassulaceae</t>
        </is>
      </c>
      <c r="C131" s="28" t="inlineStr">
        <is>
          <t>Grey Sedum</t>
        </is>
      </c>
      <c r="D131" s="29" t="inlineStr">
        <is>
          <t>Sedum</t>
        </is>
      </c>
      <c r="G131" s="53" t="n">
        <v>1</v>
      </c>
      <c r="I131" s="53" t="n">
        <v>0</v>
      </c>
      <c r="J131" s="56" t="n">
        <v>0</v>
      </c>
    </row>
    <row r="132" ht="14.5" customHeight="1">
      <c r="A132" s="53" t="n">
        <v>131</v>
      </c>
      <c r="B132" s="28" t="inlineStr">
        <is>
          <t>Senecio barbertonicus</t>
        </is>
      </c>
      <c r="C132" s="28" t="inlineStr">
        <is>
          <t>Green Stick</t>
        </is>
      </c>
      <c r="D132" s="29" t="inlineStr">
        <is>
          <t>Succulent</t>
        </is>
      </c>
      <c r="G132" s="53" t="n">
        <v>0</v>
      </c>
      <c r="I132" s="53" t="n">
        <v>0</v>
      </c>
      <c r="J132" s="56" t="n">
        <v>0</v>
      </c>
    </row>
    <row r="133" ht="14.5" customHeight="1">
      <c r="A133" s="53" t="n">
        <v>132</v>
      </c>
      <c r="B133" s="28" t="inlineStr">
        <is>
          <t>heartleaf philodendron</t>
        </is>
      </c>
      <c r="C133" s="28" t="inlineStr">
        <is>
          <t>Heart Leaf</t>
        </is>
      </c>
      <c r="D133" s="29" t="inlineStr">
        <is>
          <t>Creeper</t>
        </is>
      </c>
      <c r="G133" s="53" t="n">
        <v>1</v>
      </c>
      <c r="I133" s="53" t="n">
        <v>0</v>
      </c>
      <c r="J133" s="38" t="n">
        <v>1</v>
      </c>
    </row>
    <row r="134" ht="14.5" customHeight="1">
      <c r="A134" s="53" t="n">
        <v>133</v>
      </c>
      <c r="B134" s="28" t="inlineStr">
        <is>
          <t>Gold moss</t>
        </is>
      </c>
      <c r="C134" s="28" t="inlineStr">
        <is>
          <t>Gold Moss</t>
        </is>
      </c>
      <c r="D134" s="29" t="inlineStr">
        <is>
          <t>Sedum</t>
        </is>
      </c>
      <c r="G134" s="53" t="n">
        <v>1</v>
      </c>
      <c r="I134" s="53" t="n">
        <v>0</v>
      </c>
      <c r="J134" s="56" t="n">
        <v>0</v>
      </c>
    </row>
    <row r="135" ht="14.5" customHeight="1">
      <c r="A135" s="53" t="n">
        <v>134</v>
      </c>
      <c r="B135" s="28" t="inlineStr">
        <is>
          <t>Sedum stonecrops</t>
        </is>
      </c>
      <c r="C135" s="28" t="inlineStr">
        <is>
          <t>Sedum stonecrops</t>
        </is>
      </c>
      <c r="D135" s="29" t="inlineStr">
        <is>
          <t>Sedum</t>
        </is>
      </c>
      <c r="G135" s="53" t="n">
        <v>1</v>
      </c>
      <c r="I135" s="53" t="n">
        <v>0</v>
      </c>
      <c r="J135" s="56" t="n">
        <v>0</v>
      </c>
    </row>
    <row r="136" ht="14.5" customHeight="1">
      <c r="A136" s="53" t="n">
        <v>135</v>
      </c>
      <c r="B136" s="28" t="inlineStr">
        <is>
          <t>Sedum Pachychyllum</t>
        </is>
      </c>
      <c r="C136" s="28" t="inlineStr">
        <is>
          <t>Fingure Succulent</t>
        </is>
      </c>
      <c r="D136" s="29" t="inlineStr">
        <is>
          <t>Succulent</t>
        </is>
      </c>
      <c r="G136" s="53" t="n">
        <v>0</v>
      </c>
      <c r="I136" s="53" t="n">
        <v>0</v>
      </c>
      <c r="J136" s="38" t="n">
        <v>0</v>
      </c>
    </row>
    <row r="137" ht="14.5" customHeight="1">
      <c r="A137" s="53" t="n">
        <v>136</v>
      </c>
      <c r="B137" s="28" t="inlineStr">
        <is>
          <t>Pilea cadierei</t>
        </is>
      </c>
      <c r="C137" s="28" t="inlineStr">
        <is>
          <t>Pilea</t>
        </is>
      </c>
      <c r="D137" s="29" t="inlineStr">
        <is>
          <t>Others</t>
        </is>
      </c>
      <c r="G137" s="53" t="n">
        <v>0</v>
      </c>
      <c r="I137" s="53" t="n">
        <v>0</v>
      </c>
      <c r="J137" s="56" t="n">
        <v>0</v>
      </c>
    </row>
    <row r="138" ht="14.5" customHeight="1">
      <c r="A138" s="53" t="n">
        <v>137</v>
      </c>
      <c r="B138" s="28" t="inlineStr">
        <is>
          <t>Sedum chamomile</t>
        </is>
      </c>
      <c r="C138" s="28" t="inlineStr">
        <is>
          <t>Grass Sedum</t>
        </is>
      </c>
      <c r="D138" s="29" t="inlineStr">
        <is>
          <t>Sedum</t>
        </is>
      </c>
      <c r="G138" s="53" t="n">
        <v>1</v>
      </c>
      <c r="I138" s="53" t="n">
        <v>0</v>
      </c>
      <c r="J138" s="56" t="n">
        <v>0</v>
      </c>
    </row>
    <row r="139" ht="14.5" customHeight="1">
      <c r="A139" s="53" t="n">
        <v>138</v>
      </c>
      <c r="B139" s="28" t="inlineStr">
        <is>
          <t>Cotyledon tomentosa</t>
        </is>
      </c>
      <c r="C139" s="28" t="inlineStr">
        <is>
          <t>bear's paw</t>
        </is>
      </c>
      <c r="D139" s="29" t="inlineStr">
        <is>
          <t>Succulent</t>
        </is>
      </c>
      <c r="G139" s="53" t="n">
        <v>0</v>
      </c>
      <c r="I139" s="53" t="n">
        <v>0</v>
      </c>
      <c r="J139" s="38" t="n">
        <v>0</v>
      </c>
    </row>
    <row r="140" ht="14.5" customHeight="1">
      <c r="A140" s="53" t="n">
        <v>139</v>
      </c>
      <c r="B140" s="28" t="inlineStr">
        <is>
          <t>string of hearts</t>
        </is>
      </c>
      <c r="C140" s="28" t="inlineStr">
        <is>
          <t>string of hearts</t>
        </is>
      </c>
      <c r="D140" s="29" t="inlineStr">
        <is>
          <t>Succulent</t>
        </is>
      </c>
      <c r="G140" s="53" t="n">
        <v>0</v>
      </c>
      <c r="I140" s="53" t="n">
        <v>0</v>
      </c>
      <c r="J140" s="56" t="n">
        <v>0</v>
      </c>
    </row>
    <row r="141" ht="14.5" customHeight="1">
      <c r="A141" s="53" t="n">
        <v>140</v>
      </c>
      <c r="B141" s="28" t="inlineStr">
        <is>
          <t>creeping Jade</t>
        </is>
      </c>
      <c r="C141" s="28" t="inlineStr">
        <is>
          <t>creeping Jade</t>
        </is>
      </c>
      <c r="D141" s="29" t="inlineStr">
        <is>
          <t>Jade</t>
        </is>
      </c>
      <c r="G141" s="53" t="n">
        <v>1</v>
      </c>
      <c r="I141" s="53" t="n">
        <v>0</v>
      </c>
      <c r="J141" s="56" t="n">
        <v>0</v>
      </c>
    </row>
    <row r="142" ht="14.5" customHeight="1">
      <c r="A142" s="53" t="n">
        <v>141</v>
      </c>
      <c r="B142" s="28" t="inlineStr">
        <is>
          <t>Graptopetalum</t>
        </is>
      </c>
      <c r="C142" s="28" t="inlineStr">
        <is>
          <t>white Sedum</t>
        </is>
      </c>
      <c r="D142" s="29" t="inlineStr">
        <is>
          <t>Succulent</t>
        </is>
      </c>
      <c r="G142" s="53" t="n">
        <v>0</v>
      </c>
      <c r="I142" s="53" t="n">
        <v>0</v>
      </c>
      <c r="J142" s="38" t="n">
        <v>0</v>
      </c>
    </row>
    <row r="143" ht="14.5" customHeight="1">
      <c r="A143" s="53" t="n">
        <v>142</v>
      </c>
      <c r="B143" s="28" t="inlineStr">
        <is>
          <t>Sedum nussbaumerianum</t>
        </is>
      </c>
      <c r="C143" s="28" t="inlineStr">
        <is>
          <t>yellow sun</t>
        </is>
      </c>
      <c r="D143" s="29" t="inlineStr">
        <is>
          <t>Succulent</t>
        </is>
      </c>
      <c r="G143" s="53" t="n">
        <v>0</v>
      </c>
      <c r="I143" s="53" t="n">
        <v>0</v>
      </c>
      <c r="J143" s="56" t="n">
        <v>0</v>
      </c>
    </row>
    <row r="144" ht="14.5" customHeight="1">
      <c r="A144" s="53" t="n">
        <v>143</v>
      </c>
      <c r="B144" s="28" t="inlineStr">
        <is>
          <t>Graptopetalum paraguayense</t>
        </is>
      </c>
      <c r="C144" s="28" t="inlineStr">
        <is>
          <t>Ghost plant</t>
        </is>
      </c>
      <c r="D144" s="29" t="inlineStr">
        <is>
          <t>Succulent</t>
        </is>
      </c>
      <c r="G144" s="53" t="n">
        <v>0</v>
      </c>
      <c r="I144" s="53" t="n">
        <v>0</v>
      </c>
      <c r="J144" s="56" t="n">
        <v>0</v>
      </c>
    </row>
    <row r="145" ht="14.5" customHeight="1">
      <c r="A145" s="53" t="n">
        <v>144</v>
      </c>
      <c r="B145" s="28" t="inlineStr">
        <is>
          <t>Aloe Camperi</t>
        </is>
      </c>
      <c r="C145" s="28" t="inlineStr">
        <is>
          <t>Purple Aloe</t>
        </is>
      </c>
      <c r="D145" s="29" t="inlineStr">
        <is>
          <t>Aloe</t>
        </is>
      </c>
      <c r="G145" s="53" t="n">
        <v>0</v>
      </c>
      <c r="I145" s="53" t="n">
        <v>0</v>
      </c>
      <c r="J145" s="38" t="n">
        <v>1</v>
      </c>
    </row>
    <row r="146" ht="14.5" customHeight="1">
      <c r="A146" s="53" t="n">
        <v>145</v>
      </c>
      <c r="B146" s="28" t="inlineStr">
        <is>
          <t>Gasteria Bicolor Liliputana</t>
        </is>
      </c>
      <c r="C146" s="28" t="inlineStr">
        <is>
          <t>Miniature Aloe</t>
        </is>
      </c>
      <c r="D146" s="29" t="inlineStr">
        <is>
          <t>Aloe</t>
        </is>
      </c>
      <c r="G146" s="53" t="n">
        <v>0</v>
      </c>
      <c r="I146" s="53" t="n">
        <v>0</v>
      </c>
      <c r="J146" s="56" t="n">
        <v>1</v>
      </c>
    </row>
    <row r="147" ht="14.5" customHeight="1">
      <c r="A147" s="53" t="n">
        <v>146</v>
      </c>
      <c r="B147" s="28" t="inlineStr">
        <is>
          <t>Crassula ovata verigated</t>
        </is>
      </c>
      <c r="C147" s="28" t="inlineStr">
        <is>
          <t>Tricolour Jade</t>
        </is>
      </c>
      <c r="D147" s="29" t="inlineStr">
        <is>
          <t>Jade</t>
        </is>
      </c>
      <c r="G147" s="53" t="n">
        <v>0</v>
      </c>
      <c r="I147" s="53" t="n">
        <v>0</v>
      </c>
      <c r="J147" s="56" t="n">
        <v>0</v>
      </c>
    </row>
    <row r="148" ht="14.5" customHeight="1">
      <c r="A148" s="53" t="n">
        <v>147</v>
      </c>
      <c r="B148" s="28" t="inlineStr">
        <is>
          <t>Crassula ovata</t>
        </is>
      </c>
      <c r="C148" s="28" t="inlineStr">
        <is>
          <t>Jade big leaf</t>
        </is>
      </c>
      <c r="D148" s="29" t="inlineStr">
        <is>
          <t>Jade</t>
        </is>
      </c>
      <c r="G148" s="53" t="n">
        <v>0</v>
      </c>
      <c r="I148" s="53" t="n">
        <v>0</v>
      </c>
      <c r="J148" s="38" t="n">
        <v>1</v>
      </c>
    </row>
    <row r="149" ht="14.5" customHeight="1">
      <c r="A149" s="53" t="n">
        <v>148</v>
      </c>
      <c r="B149" s="28" t="inlineStr">
        <is>
          <t>Hedera rhombea</t>
        </is>
      </c>
      <c r="C149" s="28" t="inlineStr">
        <is>
          <t>Common ivy</t>
        </is>
      </c>
      <c r="D149" s="29" t="inlineStr">
        <is>
          <t>Creeper</t>
        </is>
      </c>
      <c r="G149" s="53" t="n">
        <v>1</v>
      </c>
      <c r="I149" s="53" t="n">
        <v>0</v>
      </c>
      <c r="J149" s="56" t="n">
        <v>1</v>
      </c>
    </row>
    <row r="150" ht="14.5" customHeight="1">
      <c r="A150" s="53" t="n">
        <v>149</v>
      </c>
      <c r="B150" s="28" t="inlineStr">
        <is>
          <t>Hedera helix</t>
        </is>
      </c>
      <c r="C150" s="28" t="inlineStr">
        <is>
          <t>English ivy Green</t>
        </is>
      </c>
      <c r="D150" s="29" t="inlineStr">
        <is>
          <t>Creeper</t>
        </is>
      </c>
      <c r="G150" s="53" t="n">
        <v>1</v>
      </c>
      <c r="I150" s="53" t="n">
        <v>0</v>
      </c>
      <c r="J150" s="56" t="n">
        <v>1</v>
      </c>
    </row>
    <row r="151" ht="14.5" customHeight="1">
      <c r="A151" s="53" t="n">
        <v>150</v>
      </c>
      <c r="B151" s="28" t="inlineStr">
        <is>
          <t>Alligator plant</t>
        </is>
      </c>
      <c r="C151" s="28" t="inlineStr">
        <is>
          <t>mother of thousands</t>
        </is>
      </c>
      <c r="D151" s="29" t="inlineStr">
        <is>
          <t>Succulent</t>
        </is>
      </c>
      <c r="G151" s="53" t="n">
        <v>0</v>
      </c>
      <c r="I151" s="53" t="n">
        <v>0</v>
      </c>
      <c r="J151" s="38" t="n">
        <v>0</v>
      </c>
    </row>
    <row r="152" ht="14.5" customHeight="1">
      <c r="A152" s="53" t="n">
        <v>151</v>
      </c>
      <c r="B152" s="28" t="inlineStr">
        <is>
          <t>Peperomia caperata/ green</t>
        </is>
      </c>
      <c r="C152" s="28" t="inlineStr">
        <is>
          <t>Pepromia Grey</t>
        </is>
      </c>
      <c r="D152" s="29" t="inlineStr">
        <is>
          <t>Peperomia</t>
        </is>
      </c>
      <c r="G152" s="53" t="n">
        <v>0</v>
      </c>
      <c r="I152" s="53" t="n">
        <v>0</v>
      </c>
      <c r="J152" s="56" t="n">
        <v>1</v>
      </c>
    </row>
    <row r="153" ht="14.5" customHeight="1">
      <c r="A153" s="53" t="n">
        <v>152</v>
      </c>
      <c r="B153" s="28" t="inlineStr">
        <is>
          <t>Ophiopogon japonicus</t>
        </is>
      </c>
      <c r="C153" s="28" t="inlineStr">
        <is>
          <t>lilyturf</t>
        </is>
      </c>
      <c r="D153" s="29" t="inlineStr">
        <is>
          <t>Others</t>
        </is>
      </c>
      <c r="G153" s="53" t="n">
        <v>0</v>
      </c>
      <c r="I153" s="53" t="n">
        <v>0</v>
      </c>
      <c r="J153" s="56" t="n">
        <v>0</v>
      </c>
    </row>
    <row r="154" ht="14.5" customHeight="1">
      <c r="A154" s="53" t="n">
        <v>153</v>
      </c>
      <c r="B154" s="28" t="inlineStr">
        <is>
          <t>Aeonium arboreum/verigated</t>
        </is>
      </c>
      <c r="C154" s="28" t="inlineStr">
        <is>
          <t>Aeonium Verigated</t>
        </is>
      </c>
      <c r="D154" s="29" t="inlineStr">
        <is>
          <t>Succulent</t>
        </is>
      </c>
      <c r="G154" s="53" t="n">
        <v>0</v>
      </c>
      <c r="I154" s="53" t="n">
        <v>0</v>
      </c>
      <c r="J154" s="38" t="n">
        <v>0</v>
      </c>
    </row>
    <row r="155" ht="14.5" customHeight="1">
      <c r="A155" s="53" t="n">
        <v>154</v>
      </c>
      <c r="B155" s="28" t="inlineStr">
        <is>
          <t>Peperomia rubella</t>
        </is>
      </c>
      <c r="C155" s="28" t="inlineStr">
        <is>
          <t>pep small leaf</t>
        </is>
      </c>
      <c r="D155" s="29" t="inlineStr">
        <is>
          <t>Peperomia</t>
        </is>
      </c>
      <c r="G155" s="53" t="n">
        <v>0</v>
      </c>
      <c r="I155" s="53" t="n">
        <v>0</v>
      </c>
      <c r="J155" s="56" t="n">
        <v>1</v>
      </c>
    </row>
    <row r="156" ht="14.5" customHeight="1">
      <c r="A156" s="53" t="n">
        <v>155</v>
      </c>
      <c r="B156" s="28" t="inlineStr">
        <is>
          <t>Rebutia</t>
        </is>
      </c>
      <c r="C156" s="28" t="inlineStr">
        <is>
          <t>Ball yellow Flower</t>
        </is>
      </c>
      <c r="D156" s="29" t="inlineStr">
        <is>
          <t>Cactus</t>
        </is>
      </c>
      <c r="G156" s="53" t="n">
        <v>0</v>
      </c>
      <c r="I156" s="53" t="n">
        <v>0</v>
      </c>
      <c r="J156" s="56" t="n">
        <v>0</v>
      </c>
    </row>
    <row r="157" ht="14.5" customHeight="1">
      <c r="A157" s="53" t="n">
        <v>156</v>
      </c>
      <c r="B157" s="28" t="inlineStr">
        <is>
          <t>Echeveria prolifica</t>
        </is>
      </c>
      <c r="C157" s="28" t="inlineStr">
        <is>
          <t>Close Fingure</t>
        </is>
      </c>
      <c r="D157" s="9" t="inlineStr">
        <is>
          <t>Echeveria</t>
        </is>
      </c>
      <c r="G157" s="53" t="n">
        <v>0</v>
      </c>
      <c r="I157" s="53" t="n">
        <v>0</v>
      </c>
      <c r="J157" s="38" t="n">
        <v>0</v>
      </c>
    </row>
    <row r="158" ht="14.5" customHeight="1">
      <c r="A158" s="53" t="n">
        <v>157</v>
      </c>
      <c r="B158" s="28" t="inlineStr">
        <is>
          <t>Kalanchoe daigremontiana</t>
        </is>
      </c>
      <c r="C158" s="28" t="inlineStr">
        <is>
          <t>devil's backbone</t>
        </is>
      </c>
      <c r="D158" s="29" t="inlineStr">
        <is>
          <t>Succulent</t>
        </is>
      </c>
      <c r="G158" s="53" t="n">
        <v>0</v>
      </c>
      <c r="I158" s="53" t="n">
        <v>0</v>
      </c>
      <c r="J158" s="56" t="n">
        <v>0</v>
      </c>
    </row>
    <row r="159" ht="14.5" customHeight="1">
      <c r="A159" s="53" t="n">
        <v>158</v>
      </c>
      <c r="B159" s="28" t="inlineStr">
        <is>
          <t>Aeonium haworthii</t>
        </is>
      </c>
      <c r="C159" s="28" t="inlineStr">
        <is>
          <t>Aeonium Draft</t>
        </is>
      </c>
      <c r="D159" s="29" t="inlineStr">
        <is>
          <t>Succulent</t>
        </is>
      </c>
      <c r="G159" s="53" t="n">
        <v>0</v>
      </c>
      <c r="I159" s="53" t="n">
        <v>0</v>
      </c>
      <c r="J159" s="56" t="n">
        <v>0</v>
      </c>
    </row>
    <row r="160" ht="14.5" customHeight="1">
      <c r="A160" s="53" t="n">
        <v>159</v>
      </c>
      <c r="B160" s="28" t="inlineStr">
        <is>
          <t>Red Tip (Big)</t>
        </is>
      </c>
      <c r="C160" s="28" t="inlineStr">
        <is>
          <t>Red Tip (Big)</t>
        </is>
      </c>
      <c r="D160" s="29" t="inlineStr">
        <is>
          <t>Succulent</t>
        </is>
      </c>
      <c r="G160" s="53" t="n">
        <v>0</v>
      </c>
      <c r="I160" s="53" t="n">
        <v>1</v>
      </c>
      <c r="J160" s="38" t="n">
        <v>0</v>
      </c>
    </row>
    <row r="161" ht="14.5" customHeight="1">
      <c r="A161" s="53" t="n">
        <v>160</v>
      </c>
      <c r="B161" s="28" t="inlineStr">
        <is>
          <t>Echeviria (Big)</t>
        </is>
      </c>
      <c r="C161" s="28" t="inlineStr">
        <is>
          <t>Echeviria (Big)</t>
        </is>
      </c>
      <c r="D161" s="29" t="inlineStr">
        <is>
          <t>Succulent</t>
        </is>
      </c>
      <c r="G161" s="53" t="n">
        <v>0</v>
      </c>
      <c r="I161" s="53" t="n">
        <v>1</v>
      </c>
      <c r="J161" s="56" t="n">
        <v>0</v>
      </c>
    </row>
    <row r="162" ht="14.5" customHeight="1">
      <c r="A162" s="53" t="n">
        <v>161</v>
      </c>
      <c r="B162" s="28" t="inlineStr">
        <is>
          <t>portulaka green</t>
        </is>
      </c>
      <c r="C162" s="28" t="inlineStr">
        <is>
          <t>portulaka(green)</t>
        </is>
      </c>
      <c r="D162" s="29" t="inlineStr">
        <is>
          <t>Others</t>
        </is>
      </c>
      <c r="G162" s="53" t="n">
        <v>0</v>
      </c>
      <c r="I162" s="53" t="n">
        <v>0</v>
      </c>
      <c r="J162" s="56" t="n">
        <v>0</v>
      </c>
    </row>
    <row r="163" ht="14.5" customHeight="1">
      <c r="A163" s="53" t="n">
        <v>162</v>
      </c>
      <c r="B163" s="28" t="inlineStr">
        <is>
          <t>Sedum Lizard</t>
        </is>
      </c>
      <c r="C163" s="28" t="inlineStr">
        <is>
          <t>needle Sedum</t>
        </is>
      </c>
      <c r="D163" s="29" t="inlineStr">
        <is>
          <t>Sedum</t>
        </is>
      </c>
      <c r="G163" s="53" t="n">
        <v>1</v>
      </c>
      <c r="I163" s="53" t="n">
        <v>0</v>
      </c>
      <c r="J163" s="38" t="n">
        <v>0</v>
      </c>
    </row>
    <row r="164" ht="14.5" customHeight="1">
      <c r="A164" s="53" t="n">
        <v>163</v>
      </c>
      <c r="B164" s="28" t="inlineStr">
        <is>
          <t>Echeveria Shaviana</t>
        </is>
      </c>
      <c r="C164" s="28" t="inlineStr">
        <is>
          <t>Echeveria cabbage</t>
        </is>
      </c>
      <c r="D164" s="9" t="inlineStr">
        <is>
          <t>Echeveria</t>
        </is>
      </c>
      <c r="G164" s="53" t="n">
        <v>0</v>
      </c>
      <c r="I164" s="53" t="n">
        <v>0</v>
      </c>
      <c r="J164" s="56" t="n">
        <v>0</v>
      </c>
    </row>
    <row r="165" ht="14.5" customHeight="1">
      <c r="A165" s="53" t="n">
        <v>164</v>
      </c>
      <c r="B165" s="28" t="inlineStr">
        <is>
          <t>Lenophyllum</t>
        </is>
      </c>
      <c r="C165" s="28" t="inlineStr">
        <is>
          <t>Pink Sedum</t>
        </is>
      </c>
      <c r="D165" s="29" t="inlineStr">
        <is>
          <t>Succulent</t>
        </is>
      </c>
      <c r="G165" s="53" t="n">
        <v>0</v>
      </c>
      <c r="I165" s="53" t="n">
        <v>0</v>
      </c>
      <c r="J165" s="56" t="n">
        <v>0</v>
      </c>
    </row>
    <row r="166" ht="14.5" customHeight="1">
      <c r="A166" s="53" t="n">
        <v>165</v>
      </c>
      <c r="B166" s="28" t="inlineStr">
        <is>
          <t>String of Dolphin</t>
        </is>
      </c>
      <c r="C166" s="28" t="inlineStr">
        <is>
          <t>String of Dolphin</t>
        </is>
      </c>
      <c r="D166" s="29" t="inlineStr">
        <is>
          <t>Succulent</t>
        </is>
      </c>
      <c r="G166" s="53" t="n">
        <v>0</v>
      </c>
      <c r="I166" s="53" t="n">
        <v>0</v>
      </c>
      <c r="J166" s="38" t="n">
        <v>0</v>
      </c>
    </row>
    <row r="167" ht="14.5" customHeight="1">
      <c r="A167" s="53" t="n">
        <v>166</v>
      </c>
      <c r="B167" s="28" t="inlineStr">
        <is>
          <t>Echeveria melaco</t>
        </is>
      </c>
      <c r="C167" s="28" t="inlineStr">
        <is>
          <t>brown echeveria</t>
        </is>
      </c>
      <c r="D167" s="9" t="inlineStr">
        <is>
          <t>Echeveria</t>
        </is>
      </c>
      <c r="G167" s="53" t="n">
        <v>0</v>
      </c>
      <c r="I167" s="53" t="n">
        <v>0</v>
      </c>
      <c r="J167" s="56" t="n">
        <v>0</v>
      </c>
    </row>
    <row r="168" ht="14.5" customHeight="1">
      <c r="A168" s="53" t="n">
        <v>167</v>
      </c>
      <c r="B168" s="28" t="inlineStr">
        <is>
          <t>Baby sun flower</t>
        </is>
      </c>
      <c r="C168" s="28" t="inlineStr">
        <is>
          <t>Baby sun flower</t>
        </is>
      </c>
      <c r="D168" s="29" t="inlineStr">
        <is>
          <t>Others</t>
        </is>
      </c>
      <c r="G168" s="53" t="n">
        <v>0</v>
      </c>
      <c r="I168" s="53" t="n">
        <v>0</v>
      </c>
      <c r="J168" s="56" t="n">
        <v>0</v>
      </c>
    </row>
    <row r="169" ht="14.5" customHeight="1">
      <c r="A169" s="53" t="n">
        <v>168</v>
      </c>
      <c r="B169" s="28" t="inlineStr">
        <is>
          <t>kalanchoe marnieriane</t>
        </is>
      </c>
      <c r="C169" s="28" t="inlineStr">
        <is>
          <t>doller colour</t>
        </is>
      </c>
      <c r="D169" s="29" t="inlineStr">
        <is>
          <t>Succulent</t>
        </is>
      </c>
      <c r="G169" s="53" t="n">
        <v>0</v>
      </c>
      <c r="I169" s="53" t="n">
        <v>0</v>
      </c>
      <c r="J169" s="38" t="n">
        <v>0</v>
      </c>
    </row>
    <row r="170" ht="14.5" customHeight="1">
      <c r="A170" s="53" t="n">
        <v>169</v>
      </c>
      <c r="B170" s="28" t="inlineStr">
        <is>
          <t>Kalanchoe panamensis</t>
        </is>
      </c>
      <c r="C170" s="28" t="inlineStr">
        <is>
          <t>doller</t>
        </is>
      </c>
      <c r="D170" s="29" t="inlineStr">
        <is>
          <t>Succulent</t>
        </is>
      </c>
      <c r="G170" s="53" t="n">
        <v>0</v>
      </c>
      <c r="I170" s="53" t="n">
        <v>0</v>
      </c>
      <c r="J170" s="56" t="n">
        <v>0</v>
      </c>
    </row>
    <row r="171" ht="14.5" customHeight="1">
      <c r="A171" s="53" t="n">
        <v>170</v>
      </c>
      <c r="B171" s="28" t="inlineStr">
        <is>
          <t>Rose Cactus</t>
        </is>
      </c>
      <c r="C171" s="28" t="inlineStr">
        <is>
          <t>Rose Cactus</t>
        </is>
      </c>
      <c r="D171" s="29" t="inlineStr">
        <is>
          <t>Succulent</t>
        </is>
      </c>
      <c r="G171" s="53" t="n">
        <v>0</v>
      </c>
      <c r="I171" s="53" t="n">
        <v>0</v>
      </c>
      <c r="J171" s="56" t="n">
        <v>0</v>
      </c>
    </row>
    <row r="172" ht="14.5" customHeight="1">
      <c r="A172" s="53" t="n">
        <v>171</v>
      </c>
      <c r="B172" s="28" t="inlineStr">
        <is>
          <t>Corsican stonecrop</t>
        </is>
      </c>
      <c r="C172" s="28" t="inlineStr">
        <is>
          <t>thick-leaved Sedum</t>
        </is>
      </c>
      <c r="D172" s="29" t="inlineStr">
        <is>
          <t>Sedum</t>
        </is>
      </c>
      <c r="G172" s="53" t="n">
        <v>1</v>
      </c>
      <c r="I172" s="53" t="n">
        <v>0</v>
      </c>
      <c r="J172" s="38" t="n">
        <v>0</v>
      </c>
    </row>
    <row r="173" ht="14.5" customHeight="1">
      <c r="A173" s="53" t="n">
        <v>172</v>
      </c>
      <c r="B173" s="28" t="inlineStr">
        <is>
          <t>Pigmyweeds</t>
        </is>
      </c>
      <c r="C173" s="28" t="inlineStr">
        <is>
          <t>green-pink Sedum</t>
        </is>
      </c>
      <c r="D173" s="29" t="inlineStr">
        <is>
          <t>Succulent</t>
        </is>
      </c>
      <c r="G173" s="53" t="n">
        <v>0</v>
      </c>
      <c r="I173" s="53" t="n">
        <v>0</v>
      </c>
      <c r="J173" s="56" t="n">
        <v>0</v>
      </c>
    </row>
    <row r="174" ht="14.5" customHeight="1">
      <c r="A174" s="53" t="n">
        <v>173</v>
      </c>
      <c r="B174" s="28" t="inlineStr">
        <is>
          <t>Echinopsis tubiflora</t>
        </is>
      </c>
      <c r="C174" s="28" t="inlineStr">
        <is>
          <t>Cactus daddy</t>
        </is>
      </c>
      <c r="D174" s="29" t="inlineStr">
        <is>
          <t>Cactus</t>
        </is>
      </c>
      <c r="G174" s="53" t="n">
        <v>0</v>
      </c>
      <c r="I174" s="53" t="n">
        <v>0</v>
      </c>
      <c r="J174" s="56" t="n">
        <v>0</v>
      </c>
    </row>
    <row r="175" ht="14.5" customHeight="1">
      <c r="A175" s="53" t="n">
        <v>174</v>
      </c>
      <c r="B175" s="28" t="inlineStr">
        <is>
          <t>Kalanchoe thyrsiflora</t>
        </is>
      </c>
      <c r="C175" s="28" t="inlineStr">
        <is>
          <t>flapjacks</t>
        </is>
      </c>
      <c r="D175" s="29" t="inlineStr">
        <is>
          <t>Succulent</t>
        </is>
      </c>
      <c r="G175" s="53" t="n">
        <v>0</v>
      </c>
      <c r="I175" s="53" t="n">
        <v>0</v>
      </c>
      <c r="J175" s="38" t="n">
        <v>0</v>
      </c>
    </row>
    <row r="176" ht="14.5" customHeight="1">
      <c r="A176" s="53" t="n">
        <v>175</v>
      </c>
      <c r="B176" s="28" t="inlineStr">
        <is>
          <t>Tradescantia sillamontana</t>
        </is>
      </c>
      <c r="C176" s="28" t="inlineStr">
        <is>
          <t>cotton</t>
        </is>
      </c>
      <c r="D176" s="29" t="inlineStr">
        <is>
          <t>Succulent</t>
        </is>
      </c>
      <c r="G176" s="53" t="n">
        <v>0</v>
      </c>
      <c r="I176" s="53" t="n">
        <v>0</v>
      </c>
      <c r="J176" s="56" t="n">
        <v>0</v>
      </c>
    </row>
    <row r="177" ht="14.5" customHeight="1">
      <c r="A177" s="53" t="n">
        <v>176</v>
      </c>
      <c r="B177" s="31" t="inlineStr">
        <is>
          <t>Syngonium podophyllum</t>
        </is>
      </c>
      <c r="C177" s="31" t="inlineStr">
        <is>
          <t>arrowhead plant</t>
        </is>
      </c>
      <c r="D177" s="29" t="inlineStr">
        <is>
          <t>Others</t>
        </is>
      </c>
      <c r="G177" s="53" t="n">
        <v>0</v>
      </c>
      <c r="I177" s="53" t="n">
        <v>0</v>
      </c>
      <c r="J177" s="56" t="n">
        <v>0</v>
      </c>
    </row>
    <row r="178" ht="14.5" customHeight="1">
      <c r="A178" s="53" t="n">
        <v>177</v>
      </c>
      <c r="B178" s="28" t="inlineStr">
        <is>
          <t>Crassula tetragona (Big)</t>
        </is>
      </c>
      <c r="C178" s="28" t="inlineStr">
        <is>
          <t>Cone Tree (Big)</t>
        </is>
      </c>
      <c r="D178" s="29" t="inlineStr">
        <is>
          <t>Crassula</t>
        </is>
      </c>
      <c r="G178" s="53" t="n">
        <v>0</v>
      </c>
      <c r="I178" s="53" t="n">
        <v>1</v>
      </c>
      <c r="J178" s="38" t="n">
        <v>0</v>
      </c>
    </row>
    <row r="179" ht="14.5" customHeight="1">
      <c r="A179" s="53" t="n">
        <v>178</v>
      </c>
      <c r="B179" s="28" t="inlineStr">
        <is>
          <t>Opuntia Monacantha (Big)</t>
        </is>
      </c>
      <c r="C179" s="28" t="inlineStr">
        <is>
          <t>Tree Cactus (Big)</t>
        </is>
      </c>
      <c r="D179" s="29" t="inlineStr">
        <is>
          <t>Cactus</t>
        </is>
      </c>
      <c r="G179" s="53" t="n">
        <v>0</v>
      </c>
      <c r="I179" s="53" t="n">
        <v>1</v>
      </c>
      <c r="J179" s="56" t="n">
        <v>0</v>
      </c>
    </row>
    <row r="180" ht="14.5" customHeight="1">
      <c r="A180" s="53" t="n">
        <v>179</v>
      </c>
      <c r="B180" s="28" t="inlineStr">
        <is>
          <t>Crassula ovata (Big)</t>
        </is>
      </c>
      <c r="C180" s="28" t="inlineStr">
        <is>
          <t>Jade (Big)</t>
        </is>
      </c>
      <c r="D180" s="29" t="inlineStr">
        <is>
          <t>Jade</t>
        </is>
      </c>
      <c r="G180" s="53" t="n">
        <v>0</v>
      </c>
      <c r="I180" s="53" t="n">
        <v>1</v>
      </c>
      <c r="J180" s="56" t="n">
        <v>1</v>
      </c>
    </row>
    <row r="181" ht="14.5" customHeight="1">
      <c r="A181" s="53" t="n">
        <v>180</v>
      </c>
      <c r="B181" s="28" t="inlineStr">
        <is>
          <t>Sedum Pachychyllum (Big)</t>
        </is>
      </c>
      <c r="C181" s="28" t="inlineStr">
        <is>
          <t>Fingure Succulent (Big)</t>
        </is>
      </c>
      <c r="D181" s="29" t="inlineStr">
        <is>
          <t>Succulent</t>
        </is>
      </c>
      <c r="G181" s="53" t="n">
        <v>0</v>
      </c>
      <c r="I181" s="53" t="n">
        <v>1</v>
      </c>
      <c r="J181" s="38" t="n">
        <v>0</v>
      </c>
    </row>
    <row r="182" ht="14.5" customHeight="1">
      <c r="A182" s="53" t="n">
        <v>181</v>
      </c>
      <c r="B182" s="28" t="inlineStr">
        <is>
          <t>GraptoSedum (Big)</t>
        </is>
      </c>
      <c r="C182" s="28" t="inlineStr">
        <is>
          <t>Sun Sedum (Big)</t>
        </is>
      </c>
      <c r="D182" s="29" t="inlineStr">
        <is>
          <t>Succulent</t>
        </is>
      </c>
      <c r="G182" s="53" t="n">
        <v>0</v>
      </c>
      <c r="I182" s="53" t="n">
        <v>1</v>
      </c>
      <c r="J182" s="56" t="n">
        <v>0</v>
      </c>
    </row>
    <row r="183" ht="14.5" customHeight="1">
      <c r="A183" s="53" t="n">
        <v>182</v>
      </c>
      <c r="B183" s="28" t="inlineStr">
        <is>
          <t>Sedum rubrotinctum (Big)</t>
        </is>
      </c>
      <c r="C183" s="28" t="inlineStr">
        <is>
          <t>jelly bean (Big)</t>
        </is>
      </c>
      <c r="D183" s="29" t="inlineStr">
        <is>
          <t>Succulent</t>
        </is>
      </c>
      <c r="G183" s="53" t="n">
        <v>0</v>
      </c>
      <c r="I183" s="53" t="n">
        <v>1</v>
      </c>
      <c r="J183" s="56" t="n">
        <v>0</v>
      </c>
    </row>
    <row r="184" ht="14.5" customHeight="1">
      <c r="A184" s="53" t="n">
        <v>183</v>
      </c>
      <c r="B184" s="28" t="inlineStr">
        <is>
          <t>Sedum nussbaumerianum (Big)</t>
        </is>
      </c>
      <c r="C184" s="28" t="inlineStr">
        <is>
          <t>yellow sun (Big)</t>
        </is>
      </c>
      <c r="D184" s="29" t="inlineStr">
        <is>
          <t>Succulent</t>
        </is>
      </c>
      <c r="G184" s="53" t="n">
        <v>0</v>
      </c>
      <c r="I184" s="53" t="n">
        <v>1</v>
      </c>
      <c r="J184" s="38" t="n">
        <v>0</v>
      </c>
    </row>
    <row r="185" ht="14.5" customHeight="1">
      <c r="A185" s="53" t="n">
        <v>184</v>
      </c>
      <c r="B185" s="28" t="inlineStr">
        <is>
          <t>Echeveria Gilwa (Big)</t>
        </is>
      </c>
      <c r="C185" s="32" t="inlineStr">
        <is>
          <t>Black Prince (Big)</t>
        </is>
      </c>
      <c r="D185" s="9" t="inlineStr">
        <is>
          <t>Echeveria</t>
        </is>
      </c>
      <c r="G185" s="53" t="n">
        <v>0</v>
      </c>
      <c r="I185" s="53" t="n">
        <v>1</v>
      </c>
      <c r="J185" s="56" t="n">
        <v>0</v>
      </c>
    </row>
    <row r="186" ht="14.5" customHeight="1">
      <c r="A186" s="53" t="n">
        <v>185</v>
      </c>
      <c r="B186" s="32" t="inlineStr">
        <is>
          <t>creeping Jade (Big)</t>
        </is>
      </c>
      <c r="C186" s="32" t="inlineStr">
        <is>
          <t>creeping Jade (Big)</t>
        </is>
      </c>
      <c r="D186" s="29" t="inlineStr">
        <is>
          <t>Jade</t>
        </is>
      </c>
      <c r="G186" s="53" t="n">
        <v>1</v>
      </c>
      <c r="I186" s="53" t="n">
        <v>1</v>
      </c>
      <c r="J186" s="56" t="n">
        <v>0</v>
      </c>
    </row>
    <row r="187" ht="14.5" customHeight="1">
      <c r="A187" s="53" t="n">
        <v>186</v>
      </c>
      <c r="B187" s="28" t="inlineStr">
        <is>
          <t>Aloe juvenna (Big)</t>
        </is>
      </c>
      <c r="C187" s="28" t="inlineStr">
        <is>
          <t>Tiger Tooth Aloe (Big)</t>
        </is>
      </c>
      <c r="D187" s="29" t="inlineStr">
        <is>
          <t>Aloe</t>
        </is>
      </c>
      <c r="G187" s="53" t="n">
        <v>0</v>
      </c>
      <c r="I187" s="53" t="n">
        <v>1</v>
      </c>
      <c r="J187" s="38" t="n">
        <v>1</v>
      </c>
    </row>
    <row r="188" ht="14.5" customHeight="1">
      <c r="A188" s="53" t="n">
        <v>187</v>
      </c>
      <c r="B188" s="28" t="inlineStr">
        <is>
          <t>Echeveria Setosa (Big)</t>
        </is>
      </c>
      <c r="C188" s="28" t="inlineStr">
        <is>
          <t>Diamond (Big)</t>
        </is>
      </c>
      <c r="D188" s="9" t="inlineStr">
        <is>
          <t>Echeveria</t>
        </is>
      </c>
      <c r="G188" s="53" t="n">
        <v>0</v>
      </c>
      <c r="I188" s="53" t="n">
        <v>1</v>
      </c>
      <c r="J188" s="56" t="n">
        <v>0</v>
      </c>
    </row>
    <row r="189" ht="14.5" customHeight="1">
      <c r="A189" s="53" t="n">
        <v>188</v>
      </c>
      <c r="B189" s="28" t="inlineStr">
        <is>
          <t>Crassula ovata (Big)</t>
        </is>
      </c>
      <c r="C189" s="32" t="inlineStr">
        <is>
          <t>Jade big leaf (Big)</t>
        </is>
      </c>
      <c r="D189" s="29" t="inlineStr">
        <is>
          <t>Jade</t>
        </is>
      </c>
      <c r="G189" s="53" t="n">
        <v>0</v>
      </c>
      <c r="I189" s="53" t="n">
        <v>1</v>
      </c>
      <c r="J189" s="56" t="n">
        <v>0</v>
      </c>
    </row>
    <row r="190" ht="14.5" customHeight="1">
      <c r="A190" s="53" t="n">
        <v>189</v>
      </c>
      <c r="B190" s="28" t="inlineStr">
        <is>
          <t>Aeonium haworthii (Big)</t>
        </is>
      </c>
      <c r="C190" s="28" t="inlineStr">
        <is>
          <t>Aeonium Draft (Big)</t>
        </is>
      </c>
      <c r="D190" s="29" t="inlineStr">
        <is>
          <t>Succulent</t>
        </is>
      </c>
      <c r="G190" s="53" t="n">
        <v>0</v>
      </c>
      <c r="I190" s="53" t="n">
        <v>1</v>
      </c>
      <c r="J190" s="38" t="n">
        <v>0</v>
      </c>
    </row>
    <row r="191" ht="14.5" customHeight="1">
      <c r="A191" s="53" t="n">
        <v>190</v>
      </c>
      <c r="B191" s="28" t="inlineStr">
        <is>
          <t>Senecio Radicans (Big)</t>
        </is>
      </c>
      <c r="C191" s="28" t="inlineStr">
        <is>
          <t>String of necklace (Big)</t>
        </is>
      </c>
      <c r="D191" s="29" t="inlineStr">
        <is>
          <t>Succulent</t>
        </is>
      </c>
      <c r="G191" s="53" t="n">
        <v>0</v>
      </c>
      <c r="I191" s="53" t="n">
        <v>1</v>
      </c>
      <c r="J191" s="56" t="n">
        <v>0</v>
      </c>
    </row>
    <row r="192" ht="14.5" customHeight="1">
      <c r="A192" s="53" t="n">
        <v>191</v>
      </c>
      <c r="B192" s="28" t="inlineStr">
        <is>
          <t>Opuntia yellow (Big)</t>
        </is>
      </c>
      <c r="C192" s="28" t="inlineStr">
        <is>
          <t>Opentia Yellow (Big)</t>
        </is>
      </c>
      <c r="D192" s="29" t="inlineStr">
        <is>
          <t>Cactus</t>
        </is>
      </c>
      <c r="G192" s="53" t="n">
        <v>0</v>
      </c>
      <c r="I192" s="53" t="n">
        <v>1</v>
      </c>
      <c r="J192" s="56" t="n">
        <v>0</v>
      </c>
    </row>
    <row r="193" ht="14.5" customHeight="1">
      <c r="A193" s="53" t="n">
        <v>192</v>
      </c>
      <c r="B193" s="28" t="inlineStr">
        <is>
          <t>Opuntia white (Big)</t>
        </is>
      </c>
      <c r="C193" s="28" t="inlineStr">
        <is>
          <t>Opentia white (Big)</t>
        </is>
      </c>
      <c r="D193" s="29" t="inlineStr">
        <is>
          <t>Cactus</t>
        </is>
      </c>
      <c r="G193" s="53" t="n">
        <v>0</v>
      </c>
      <c r="I193" s="53" t="n">
        <v>1</v>
      </c>
      <c r="J193" s="38" t="n">
        <v>0</v>
      </c>
    </row>
    <row r="194" ht="14.5" customHeight="1">
      <c r="A194" s="53" t="n">
        <v>193</v>
      </c>
      <c r="B194" s="28" t="inlineStr">
        <is>
          <t>Crassula ovatha (Big)</t>
        </is>
      </c>
      <c r="C194" s="28" t="inlineStr">
        <is>
          <t>Finger Jade (Big)</t>
        </is>
      </c>
      <c r="D194" s="29" t="inlineStr">
        <is>
          <t>Jade</t>
        </is>
      </c>
      <c r="G194" s="53" t="n">
        <v>0</v>
      </c>
      <c r="I194" s="53" t="n">
        <v>1</v>
      </c>
      <c r="J194" s="56" t="n">
        <v>1</v>
      </c>
    </row>
    <row r="195" ht="14.5" customHeight="1">
      <c r="A195" s="53" t="n">
        <v>194</v>
      </c>
      <c r="B195" s="28" t="inlineStr">
        <is>
          <t>Haworthiopsis attenuata (Big)</t>
        </is>
      </c>
      <c r="C195" s="28" t="inlineStr">
        <is>
          <t>Haworthia Fat (Big)</t>
        </is>
      </c>
      <c r="D195" s="29" t="inlineStr">
        <is>
          <t>Haworthia</t>
        </is>
      </c>
      <c r="G195" s="53" t="n">
        <v>0</v>
      </c>
      <c r="I195" s="53" t="n">
        <v>1</v>
      </c>
      <c r="J195" s="56" t="n">
        <v>1</v>
      </c>
    </row>
    <row r="196" ht="14.5" customHeight="1">
      <c r="A196" s="53" t="n">
        <v>195</v>
      </c>
      <c r="B196" s="28" t="inlineStr">
        <is>
          <t>Echeveria Akmalia(big)</t>
        </is>
      </c>
      <c r="C196" s="28" t="inlineStr">
        <is>
          <t>Bramha Prabhu(big)</t>
        </is>
      </c>
      <c r="D196" s="9" t="inlineStr">
        <is>
          <t>Echeveria</t>
        </is>
      </c>
      <c r="G196" s="53" t="n">
        <v>0</v>
      </c>
      <c r="I196" s="53" t="n">
        <v>1</v>
      </c>
      <c r="J196" s="38" t="n">
        <v>0</v>
      </c>
    </row>
    <row r="197" ht="14.5" customHeight="1">
      <c r="A197" s="53" t="n">
        <v>196</v>
      </c>
      <c r="B197" s="32" t="inlineStr">
        <is>
          <t>Haworthia cymbiformis(big)</t>
        </is>
      </c>
      <c r="C197" s="32" t="inlineStr">
        <is>
          <t>Stone(big)</t>
        </is>
      </c>
      <c r="D197" s="29" t="inlineStr">
        <is>
          <t>Haworthia</t>
        </is>
      </c>
      <c r="G197" s="53" t="n">
        <v>0</v>
      </c>
      <c r="I197" s="53" t="n">
        <v>1</v>
      </c>
      <c r="J197" s="56" t="n">
        <v>1</v>
      </c>
    </row>
    <row r="198" ht="14.5" customHeight="1">
      <c r="A198" s="53" t="n">
        <v>197</v>
      </c>
      <c r="B198" s="28" t="inlineStr">
        <is>
          <t>Sedum spurium(tricolour)</t>
        </is>
      </c>
      <c r="C198" s="28" t="inlineStr">
        <is>
          <t>tricolor Sedum</t>
        </is>
      </c>
      <c r="D198" s="29" t="inlineStr">
        <is>
          <t>Sedum</t>
        </is>
      </c>
      <c r="G198" s="53" t="n">
        <v>1</v>
      </c>
      <c r="I198" s="53" t="n">
        <v>0</v>
      </c>
      <c r="J198" s="56" t="n">
        <v>0</v>
      </c>
    </row>
    <row r="199" ht="14.5" customHeight="1">
      <c r="A199" s="53" t="n">
        <v>198</v>
      </c>
      <c r="B199" s="28" t="inlineStr">
        <is>
          <t>sansevieria trifasciata</t>
        </is>
      </c>
      <c r="C199" s="28" t="inlineStr">
        <is>
          <t>snake normal</t>
        </is>
      </c>
      <c r="D199" s="29" t="inlineStr">
        <is>
          <t>Sansevieria</t>
        </is>
      </c>
      <c r="G199" s="53" t="n">
        <v>0</v>
      </c>
      <c r="I199" s="53" t="n">
        <v>0</v>
      </c>
      <c r="J199" s="38" t="n">
        <v>1</v>
      </c>
    </row>
    <row r="200" ht="14.5" customHeight="1">
      <c r="A200" s="53" t="n">
        <v>199</v>
      </c>
      <c r="B200" s="28" t="inlineStr">
        <is>
          <t>Aloe vera</t>
        </is>
      </c>
      <c r="C200" s="28" t="inlineStr">
        <is>
          <t>Aloe vera normal</t>
        </is>
      </c>
      <c r="D200" s="29" t="inlineStr">
        <is>
          <t>Aloe</t>
        </is>
      </c>
      <c r="G200" s="53" t="n">
        <v>0</v>
      </c>
      <c r="I200" s="53" t="n">
        <v>0</v>
      </c>
      <c r="J200" s="56" t="n">
        <v>1</v>
      </c>
    </row>
    <row r="201" ht="14.5" customHeight="1">
      <c r="A201" s="53" t="n">
        <v>200</v>
      </c>
      <c r="B201" s="28" t="inlineStr">
        <is>
          <t>wax ivy(green border)</t>
        </is>
      </c>
      <c r="C201" s="28" t="inlineStr">
        <is>
          <t>wax ivy(green border)</t>
        </is>
      </c>
      <c r="D201" s="29" t="inlineStr">
        <is>
          <t>Creeper</t>
        </is>
      </c>
      <c r="G201" s="53" t="n">
        <v>1</v>
      </c>
      <c r="I201" s="53" t="n">
        <v>0</v>
      </c>
      <c r="J201" s="56" t="n">
        <v>1</v>
      </c>
    </row>
    <row r="202" ht="14.5" customHeight="1">
      <c r="A202" s="53" t="n">
        <v>201</v>
      </c>
      <c r="B202" s="33" t="inlineStr">
        <is>
          <t>Haworthia cymbiformis</t>
        </is>
      </c>
      <c r="C202" s="28" t="inlineStr">
        <is>
          <t>stone brown</t>
        </is>
      </c>
      <c r="D202" s="29" t="inlineStr">
        <is>
          <t>Haworthia</t>
        </is>
      </c>
      <c r="G202" s="53" t="n">
        <v>0</v>
      </c>
      <c r="I202" s="53" t="n">
        <v>0</v>
      </c>
      <c r="J202" s="38" t="n">
        <v>1</v>
      </c>
    </row>
    <row r="203" ht="14.5" customHeight="1">
      <c r="A203" s="53" t="n">
        <v>202</v>
      </c>
      <c r="B203" s="28" t="inlineStr">
        <is>
          <t>Crassula Sarmentosa Variegated</t>
        </is>
      </c>
      <c r="C203" s="28" t="inlineStr">
        <is>
          <t>variegated leaf</t>
        </is>
      </c>
      <c r="D203" s="29" t="inlineStr">
        <is>
          <t>Crassula</t>
        </is>
      </c>
      <c r="G203" s="53" t="n">
        <v>0</v>
      </c>
      <c r="I203" s="53" t="n">
        <v>0</v>
      </c>
      <c r="J203" s="56" t="n">
        <v>0</v>
      </c>
    </row>
    <row r="204" ht="14.5" customHeight="1">
      <c r="A204" s="53" t="n">
        <v>203</v>
      </c>
      <c r="B204" s="32" t="inlineStr">
        <is>
          <t>Peperomia Ferreyrae</t>
        </is>
      </c>
      <c r="C204" s="28" t="inlineStr">
        <is>
          <t>Happy bean Peperomia</t>
        </is>
      </c>
      <c r="D204" s="29" t="inlineStr">
        <is>
          <t>Succulent</t>
        </is>
      </c>
      <c r="G204" s="53" t="n">
        <v>0</v>
      </c>
      <c r="I204" s="53" t="n">
        <v>0</v>
      </c>
      <c r="J204" s="56" t="n">
        <v>0</v>
      </c>
    </row>
    <row r="205" ht="14.5" customHeight="1">
      <c r="A205" s="53" t="n">
        <v>204</v>
      </c>
      <c r="B205" s="28" t="inlineStr">
        <is>
          <t>Peperomia argyreia</t>
        </is>
      </c>
      <c r="C205" s="28" t="inlineStr">
        <is>
          <t>watermelon peperomia</t>
        </is>
      </c>
      <c r="D205" s="29" t="inlineStr">
        <is>
          <t>Peperomia</t>
        </is>
      </c>
      <c r="G205" s="53" t="n">
        <v>0</v>
      </c>
      <c r="I205" s="53" t="n">
        <v>0</v>
      </c>
      <c r="J205" s="38" t="n">
        <v>1</v>
      </c>
    </row>
    <row r="206" ht="14.5" customHeight="1">
      <c r="A206" s="53" t="n">
        <v>205</v>
      </c>
      <c r="B206" s="28" t="inlineStr">
        <is>
          <t>Pilea peperomioides</t>
        </is>
      </c>
      <c r="C206" s="28" t="inlineStr">
        <is>
          <t>Chinese money plant</t>
        </is>
      </c>
      <c r="D206" s="29" t="inlineStr">
        <is>
          <t>Peperomia</t>
        </is>
      </c>
      <c r="G206" s="53" t="n">
        <v>0</v>
      </c>
      <c r="I206" s="53" t="n">
        <v>0</v>
      </c>
      <c r="J206" s="56" t="n">
        <v>1</v>
      </c>
    </row>
    <row r="207" ht="14.5" customHeight="1">
      <c r="A207" s="53" t="n">
        <v>206</v>
      </c>
      <c r="B207" s="28" t="inlineStr">
        <is>
          <t>Gasteria (variegated)</t>
        </is>
      </c>
      <c r="C207" s="28" t="inlineStr">
        <is>
          <t>Aloe variegated</t>
        </is>
      </c>
      <c r="D207" s="29" t="inlineStr">
        <is>
          <t>Aloe</t>
        </is>
      </c>
      <c r="G207" s="53" t="n">
        <v>0</v>
      </c>
      <c r="I207" s="53" t="n">
        <v>0</v>
      </c>
      <c r="J207" s="56" t="n">
        <v>1</v>
      </c>
    </row>
    <row r="208" ht="14.5" customHeight="1">
      <c r="A208" s="53" t="n">
        <v>207</v>
      </c>
      <c r="B208" s="28" t="inlineStr">
        <is>
          <t>Peperomia clusiifolia</t>
        </is>
      </c>
      <c r="C208" s="28" t="inlineStr">
        <is>
          <t>peperomia black</t>
        </is>
      </c>
      <c r="D208" s="29" t="inlineStr">
        <is>
          <t>Peperomia</t>
        </is>
      </c>
      <c r="G208" s="53" t="n">
        <v>0</v>
      </c>
      <c r="I208" s="53" t="n">
        <v>0</v>
      </c>
      <c r="J208" s="38" t="n">
        <v>1</v>
      </c>
    </row>
    <row r="209" ht="14.5" customHeight="1">
      <c r="A209" s="53" t="n">
        <v>208</v>
      </c>
      <c r="B209" s="28" t="inlineStr">
        <is>
          <t>Wandering Jew(small leaf)</t>
        </is>
      </c>
      <c r="C209" s="28" t="inlineStr">
        <is>
          <t>small wandering Jew</t>
        </is>
      </c>
      <c r="D209" s="29" t="inlineStr">
        <is>
          <t>Others</t>
        </is>
      </c>
      <c r="G209" s="53" t="n">
        <v>0</v>
      </c>
      <c r="I209" s="53" t="n">
        <v>0</v>
      </c>
      <c r="J209" s="56" t="n">
        <v>0</v>
      </c>
    </row>
    <row r="210" ht="14.5" customHeight="1">
      <c r="A210" s="53" t="n">
        <v>209</v>
      </c>
      <c r="B210" s="28" t="inlineStr">
        <is>
          <t>cereus forma</t>
        </is>
      </c>
      <c r="C210" s="28" t="inlineStr">
        <is>
          <t>thorny Cactus</t>
        </is>
      </c>
      <c r="D210" s="29" t="inlineStr">
        <is>
          <t>Cactus</t>
        </is>
      </c>
      <c r="G210" s="53" t="n">
        <v>0</v>
      </c>
      <c r="I210" s="53" t="n">
        <v>0</v>
      </c>
      <c r="J210" s="56" t="n">
        <v>0</v>
      </c>
    </row>
    <row r="211" ht="14.5" customHeight="1">
      <c r="A211" s="53" t="n">
        <v>210</v>
      </c>
      <c r="B211" s="28" t="inlineStr">
        <is>
          <t>Aloe aristata</t>
        </is>
      </c>
      <c r="C211" s="28" t="inlineStr">
        <is>
          <t>Aloe flat</t>
        </is>
      </c>
      <c r="D211" s="29" t="inlineStr">
        <is>
          <t>Aloe</t>
        </is>
      </c>
      <c r="G211" s="53" t="n">
        <v>0</v>
      </c>
      <c r="I211" s="53" t="n">
        <v>0</v>
      </c>
      <c r="J211" s="38" t="n">
        <v>1</v>
      </c>
    </row>
    <row r="212" ht="14.5" customHeight="1">
      <c r="A212" s="53" t="n">
        <v>211</v>
      </c>
      <c r="B212" s="28" t="inlineStr">
        <is>
          <t>Mammillaria elongata</t>
        </is>
      </c>
      <c r="C212" s="28" t="inlineStr">
        <is>
          <t>oval Cactus</t>
        </is>
      </c>
      <c r="D212" s="29" t="inlineStr">
        <is>
          <t>Cactus</t>
        </is>
      </c>
      <c r="G212" s="53" t="n">
        <v>0</v>
      </c>
      <c r="I212" s="53" t="n">
        <v>0</v>
      </c>
      <c r="J212" s="56" t="n">
        <v>0</v>
      </c>
    </row>
    <row r="213" ht="14.5" customHeight="1">
      <c r="A213" s="53" t="n">
        <v>212</v>
      </c>
      <c r="B213" s="28" t="inlineStr">
        <is>
          <t>echinopsis peanut</t>
        </is>
      </c>
      <c r="C213" s="28" t="inlineStr">
        <is>
          <t>button Cactus</t>
        </is>
      </c>
      <c r="D213" s="29" t="inlineStr">
        <is>
          <t>Cactus</t>
        </is>
      </c>
      <c r="G213" s="53" t="n">
        <v>0</v>
      </c>
      <c r="I213" s="53" t="n">
        <v>0</v>
      </c>
      <c r="J213" s="56" t="n">
        <v>0</v>
      </c>
    </row>
    <row r="214" ht="14.5" customHeight="1">
      <c r="A214" s="53" t="n">
        <v>213</v>
      </c>
      <c r="B214" s="28" t="inlineStr">
        <is>
          <t>Mammillaria bocasana</t>
        </is>
      </c>
      <c r="C214" s="28" t="inlineStr">
        <is>
          <t>seed Cactus</t>
        </is>
      </c>
      <c r="D214" s="29" t="inlineStr">
        <is>
          <t>Cactus</t>
        </is>
      </c>
      <c r="G214" s="53" t="n">
        <v>0</v>
      </c>
      <c r="I214" s="53" t="n">
        <v>0</v>
      </c>
      <c r="J214" s="38" t="n">
        <v>0</v>
      </c>
    </row>
    <row r="215" ht="14.5" customHeight="1">
      <c r="A215" s="53" t="n">
        <v>214</v>
      </c>
      <c r="B215" s="28" t="inlineStr">
        <is>
          <t>Euphorbia lactea</t>
        </is>
      </c>
      <c r="C215" s="28" t="inlineStr">
        <is>
          <t>dragon bone</t>
        </is>
      </c>
      <c r="D215" s="29" t="inlineStr">
        <is>
          <t>Cactus</t>
        </is>
      </c>
      <c r="G215" s="53" t="n">
        <v>0</v>
      </c>
      <c r="I215" s="53" t="n">
        <v>0</v>
      </c>
      <c r="J215" s="56" t="n">
        <v>0</v>
      </c>
    </row>
    <row r="216" ht="14.5" customHeight="1">
      <c r="A216" s="53" t="n">
        <v>215</v>
      </c>
      <c r="B216" s="28" t="inlineStr">
        <is>
          <t>opuntua cylindrica</t>
        </is>
      </c>
      <c r="C216" s="28" t="inlineStr">
        <is>
          <t>grey opentia</t>
        </is>
      </c>
      <c r="D216" s="29" t="inlineStr">
        <is>
          <t>Cactus</t>
        </is>
      </c>
      <c r="G216" s="53" t="n">
        <v>0</v>
      </c>
      <c r="I216" s="53" t="n">
        <v>0</v>
      </c>
      <c r="J216" s="56" t="n">
        <v>0</v>
      </c>
    </row>
    <row r="217" ht="14.5" customHeight="1">
      <c r="A217" s="53" t="n">
        <v>216</v>
      </c>
      <c r="B217" s="28" t="inlineStr">
        <is>
          <t>stapelia flavopurpurea</t>
        </is>
      </c>
      <c r="C217" s="28" t="inlineStr">
        <is>
          <t>carrion flower</t>
        </is>
      </c>
      <c r="D217" s="29" t="inlineStr">
        <is>
          <t>Succulent</t>
        </is>
      </c>
      <c r="G217" s="53" t="n">
        <v>0</v>
      </c>
      <c r="I217" s="53" t="n">
        <v>0</v>
      </c>
      <c r="J217" s="38" t="n">
        <v>0</v>
      </c>
    </row>
    <row r="218" ht="14.5" customHeight="1">
      <c r="A218" s="53" t="n">
        <v>217</v>
      </c>
      <c r="B218" s="28" t="inlineStr">
        <is>
          <t>red pagoda</t>
        </is>
      </c>
      <c r="C218" s="28" t="inlineStr">
        <is>
          <t>small jain temple</t>
        </is>
      </c>
      <c r="D218" s="29" t="inlineStr">
        <is>
          <t>Succulent</t>
        </is>
      </c>
      <c r="G218" s="53" t="n">
        <v>0</v>
      </c>
      <c r="I218" s="53" t="n">
        <v>0</v>
      </c>
      <c r="J218" s="56" t="n">
        <v>0</v>
      </c>
    </row>
    <row r="219" ht="14.5" customHeight="1">
      <c r="A219" s="53" t="n">
        <v>218</v>
      </c>
      <c r="B219" s="28" t="inlineStr">
        <is>
          <t>crassula davil</t>
        </is>
      </c>
      <c r="C219" s="28" t="inlineStr">
        <is>
          <t>coral relif Sedum</t>
        </is>
      </c>
      <c r="D219" s="29" t="inlineStr">
        <is>
          <t>Sedum</t>
        </is>
      </c>
      <c r="G219" s="53" t="n">
        <v>1</v>
      </c>
      <c r="I219" s="53" t="n">
        <v>0</v>
      </c>
      <c r="J219" s="56" t="n">
        <v>0</v>
      </c>
    </row>
    <row r="220" ht="14.5" customHeight="1">
      <c r="A220" s="53" t="n">
        <v>219</v>
      </c>
      <c r="B220" s="28" t="inlineStr">
        <is>
          <t>string of banana</t>
        </is>
      </c>
      <c r="C220" s="28" t="inlineStr">
        <is>
          <t>string of banana</t>
        </is>
      </c>
      <c r="D220" s="29" t="inlineStr">
        <is>
          <t>Succulent</t>
        </is>
      </c>
      <c r="G220" s="53" t="n">
        <v>0</v>
      </c>
      <c r="I220" s="53" t="n">
        <v>0</v>
      </c>
      <c r="J220" s="38" t="n">
        <v>0</v>
      </c>
    </row>
    <row r="221" ht="14.5" customHeight="1">
      <c r="A221" s="53" t="n">
        <v>220</v>
      </c>
      <c r="B221" s="28" t="inlineStr">
        <is>
          <t>Peperomia caperata (variegated)</t>
        </is>
      </c>
      <c r="C221" s="28" t="inlineStr">
        <is>
          <t>Peperomia white</t>
        </is>
      </c>
      <c r="D221" s="29" t="inlineStr">
        <is>
          <t>Peperomia</t>
        </is>
      </c>
      <c r="G221" s="53" t="n">
        <v>0</v>
      </c>
      <c r="I221" s="53" t="n">
        <v>0</v>
      </c>
      <c r="J221" s="56" t="n">
        <v>1</v>
      </c>
    </row>
    <row r="222" ht="14.5" customHeight="1">
      <c r="A222" s="53" t="n">
        <v>221</v>
      </c>
      <c r="B222" s="28" t="inlineStr">
        <is>
          <t>echeveria fabila</t>
        </is>
      </c>
      <c r="C222" s="28" t="inlineStr">
        <is>
          <t>pink echeveria</t>
        </is>
      </c>
      <c r="D222" s="9" t="inlineStr">
        <is>
          <t>Echeveria</t>
        </is>
      </c>
      <c r="G222" s="53" t="n">
        <v>0</v>
      </c>
      <c r="I222" s="53" t="n">
        <v>0</v>
      </c>
      <c r="J222" s="56" t="n">
        <v>0</v>
      </c>
    </row>
    <row r="223" ht="14.5" customHeight="1">
      <c r="A223" s="53" t="n">
        <v>222</v>
      </c>
      <c r="B223" s="28" t="inlineStr">
        <is>
          <t>Cryptanthus bivittatus</t>
        </is>
      </c>
      <c r="C223" s="28" t="inlineStr">
        <is>
          <t>Cryptanthus normal</t>
        </is>
      </c>
      <c r="D223" s="29" t="inlineStr">
        <is>
          <t>Others</t>
        </is>
      </c>
      <c r="G223" s="53" t="n">
        <v>0</v>
      </c>
      <c r="I223" s="53" t="n">
        <v>0</v>
      </c>
      <c r="J223" s="38" t="n">
        <v>0</v>
      </c>
    </row>
    <row r="224" ht="14.5" customHeight="1">
      <c r="A224" s="53" t="n">
        <v>223</v>
      </c>
      <c r="B224" s="28" t="inlineStr">
        <is>
          <t>Aloe bright star</t>
        </is>
      </c>
      <c r="C224" s="32" t="inlineStr">
        <is>
          <t>Aloe bright star</t>
        </is>
      </c>
      <c r="D224" s="29" t="inlineStr">
        <is>
          <t>Aloe</t>
        </is>
      </c>
      <c r="G224" s="53" t="n">
        <v>0</v>
      </c>
      <c r="I224" s="53" t="n">
        <v>0</v>
      </c>
      <c r="J224" s="56" t="n">
        <v>0</v>
      </c>
    </row>
    <row r="225" ht="14.5" customHeight="1">
      <c r="A225" s="53" t="n">
        <v>224</v>
      </c>
      <c r="B225" s="28" t="inlineStr">
        <is>
          <t>Kalanchoe millottii</t>
        </is>
      </c>
      <c r="C225" s="28" t="inlineStr">
        <is>
          <t>white Kalanchoe</t>
        </is>
      </c>
      <c r="D225" s="29" t="inlineStr">
        <is>
          <t>Succulent</t>
        </is>
      </c>
      <c r="G225" s="53" t="n">
        <v>0</v>
      </c>
      <c r="I225" s="53" t="n">
        <v>0</v>
      </c>
      <c r="J225" s="56" t="n">
        <v>0</v>
      </c>
    </row>
    <row r="226" ht="14.5" customHeight="1">
      <c r="A226" s="53" t="n">
        <v>225</v>
      </c>
      <c r="B226" s="28" t="inlineStr">
        <is>
          <t>Murdannia</t>
        </is>
      </c>
      <c r="C226" s="28" t="inlineStr">
        <is>
          <t>Cryptanthus colour</t>
        </is>
      </c>
      <c r="D226" s="29" t="inlineStr">
        <is>
          <t>Others</t>
        </is>
      </c>
      <c r="G226" s="53" t="n">
        <v>0</v>
      </c>
      <c r="I226" s="53" t="n">
        <v>0</v>
      </c>
      <c r="J226" s="38" t="n">
        <v>0</v>
      </c>
    </row>
    <row r="227" ht="14.5" customHeight="1">
      <c r="A227" s="53" t="n">
        <v>226</v>
      </c>
      <c r="B227" s="28" t="inlineStr">
        <is>
          <t>Rhoeo Plant</t>
        </is>
      </c>
      <c r="C227" s="28" t="inlineStr">
        <is>
          <t>Rhoeo Plant</t>
        </is>
      </c>
      <c r="D227" s="29" t="inlineStr">
        <is>
          <t>Others</t>
        </is>
      </c>
      <c r="G227" s="53" t="n">
        <v>0</v>
      </c>
      <c r="I227" s="53" t="n">
        <v>0</v>
      </c>
      <c r="J227" s="56" t="n">
        <v>0</v>
      </c>
    </row>
    <row r="228" ht="14.5" customHeight="1">
      <c r="A228" s="53" t="n">
        <v>227</v>
      </c>
      <c r="B228" s="28" t="inlineStr">
        <is>
          <t>Spiderwort</t>
        </is>
      </c>
      <c r="C228" s="32" t="inlineStr">
        <is>
          <t>Wandering Jew</t>
        </is>
      </c>
      <c r="D228" s="29" t="inlineStr">
        <is>
          <t>Others</t>
        </is>
      </c>
      <c r="G228" s="53" t="n">
        <v>0</v>
      </c>
      <c r="I228" s="53" t="n">
        <v>0</v>
      </c>
      <c r="J228" s="56" t="n">
        <v>0</v>
      </c>
    </row>
    <row r="229" ht="14.5" customHeight="1">
      <c r="A229" s="53" t="n">
        <v>228</v>
      </c>
      <c r="B229" s="28" t="inlineStr">
        <is>
          <t>Haworthia cooperi var. pilifera</t>
        </is>
      </c>
      <c r="C229" s="32" t="inlineStr">
        <is>
          <t>Haworthia glass</t>
        </is>
      </c>
      <c r="D229" s="29" t="inlineStr">
        <is>
          <t>Haworthia</t>
        </is>
      </c>
      <c r="G229" s="53" t="n">
        <v>0</v>
      </c>
      <c r="I229" s="53" t="n">
        <v>0</v>
      </c>
      <c r="J229" s="38" t="n">
        <v>1</v>
      </c>
    </row>
    <row r="230" ht="14.5" customHeight="1">
      <c r="A230" s="53" t="n">
        <v>229</v>
      </c>
      <c r="B230" s="28" t="inlineStr">
        <is>
          <t>Aloe minnie belle</t>
        </is>
      </c>
      <c r="C230" s="32" t="inlineStr">
        <is>
          <t>grey Aloe</t>
        </is>
      </c>
      <c r="D230" s="29" t="inlineStr">
        <is>
          <t>Aloe</t>
        </is>
      </c>
      <c r="G230" s="53" t="n">
        <v>0</v>
      </c>
      <c r="I230" s="53" t="n">
        <v>0</v>
      </c>
      <c r="J230" s="56" t="n">
        <v>1</v>
      </c>
    </row>
    <row r="231" ht="14.5" customHeight="1">
      <c r="A231" s="53" t="n">
        <v>230</v>
      </c>
      <c r="B231" s="28" t="inlineStr">
        <is>
          <t>Haworthia retusa</t>
        </is>
      </c>
      <c r="C231" s="28" t="inlineStr">
        <is>
          <t>Haworthia flat green</t>
        </is>
      </c>
      <c r="D231" s="29" t="inlineStr">
        <is>
          <t>Haworthia</t>
        </is>
      </c>
      <c r="G231" s="53" t="n">
        <v>0</v>
      </c>
      <c r="I231" s="53" t="n">
        <v>0</v>
      </c>
      <c r="J231" s="56" t="n">
        <v>1</v>
      </c>
    </row>
    <row r="232" ht="14.5" customHeight="1">
      <c r="A232" s="53" t="n">
        <v>231</v>
      </c>
      <c r="B232" s="28" t="inlineStr">
        <is>
          <t>Silver pagoda</t>
        </is>
      </c>
      <c r="C232" s="28" t="inlineStr">
        <is>
          <t>Silver Succulent</t>
        </is>
      </c>
      <c r="D232" s="29" t="inlineStr">
        <is>
          <t>Succulent</t>
        </is>
      </c>
      <c r="G232" s="53" t="n">
        <v>0</v>
      </c>
      <c r="I232" s="53" t="n">
        <v>0</v>
      </c>
      <c r="J232" s="38" t="n">
        <v>0</v>
      </c>
    </row>
    <row r="233" ht="14.5" customHeight="1">
      <c r="A233" s="53" t="n">
        <v>232</v>
      </c>
      <c r="B233" s="28" t="inlineStr">
        <is>
          <t>senecio obovatus</t>
        </is>
      </c>
      <c r="C233" s="28" t="inlineStr">
        <is>
          <t>Kalanchoe grey</t>
        </is>
      </c>
      <c r="D233" s="29" t="inlineStr">
        <is>
          <t>Succulent</t>
        </is>
      </c>
      <c r="G233" s="53" t="n">
        <v>0</v>
      </c>
      <c r="I233" s="53" t="n">
        <v>0</v>
      </c>
      <c r="J233" s="56" t="n">
        <v>0</v>
      </c>
    </row>
    <row r="234" ht="14.5" customHeight="1">
      <c r="A234" s="53" t="n">
        <v>233</v>
      </c>
      <c r="B234" s="13" t="inlineStr">
        <is>
          <t>Sedum burrito</t>
        </is>
      </c>
      <c r="C234" s="28" t="inlineStr">
        <is>
          <t>big leaf donkey tail</t>
        </is>
      </c>
      <c r="D234" s="29" t="inlineStr">
        <is>
          <t>Succulent</t>
        </is>
      </c>
      <c r="G234" s="53" t="n">
        <v>0</v>
      </c>
      <c r="I234" s="53" t="n">
        <v>0</v>
      </c>
      <c r="J234" s="56" t="n">
        <v>0</v>
      </c>
    </row>
    <row r="235" ht="14.5" customHeight="1">
      <c r="A235" s="53" t="n">
        <v>234</v>
      </c>
      <c r="B235" s="13" t="inlineStr">
        <is>
          <t>curio radicans</t>
        </is>
      </c>
      <c r="C235" s="28" t="inlineStr">
        <is>
          <t>string of banana green</t>
        </is>
      </c>
      <c r="D235" s="29" t="inlineStr">
        <is>
          <t>Succulent</t>
        </is>
      </c>
      <c r="G235" s="53" t="n">
        <v>0</v>
      </c>
      <c r="I235" s="53" t="n">
        <v>0</v>
      </c>
      <c r="J235" s="38" t="n">
        <v>0</v>
      </c>
    </row>
    <row r="236" ht="14.5" customHeight="1">
      <c r="A236" s="53" t="n">
        <v>235</v>
      </c>
      <c r="B236" s="13" t="inlineStr">
        <is>
          <t>Peperomia nivalis</t>
        </is>
      </c>
      <c r="C236" s="28" t="inlineStr">
        <is>
          <t>green line peperomia</t>
        </is>
      </c>
      <c r="D236" s="30" t="inlineStr">
        <is>
          <t>Peperomia</t>
        </is>
      </c>
      <c r="G236" s="53" t="n">
        <v>0</v>
      </c>
      <c r="I236" s="53" t="n">
        <v>0</v>
      </c>
      <c r="J236" s="56" t="n">
        <v>1</v>
      </c>
    </row>
    <row r="237" ht="14.5" customHeight="1">
      <c r="A237" s="53" t="n">
        <v>236</v>
      </c>
      <c r="B237" s="13" t="inlineStr">
        <is>
          <t>Haworthia Asema</t>
        </is>
      </c>
      <c r="C237" s="28" t="inlineStr">
        <is>
          <t>Haworthia small leaf</t>
        </is>
      </c>
      <c r="D237" s="30" t="inlineStr">
        <is>
          <t>Haworthia</t>
        </is>
      </c>
      <c r="G237" s="53" t="n">
        <v>0</v>
      </c>
      <c r="I237" s="53" t="n">
        <v>0</v>
      </c>
      <c r="J237" s="56" t="n">
        <v>1</v>
      </c>
    </row>
    <row r="238" ht="14.5" customHeight="1">
      <c r="A238" s="53" t="n">
        <v>237</v>
      </c>
      <c r="B238" s="13" t="inlineStr">
        <is>
          <t>Echeveria cubic frost</t>
        </is>
      </c>
      <c r="C238" s="13" t="n"/>
      <c r="D238" s="9" t="inlineStr">
        <is>
          <t>Echeveria</t>
        </is>
      </c>
      <c r="G238" s="53" t="n">
        <v>0</v>
      </c>
      <c r="I238" s="53" t="n">
        <v>0</v>
      </c>
      <c r="J238" s="38" t="n">
        <v>0</v>
      </c>
    </row>
    <row r="239" ht="14.5" customHeight="1">
      <c r="A239" s="53" t="n">
        <v>238</v>
      </c>
      <c r="B239" s="13" t="inlineStr">
        <is>
          <t>Echeveria ben badis</t>
        </is>
      </c>
      <c r="C239" s="13" t="n"/>
      <c r="D239" s="9" t="inlineStr">
        <is>
          <t>Echeveria</t>
        </is>
      </c>
      <c r="G239" s="53" t="n">
        <v>0</v>
      </c>
      <c r="I239" s="53" t="n">
        <v>0</v>
      </c>
      <c r="J239" s="56" t="n">
        <v>0</v>
      </c>
    </row>
    <row r="240" ht="14.5" customHeight="1">
      <c r="A240" s="53" t="n">
        <v>239</v>
      </c>
      <c r="B240" s="13" t="inlineStr">
        <is>
          <t>Echeveria greensmile</t>
        </is>
      </c>
      <c r="C240" s="13" t="n"/>
      <c r="D240" s="9" t="inlineStr">
        <is>
          <t>Echeveria</t>
        </is>
      </c>
      <c r="G240" s="53" t="n">
        <v>0</v>
      </c>
      <c r="I240" s="53" t="n">
        <v>0</v>
      </c>
      <c r="J240" s="56" t="n">
        <v>0</v>
      </c>
    </row>
    <row r="241" ht="14.5" customHeight="1">
      <c r="A241" s="53" t="n">
        <v>240</v>
      </c>
      <c r="B241" s="13" t="inlineStr">
        <is>
          <t>Graptoveria pink rose</t>
        </is>
      </c>
      <c r="C241" s="13" t="n"/>
      <c r="D241" s="29" t="inlineStr">
        <is>
          <t>Succulent</t>
        </is>
      </c>
      <c r="G241" s="53" t="n">
        <v>0</v>
      </c>
      <c r="I241" s="53" t="n">
        <v>0</v>
      </c>
      <c r="J241" s="38" t="n">
        <v>0</v>
      </c>
    </row>
    <row r="242" ht="14.5" customHeight="1">
      <c r="A242" s="53" t="n">
        <v>241</v>
      </c>
      <c r="B242" s="13" t="inlineStr">
        <is>
          <t>Echeveria Secunda</t>
        </is>
      </c>
      <c r="C242" s="13" t="n"/>
      <c r="D242" s="9" t="inlineStr">
        <is>
          <t>Echeveria</t>
        </is>
      </c>
      <c r="G242" s="53" t="n">
        <v>0</v>
      </c>
      <c r="I242" s="53" t="n">
        <v>0</v>
      </c>
      <c r="J242" s="56" t="n">
        <v>0</v>
      </c>
    </row>
    <row r="243" ht="14.5" customHeight="1">
      <c r="A243" s="53" t="n">
        <v>242</v>
      </c>
      <c r="B243" s="13" t="inlineStr">
        <is>
          <t>Pachyveria glauca</t>
        </is>
      </c>
      <c r="C243" s="13" t="n"/>
      <c r="D243" s="29" t="inlineStr">
        <is>
          <t>Succulent</t>
        </is>
      </c>
      <c r="G243" s="53" t="n">
        <v>0</v>
      </c>
      <c r="I243" s="53" t="n">
        <v>0</v>
      </c>
      <c r="J243" s="56" t="n">
        <v>0</v>
      </c>
    </row>
    <row r="244" ht="14.5" customHeight="1">
      <c r="A244" s="53" t="n">
        <v>243</v>
      </c>
      <c r="B244" s="13" t="inlineStr">
        <is>
          <t>Graptoveria Bashful</t>
        </is>
      </c>
      <c r="C244" s="13" t="n"/>
      <c r="D244" s="29" t="inlineStr">
        <is>
          <t>Succulent</t>
        </is>
      </c>
      <c r="G244" s="53" t="n">
        <v>0</v>
      </c>
      <c r="I244" s="53" t="n">
        <v>0</v>
      </c>
      <c r="J244" s="38" t="n">
        <v>0</v>
      </c>
    </row>
    <row r="245" ht="14.5" customHeight="1">
      <c r="A245" s="53" t="n">
        <v>244</v>
      </c>
      <c r="B245" s="13" t="inlineStr">
        <is>
          <t>Echeveria setosa</t>
        </is>
      </c>
      <c r="C245" s="13" t="n"/>
      <c r="D245" s="9" t="inlineStr">
        <is>
          <t>Echeveria</t>
        </is>
      </c>
      <c r="G245" s="53" t="n">
        <v>0</v>
      </c>
      <c r="I245" s="53" t="n">
        <v>0</v>
      </c>
      <c r="J245" s="56" t="n">
        <v>0</v>
      </c>
    </row>
    <row r="246" ht="14.5" customHeight="1">
      <c r="A246" s="53" t="n">
        <v>245</v>
      </c>
      <c r="B246" s="13" t="inlineStr">
        <is>
          <t>Echeveria amor fati</t>
        </is>
      </c>
      <c r="C246" s="13" t="n"/>
      <c r="D246" s="9" t="inlineStr">
        <is>
          <t>Echeveria</t>
        </is>
      </c>
      <c r="G246" s="53" t="n">
        <v>0</v>
      </c>
      <c r="I246" s="53" t="n">
        <v>0</v>
      </c>
      <c r="J246" s="56" t="n">
        <v>0</v>
      </c>
    </row>
    <row r="247" ht="14.5" customHeight="1">
      <c r="A247" s="53" t="n">
        <v>246</v>
      </c>
      <c r="B247" s="13" t="inlineStr">
        <is>
          <t>Graptoveria Lovely rose</t>
        </is>
      </c>
      <c r="C247" s="13" t="n"/>
      <c r="D247" s="29" t="inlineStr">
        <is>
          <t>Succulent</t>
        </is>
      </c>
      <c r="G247" s="53" t="n">
        <v>0</v>
      </c>
      <c r="I247" s="53" t="n">
        <v>0</v>
      </c>
      <c r="J247" s="38" t="n">
        <v>0</v>
      </c>
    </row>
    <row r="248" ht="14.5" customHeight="1">
      <c r="A248" s="53" t="n">
        <v>247</v>
      </c>
      <c r="B248" s="13" t="inlineStr">
        <is>
          <t>Echeveria purple pearl</t>
        </is>
      </c>
      <c r="C248" s="13" t="n"/>
      <c r="D248" s="9" t="inlineStr">
        <is>
          <t>Echeveria</t>
        </is>
      </c>
      <c r="G248" s="53" t="n">
        <v>0</v>
      </c>
      <c r="I248" s="53" t="n">
        <v>0</v>
      </c>
      <c r="J248" s="56" t="n">
        <v>0</v>
      </c>
    </row>
    <row r="249" ht="14.5" customHeight="1">
      <c r="A249" s="53" t="n">
        <v>248</v>
      </c>
      <c r="B249" s="13" t="inlineStr">
        <is>
          <t>Pachyphytum compactum</t>
        </is>
      </c>
      <c r="C249" s="13" t="n"/>
      <c r="D249" s="29" t="inlineStr">
        <is>
          <t>Succulent</t>
        </is>
      </c>
      <c r="G249" s="53" t="n">
        <v>0</v>
      </c>
      <c r="I249" s="53" t="n">
        <v>0</v>
      </c>
      <c r="J249" s="56" t="n">
        <v>0</v>
      </c>
    </row>
    <row r="250" ht="14.5" customHeight="1">
      <c r="A250" s="53" t="n">
        <v>249</v>
      </c>
      <c r="B250" s="13" t="inlineStr">
        <is>
          <t>Echeveria laui</t>
        </is>
      </c>
      <c r="C250" s="13" t="n"/>
      <c r="D250" s="9" t="inlineStr">
        <is>
          <t>Echeveria</t>
        </is>
      </c>
      <c r="G250" s="53" t="n">
        <v>0</v>
      </c>
      <c r="I250" s="53" t="n">
        <v>0</v>
      </c>
      <c r="J250" s="38" t="n">
        <v>0</v>
      </c>
    </row>
    <row r="251" ht="14.5" customHeight="1">
      <c r="A251" s="53" t="n">
        <v>250</v>
      </c>
      <c r="B251" s="13" t="inlineStr">
        <is>
          <t>Pachyveria power puff</t>
        </is>
      </c>
      <c r="C251" s="13" t="n"/>
      <c r="D251" s="29" t="inlineStr">
        <is>
          <t>Succulent</t>
        </is>
      </c>
      <c r="G251" s="53" t="n">
        <v>0</v>
      </c>
      <c r="I251" s="53" t="n">
        <v>0</v>
      </c>
      <c r="J251" s="56" t="n">
        <v>0</v>
      </c>
    </row>
    <row r="252" ht="14.5" customHeight="1">
      <c r="A252" s="53" t="n">
        <v>251</v>
      </c>
      <c r="B252" s="13" t="inlineStr">
        <is>
          <t xml:space="preserve">wandering jew violet </t>
        </is>
      </c>
      <c r="C252" s="13" t="n"/>
      <c r="D252" s="30" t="inlineStr">
        <is>
          <t>Others</t>
        </is>
      </c>
      <c r="G252" s="53" t="n">
        <v>0</v>
      </c>
      <c r="I252" s="53" t="n">
        <v>0</v>
      </c>
      <c r="J252" s="56" t="n">
        <v>0</v>
      </c>
    </row>
    <row r="253" ht="14.5" customHeight="1">
      <c r="A253" s="53" t="n">
        <v>252</v>
      </c>
      <c r="B253" s="13" t="inlineStr">
        <is>
          <t>Senecio Crassiflorus</t>
        </is>
      </c>
      <c r="C253" s="13" t="n"/>
      <c r="D253" s="29" t="inlineStr">
        <is>
          <t>Succulent</t>
        </is>
      </c>
      <c r="G253" s="53" t="n">
        <v>0</v>
      </c>
      <c r="I253" s="53" t="n">
        <v>0</v>
      </c>
      <c r="J253" s="38" t="n">
        <v>0</v>
      </c>
    </row>
    <row r="254" ht="14.5" customHeight="1">
      <c r="A254" s="53" t="n">
        <v>253</v>
      </c>
      <c r="B254" s="13" t="inlineStr">
        <is>
          <t>Baby sun rose variegated</t>
        </is>
      </c>
      <c r="C254" s="13" t="n"/>
      <c r="D254" s="30" t="inlineStr">
        <is>
          <t>Others</t>
        </is>
      </c>
      <c r="G254" s="53" t="n">
        <v>0</v>
      </c>
      <c r="I254" s="53" t="n">
        <v>0</v>
      </c>
      <c r="J254" s="56" t="n">
        <v>0</v>
      </c>
    </row>
    <row r="255" ht="14.5" customHeight="1">
      <c r="A255" s="53" t="n">
        <v>254</v>
      </c>
      <c r="B255" s="13" t="inlineStr">
        <is>
          <t>Leucothoe red</t>
        </is>
      </c>
      <c r="C255" s="13" t="n"/>
      <c r="D255" s="30" t="inlineStr">
        <is>
          <t>Others</t>
        </is>
      </c>
      <c r="G255" s="53" t="n">
        <v>0</v>
      </c>
      <c r="I255" s="53" t="n">
        <v>0</v>
      </c>
      <c r="J255" s="56" t="n">
        <v>0</v>
      </c>
    </row>
    <row r="256" ht="14.5" customHeight="1">
      <c r="A256" s="53" t="n"/>
      <c r="B256" s="13" t="n"/>
      <c r="C256" s="13" t="n"/>
      <c r="D256" s="30" t="n"/>
      <c r="G256" s="9" t="n"/>
      <c r="J256" s="38" t="n"/>
    </row>
    <row r="257" ht="14.5" customHeight="1">
      <c r="A257" s="53" t="n"/>
      <c r="B257" s="13" t="n"/>
      <c r="C257" s="13" t="n"/>
      <c r="D257" s="30" t="n"/>
      <c r="G257" s="9" t="n"/>
      <c r="J257" s="38" t="n"/>
    </row>
    <row r="258" ht="14.5" customHeight="1">
      <c r="A258" s="53" t="n"/>
      <c r="B258" s="13" t="n"/>
      <c r="C258" s="13" t="n"/>
      <c r="D258" s="30" t="n"/>
      <c r="G258" s="9" t="n"/>
      <c r="J258" s="38" t="n"/>
    </row>
    <row r="259" ht="14.5" customHeight="1">
      <c r="A259" s="53" t="n"/>
      <c r="B259" s="13" t="n"/>
      <c r="C259" s="13" t="n"/>
      <c r="D259" s="30" t="n"/>
      <c r="G259" s="9" t="n"/>
      <c r="J259" s="38" t="n"/>
    </row>
    <row r="260" ht="14.5" customHeight="1">
      <c r="A260" s="53" t="n"/>
      <c r="B260" s="13" t="n"/>
      <c r="C260" s="13" t="n"/>
      <c r="D260" s="30" t="n"/>
      <c r="G260" s="9" t="n"/>
      <c r="J260" s="38" t="n"/>
    </row>
    <row r="261" ht="14.5" customHeight="1">
      <c r="A261" s="53" t="n"/>
      <c r="B261" s="13" t="n"/>
      <c r="C261" s="13" t="n"/>
      <c r="D261" s="30" t="n"/>
      <c r="G261" s="9" t="n"/>
      <c r="J261" s="38" t="n"/>
    </row>
    <row r="262" ht="14.5" customHeight="1">
      <c r="A262" s="53" t="n"/>
      <c r="B262" s="13" t="n"/>
      <c r="C262" s="13" t="n"/>
      <c r="D262" s="30" t="n"/>
      <c r="G262" s="9" t="n"/>
      <c r="J262" s="38" t="n"/>
    </row>
    <row r="263" ht="14.5" customHeight="1">
      <c r="A263" s="53" t="n"/>
      <c r="B263" s="13" t="n"/>
      <c r="C263" s="13" t="n"/>
      <c r="D263" s="30" t="n"/>
      <c r="G263" s="9" t="n"/>
      <c r="J263" s="38" t="n"/>
    </row>
    <row r="264" ht="12.5" customHeight="1">
      <c r="A264" s="9" t="n"/>
      <c r="B264" s="13" t="n"/>
      <c r="C264" s="13" t="n"/>
      <c r="D264" s="30" t="n"/>
      <c r="G264" s="9" t="n"/>
      <c r="J264" s="38" t="n"/>
    </row>
    <row r="265" ht="12.5" customHeight="1">
      <c r="A265" s="9" t="n"/>
      <c r="B265" s="13" t="n"/>
      <c r="C265" s="13" t="n"/>
      <c r="D265" s="30" t="n"/>
      <c r="G265" s="9" t="n"/>
      <c r="J265" s="38" t="n"/>
    </row>
    <row r="266" ht="12.5" customHeight="1">
      <c r="A266" s="9" t="n"/>
      <c r="B266" s="13" t="n"/>
      <c r="C266" s="13" t="n"/>
      <c r="D266" s="30" t="n"/>
      <c r="G266" s="9" t="n"/>
      <c r="J266" s="38" t="n"/>
    </row>
    <row r="267" ht="12.5" customHeight="1">
      <c r="A267" s="9" t="n"/>
      <c r="B267" s="13" t="n"/>
      <c r="C267" s="13" t="n"/>
      <c r="D267" s="30" t="n"/>
      <c r="G267" s="9" t="n"/>
      <c r="J267" s="38" t="n"/>
    </row>
    <row r="268" ht="12.5" customHeight="1">
      <c r="A268" s="9" t="n"/>
      <c r="B268" s="13" t="n"/>
      <c r="C268" s="13" t="n"/>
      <c r="D268" s="30" t="n"/>
      <c r="G268" s="9" t="n"/>
      <c r="J268" s="38" t="n"/>
    </row>
    <row r="269" ht="12.5" customHeight="1">
      <c r="A269" s="9" t="n"/>
      <c r="B269" s="13" t="n"/>
      <c r="C269" s="13" t="n"/>
      <c r="D269" s="30" t="n"/>
      <c r="G269" s="9" t="n"/>
      <c r="J269" s="38" t="n"/>
    </row>
    <row r="270" ht="12.5" customHeight="1">
      <c r="A270" s="9" t="n"/>
      <c r="B270" s="13" t="n"/>
      <c r="C270" s="13" t="n"/>
      <c r="D270" s="30" t="n"/>
      <c r="G270" s="9" t="n"/>
      <c r="J270" s="38" t="n"/>
    </row>
    <row r="271" ht="12.5" customHeight="1">
      <c r="A271" s="9" t="n"/>
      <c r="B271" s="13" t="n"/>
      <c r="C271" s="13" t="n"/>
      <c r="D271" s="30" t="n"/>
      <c r="G271" s="9" t="n"/>
      <c r="J271" s="38" t="n"/>
    </row>
    <row r="272" ht="12.5" customHeight="1">
      <c r="A272" s="9" t="n"/>
      <c r="B272" s="13" t="n"/>
      <c r="C272" s="13" t="n"/>
      <c r="D272" s="30" t="n"/>
      <c r="G272" s="9" t="n"/>
      <c r="J272" s="38" t="n"/>
    </row>
    <row r="273" ht="12.5" customHeight="1">
      <c r="A273" s="9" t="n"/>
      <c r="B273" s="13" t="n"/>
      <c r="C273" s="13" t="n"/>
      <c r="D273" s="30" t="n"/>
      <c r="G273" s="9" t="n"/>
      <c r="J273" s="38" t="n"/>
    </row>
    <row r="274" ht="12.5" customHeight="1">
      <c r="A274" s="9" t="n"/>
      <c r="B274" s="13" t="n"/>
      <c r="C274" s="13" t="n"/>
      <c r="D274" s="30" t="n"/>
      <c r="G274" s="9" t="n"/>
      <c r="J274" s="38" t="n"/>
    </row>
    <row r="275" ht="12.5" customHeight="1">
      <c r="A275" s="9" t="n"/>
      <c r="B275" s="13" t="n"/>
      <c r="C275" s="13" t="n"/>
      <c r="D275" s="30" t="n"/>
      <c r="G275" s="9" t="n"/>
      <c r="J275" s="38" t="n"/>
    </row>
    <row r="276" ht="12.5" customHeight="1">
      <c r="A276" s="9" t="n"/>
      <c r="B276" s="13" t="n"/>
      <c r="C276" s="13" t="n"/>
      <c r="D276" s="30" t="n"/>
      <c r="G276" s="9" t="n"/>
      <c r="J276" s="38" t="n"/>
    </row>
    <row r="277" ht="12.5" customHeight="1">
      <c r="A277" s="9" t="n"/>
      <c r="B277" s="13" t="n"/>
      <c r="C277" s="13" t="n"/>
      <c r="D277" s="30" t="n"/>
      <c r="G277" s="9" t="n"/>
      <c r="J277" s="38" t="n"/>
    </row>
    <row r="278" ht="12.5" customHeight="1">
      <c r="A278" s="9" t="n"/>
      <c r="B278" s="13" t="n"/>
      <c r="C278" s="13" t="n"/>
      <c r="D278" s="30" t="n"/>
      <c r="G278" s="9" t="n"/>
      <c r="J278" s="38" t="n"/>
    </row>
    <row r="279" ht="12.5" customHeight="1">
      <c r="A279" s="9" t="n"/>
      <c r="B279" s="13" t="n"/>
      <c r="C279" s="13" t="n"/>
      <c r="D279" s="30" t="n"/>
      <c r="G279" s="9" t="n"/>
      <c r="J279" s="38" t="n"/>
    </row>
    <row r="280" ht="12.5" customHeight="1">
      <c r="A280" s="9" t="n"/>
      <c r="B280" s="13" t="n"/>
      <c r="C280" s="13" t="n"/>
      <c r="D280" s="30" t="n"/>
      <c r="G280" s="9" t="n"/>
      <c r="J280" s="38" t="n"/>
    </row>
    <row r="281" ht="12.5" customHeight="1">
      <c r="A281" s="9" t="n"/>
      <c r="B281" s="13" t="n"/>
      <c r="C281" s="13" t="n"/>
      <c r="D281" s="30" t="n"/>
      <c r="G281" s="9" t="n"/>
      <c r="J281" s="38" t="n"/>
    </row>
    <row r="282" ht="12.5" customHeight="1">
      <c r="A282" s="9" t="n"/>
      <c r="B282" s="13" t="n"/>
      <c r="C282" s="13" t="n"/>
      <c r="D282" s="30" t="n"/>
      <c r="G282" s="9" t="n"/>
      <c r="J282" s="38" t="n"/>
    </row>
    <row r="283" ht="12.5" customHeight="1">
      <c r="A283" s="9" t="n"/>
      <c r="B283" s="13" t="n"/>
      <c r="C283" s="13" t="n"/>
      <c r="D283" s="30" t="n"/>
      <c r="G283" s="9" t="n"/>
      <c r="J283" s="38" t="n"/>
    </row>
    <row r="284" ht="12.5" customHeight="1">
      <c r="A284" s="9" t="n"/>
      <c r="B284" s="13" t="n"/>
      <c r="C284" s="13" t="n"/>
      <c r="D284" s="30" t="n"/>
      <c r="G284" s="9" t="n"/>
      <c r="J284" s="38" t="n"/>
    </row>
    <row r="285" ht="12.5" customHeight="1">
      <c r="A285" s="9" t="n"/>
      <c r="B285" s="13" t="n"/>
      <c r="C285" s="13" t="n"/>
      <c r="D285" s="30" t="n"/>
      <c r="G285" s="9" t="n"/>
      <c r="J285" s="38" t="n"/>
    </row>
    <row r="286" ht="12.5" customHeight="1">
      <c r="A286" s="9" t="n"/>
      <c r="B286" s="13" t="n"/>
      <c r="C286" s="13" t="n"/>
      <c r="D286" s="30" t="n"/>
      <c r="G286" s="9" t="n"/>
      <c r="J286" s="38" t="n"/>
    </row>
    <row r="287" ht="12.5" customHeight="1">
      <c r="A287" s="9" t="n"/>
      <c r="B287" s="13" t="n"/>
      <c r="C287" s="13" t="n"/>
      <c r="D287" s="30" t="n"/>
      <c r="G287" s="9" t="n"/>
      <c r="J287" s="38" t="n"/>
    </row>
    <row r="288" ht="12.5" customHeight="1">
      <c r="A288" s="9" t="n"/>
      <c r="B288" s="13" t="n"/>
      <c r="C288" s="13" t="n"/>
      <c r="D288" s="30" t="n"/>
      <c r="G288" s="9" t="n"/>
      <c r="J288" s="38" t="n"/>
    </row>
    <row r="289" ht="12.5" customHeight="1">
      <c r="A289" s="9" t="n"/>
      <c r="B289" s="13" t="n"/>
      <c r="C289" s="13" t="n"/>
      <c r="D289" s="30" t="n"/>
      <c r="G289" s="9" t="n"/>
      <c r="J289" s="38" t="n"/>
    </row>
    <row r="290" ht="12.5" customHeight="1">
      <c r="A290" s="9" t="n"/>
      <c r="B290" s="13" t="n"/>
      <c r="C290" s="13" t="n"/>
      <c r="D290" s="30" t="n"/>
      <c r="G290" s="9" t="n"/>
      <c r="J290" s="38" t="n"/>
    </row>
    <row r="291" ht="12.5" customHeight="1">
      <c r="A291" s="9" t="n"/>
      <c r="B291" s="13" t="n"/>
      <c r="C291" s="13" t="n"/>
      <c r="D291" s="30" t="n"/>
      <c r="G291" s="9" t="n"/>
      <c r="J291" s="38" t="n"/>
    </row>
    <row r="292" ht="12.5" customHeight="1">
      <c r="A292" s="9" t="n"/>
      <c r="B292" s="13" t="n"/>
      <c r="C292" s="13" t="n"/>
      <c r="D292" s="30" t="n"/>
      <c r="G292" s="9" t="n"/>
      <c r="J292" s="38" t="n"/>
    </row>
    <row r="293" ht="12.5" customHeight="1">
      <c r="A293" s="9" t="n"/>
      <c r="B293" s="13" t="n"/>
      <c r="C293" s="13" t="n"/>
      <c r="D293" s="30" t="n"/>
      <c r="G293" s="9" t="n"/>
      <c r="J293" s="38" t="n"/>
    </row>
    <row r="294" ht="12.5" customHeight="1">
      <c r="A294" s="9" t="n"/>
      <c r="B294" s="13" t="n"/>
      <c r="C294" s="13" t="n"/>
      <c r="D294" s="30" t="n"/>
      <c r="G294" s="9" t="n"/>
      <c r="J294" s="38" t="n"/>
    </row>
    <row r="295" ht="12.5" customHeight="1">
      <c r="A295" s="9" t="n"/>
      <c r="B295" s="13" t="n"/>
      <c r="C295" s="13" t="n"/>
      <c r="D295" s="30" t="n"/>
      <c r="G295" s="9" t="n"/>
      <c r="J295" s="38" t="n"/>
    </row>
    <row r="296" ht="12.5" customHeight="1">
      <c r="A296" s="9" t="n"/>
      <c r="B296" s="13" t="n"/>
      <c r="C296" s="13" t="n"/>
      <c r="D296" s="30" t="n"/>
      <c r="G296" s="9" t="n"/>
      <c r="J296" s="38" t="n"/>
    </row>
    <row r="297" ht="12.5" customHeight="1">
      <c r="A297" s="9" t="n"/>
      <c r="B297" s="13" t="n"/>
      <c r="C297" s="13" t="n"/>
      <c r="D297" s="30" t="n"/>
      <c r="G297" s="9" t="n"/>
      <c r="J297" s="38" t="n"/>
    </row>
    <row r="298" ht="12.5" customHeight="1">
      <c r="A298" s="9" t="n"/>
      <c r="B298" s="13" t="n"/>
      <c r="C298" s="13" t="n"/>
      <c r="D298" s="30" t="n"/>
      <c r="G298" s="9" t="n"/>
      <c r="J298" s="38" t="n"/>
    </row>
    <row r="299" ht="12.5" customHeight="1">
      <c r="A299" s="9" t="n"/>
      <c r="B299" s="13" t="n"/>
      <c r="C299" s="13" t="n"/>
      <c r="D299" s="30" t="n"/>
      <c r="G299" s="9" t="n"/>
      <c r="J299" s="38" t="n"/>
    </row>
    <row r="300" ht="12.5" customHeight="1">
      <c r="A300" s="9" t="n"/>
      <c r="B300" s="13" t="n"/>
      <c r="C300" s="13" t="n"/>
      <c r="D300" s="30" t="n"/>
      <c r="G300" s="9" t="n"/>
      <c r="J300" s="38" t="n"/>
    </row>
    <row r="301" ht="12.5" customHeight="1">
      <c r="A301" s="9" t="n"/>
      <c r="B301" s="13" t="n"/>
      <c r="C301" s="13" t="n"/>
      <c r="D301" s="30" t="n"/>
      <c r="G301" s="9" t="n"/>
      <c r="J301" s="38" t="n"/>
    </row>
    <row r="302" ht="12.5" customHeight="1">
      <c r="A302" s="9" t="n"/>
      <c r="B302" s="13" t="n"/>
      <c r="C302" s="13" t="n"/>
      <c r="D302" s="30" t="n"/>
      <c r="G302" s="9" t="n"/>
      <c r="J302" s="38" t="n"/>
    </row>
    <row r="303" ht="12.5" customHeight="1">
      <c r="A303" s="9" t="n"/>
      <c r="B303" s="13" t="n"/>
      <c r="C303" s="13" t="n"/>
      <c r="D303" s="30" t="n"/>
      <c r="G303" s="9" t="n"/>
      <c r="J303" s="38" t="n"/>
    </row>
    <row r="304" ht="12.5" customHeight="1">
      <c r="A304" s="9" t="n"/>
      <c r="B304" s="13" t="n"/>
      <c r="C304" s="13" t="n"/>
      <c r="D304" s="30" t="n"/>
      <c r="G304" s="9" t="n"/>
      <c r="J304" s="38" t="n"/>
    </row>
    <row r="305" ht="12.5" customHeight="1">
      <c r="A305" s="9" t="n"/>
      <c r="B305" s="13" t="n"/>
      <c r="C305" s="13" t="n"/>
      <c r="D305" s="30" t="n"/>
      <c r="G305" s="9" t="n"/>
      <c r="J305" s="38" t="n"/>
    </row>
    <row r="306" ht="12.5" customHeight="1">
      <c r="A306" s="9" t="n"/>
      <c r="B306" s="13" t="n"/>
      <c r="C306" s="13" t="n"/>
      <c r="D306" s="30" t="n"/>
      <c r="G306" s="9" t="n"/>
      <c r="J306" s="38" t="n"/>
    </row>
    <row r="307" ht="12.5" customHeight="1">
      <c r="A307" s="9" t="n"/>
      <c r="B307" s="13" t="n"/>
      <c r="C307" s="13" t="n"/>
      <c r="D307" s="30" t="n"/>
      <c r="G307" s="9" t="n"/>
      <c r="J307" s="38" t="n"/>
    </row>
    <row r="308" ht="12.5" customHeight="1">
      <c r="A308" s="9" t="n"/>
      <c r="B308" s="13" t="n"/>
      <c r="C308" s="13" t="n"/>
      <c r="D308" s="30" t="n"/>
      <c r="G308" s="9" t="n"/>
      <c r="J308" s="38" t="n"/>
    </row>
    <row r="309" ht="12.5" customHeight="1">
      <c r="A309" s="9" t="n"/>
      <c r="B309" s="13" t="n"/>
      <c r="C309" s="13" t="n"/>
      <c r="D309" s="30" t="n"/>
      <c r="G309" s="9" t="n"/>
      <c r="J309" s="38" t="n"/>
    </row>
    <row r="310" ht="12.5" customHeight="1">
      <c r="A310" s="9" t="n"/>
      <c r="B310" s="13" t="n"/>
      <c r="C310" s="13" t="n"/>
      <c r="D310" s="30" t="n"/>
      <c r="G310" s="9" t="n"/>
      <c r="J310" s="38" t="n"/>
    </row>
    <row r="311" ht="12.5" customHeight="1">
      <c r="A311" s="9" t="n"/>
      <c r="B311" s="13" t="n"/>
      <c r="C311" s="13" t="n"/>
      <c r="D311" s="30" t="n"/>
      <c r="G311" s="9" t="n"/>
      <c r="J311" s="38" t="n"/>
    </row>
    <row r="312" ht="12.5" customHeight="1">
      <c r="A312" s="9" t="n"/>
      <c r="B312" s="13" t="n"/>
      <c r="C312" s="13" t="n"/>
      <c r="D312" s="30" t="n"/>
      <c r="G312" s="9" t="n"/>
      <c r="J312" s="38" t="n"/>
    </row>
    <row r="313" ht="12.5" customHeight="1">
      <c r="A313" s="9" t="n"/>
      <c r="B313" s="13" t="n"/>
      <c r="C313" s="13" t="n"/>
      <c r="D313" s="30" t="n"/>
      <c r="G313" s="9" t="n"/>
      <c r="J313" s="38" t="n"/>
    </row>
    <row r="314" ht="12.5" customHeight="1">
      <c r="A314" s="9" t="n"/>
      <c r="B314" s="13" t="n"/>
      <c r="C314" s="13" t="n"/>
      <c r="D314" s="30" t="n"/>
      <c r="G314" s="9" t="n"/>
      <c r="J314" s="38" t="n"/>
    </row>
    <row r="315" ht="12.5" customHeight="1">
      <c r="A315" s="9" t="n"/>
      <c r="B315" s="13" t="n"/>
      <c r="C315" s="13" t="n"/>
      <c r="D315" s="30" t="n"/>
      <c r="G315" s="9" t="n"/>
      <c r="J315" s="38" t="n"/>
    </row>
    <row r="316" ht="12.5" customHeight="1">
      <c r="A316" s="9" t="n"/>
      <c r="B316" s="13" t="n"/>
      <c r="C316" s="13" t="n"/>
      <c r="D316" s="30" t="n"/>
      <c r="G316" s="9" t="n"/>
      <c r="J316" s="38" t="n"/>
    </row>
    <row r="317" ht="12.5" customHeight="1">
      <c r="A317" s="9" t="n"/>
      <c r="B317" s="13" t="n"/>
      <c r="C317" s="13" t="n"/>
      <c r="D317" s="30" t="n"/>
      <c r="G317" s="9" t="n"/>
      <c r="J317" s="38" t="n"/>
    </row>
    <row r="318" ht="12.5" customHeight="1">
      <c r="A318" s="9" t="n"/>
      <c r="B318" s="13" t="n"/>
      <c r="C318" s="13" t="n"/>
      <c r="D318" s="30" t="n"/>
      <c r="G318" s="9" t="n"/>
      <c r="J318" s="38" t="n"/>
    </row>
    <row r="319" ht="12.5" customHeight="1">
      <c r="A319" s="9" t="n"/>
      <c r="B319" s="13" t="n"/>
      <c r="C319" s="13" t="n"/>
      <c r="D319" s="30" t="n"/>
      <c r="G319" s="9" t="n"/>
      <c r="J319" s="38" t="n"/>
    </row>
    <row r="320" ht="12.5" customHeight="1">
      <c r="A320" s="9" t="n"/>
      <c r="B320" s="13" t="n"/>
      <c r="C320" s="13" t="n"/>
      <c r="D320" s="30" t="n"/>
      <c r="G320" s="9" t="n"/>
      <c r="J320" s="38" t="n"/>
    </row>
    <row r="321" ht="12.5" customHeight="1">
      <c r="A321" s="9" t="n"/>
      <c r="B321" s="13" t="n"/>
      <c r="C321" s="13" t="n"/>
      <c r="D321" s="30" t="n"/>
      <c r="G321" s="9" t="n"/>
      <c r="J321" s="38" t="n"/>
    </row>
    <row r="322" ht="12.5" customHeight="1">
      <c r="A322" s="9" t="n"/>
      <c r="B322" s="13" t="n"/>
      <c r="C322" s="13" t="n"/>
      <c r="D322" s="30" t="n"/>
      <c r="G322" s="9" t="n"/>
      <c r="J322" s="38" t="n"/>
    </row>
    <row r="323" ht="12.5" customHeight="1">
      <c r="A323" s="9" t="n"/>
      <c r="B323" s="13" t="n"/>
      <c r="C323" s="13" t="n"/>
      <c r="D323" s="30" t="n"/>
      <c r="G323" s="9" t="n"/>
      <c r="J323" s="38" t="n"/>
    </row>
    <row r="324" ht="12.5" customHeight="1">
      <c r="A324" s="9" t="n"/>
      <c r="B324" s="13" t="n"/>
      <c r="C324" s="13" t="n"/>
      <c r="D324" s="30" t="n"/>
      <c r="G324" s="9" t="n"/>
      <c r="J324" s="38" t="n"/>
    </row>
    <row r="325" ht="12.5" customHeight="1">
      <c r="A325" s="9" t="n"/>
      <c r="B325" s="13" t="n"/>
      <c r="C325" s="13" t="n"/>
      <c r="D325" s="30" t="n"/>
      <c r="G325" s="9" t="n"/>
      <c r="J325" s="38" t="n"/>
    </row>
    <row r="326" ht="12.5" customHeight="1">
      <c r="A326" s="9" t="n"/>
      <c r="B326" s="13" t="n"/>
      <c r="C326" s="13" t="n"/>
      <c r="D326" s="30" t="n"/>
      <c r="G326" s="9" t="n"/>
      <c r="J326" s="38" t="n"/>
    </row>
    <row r="327" ht="12.5" customHeight="1">
      <c r="A327" s="9" t="n"/>
      <c r="B327" s="13" t="n"/>
      <c r="C327" s="13" t="n"/>
      <c r="D327" s="30" t="n"/>
      <c r="G327" s="9" t="n"/>
      <c r="J327" s="38" t="n"/>
    </row>
    <row r="328" ht="12.5" customHeight="1">
      <c r="A328" s="9" t="n"/>
      <c r="B328" s="13" t="n"/>
      <c r="C328" s="13" t="n"/>
      <c r="D328" s="30" t="n"/>
      <c r="G328" s="9" t="n"/>
      <c r="J328" s="38" t="n"/>
    </row>
    <row r="329" ht="12.5" customHeight="1">
      <c r="A329" s="9" t="n"/>
      <c r="B329" s="13" t="n"/>
      <c r="C329" s="13" t="n"/>
      <c r="D329" s="30" t="n"/>
      <c r="G329" s="9" t="n"/>
      <c r="J329" s="38" t="n"/>
    </row>
    <row r="330" ht="12.5" customHeight="1">
      <c r="A330" s="9" t="n"/>
      <c r="B330" s="13" t="n"/>
      <c r="C330" s="13" t="n"/>
      <c r="D330" s="30" t="n"/>
      <c r="G330" s="9" t="n"/>
      <c r="J330" s="38" t="n"/>
    </row>
    <row r="331" ht="12.5" customHeight="1">
      <c r="A331" s="9" t="n"/>
      <c r="B331" s="13" t="n"/>
      <c r="C331" s="13" t="n"/>
      <c r="D331" s="30" t="n"/>
      <c r="G331" s="9" t="n"/>
      <c r="J331" s="38" t="n"/>
    </row>
    <row r="332" ht="12.5" customHeight="1">
      <c r="A332" s="9" t="n"/>
      <c r="B332" s="13" t="n"/>
      <c r="C332" s="13" t="n"/>
      <c r="D332" s="30" t="n"/>
      <c r="G332" s="9" t="n"/>
      <c r="J332" s="38" t="n"/>
    </row>
    <row r="333" ht="12.5" customHeight="1">
      <c r="A333" s="9" t="n"/>
      <c r="B333" s="13" t="n"/>
      <c r="C333" s="13" t="n"/>
      <c r="D333" s="30" t="n"/>
      <c r="G333" s="9" t="n"/>
      <c r="J333" s="38" t="n"/>
    </row>
    <row r="334" ht="12.5" customHeight="1">
      <c r="A334" s="9" t="n"/>
      <c r="B334" s="13" t="n"/>
      <c r="C334" s="13" t="n"/>
      <c r="D334" s="30" t="n"/>
      <c r="G334" s="9" t="n"/>
      <c r="J334" s="38" t="n"/>
    </row>
    <row r="335" ht="12.5" customHeight="1">
      <c r="A335" s="9" t="n"/>
      <c r="B335" s="13" t="n"/>
      <c r="C335" s="13" t="n"/>
      <c r="D335" s="30" t="n"/>
      <c r="G335" s="9" t="n"/>
      <c r="J335" s="38" t="n"/>
    </row>
    <row r="336" ht="12.5" customHeight="1">
      <c r="A336" s="9" t="n"/>
      <c r="B336" s="13" t="n"/>
      <c r="C336" s="13" t="n"/>
      <c r="D336" s="30" t="n"/>
      <c r="G336" s="9" t="n"/>
      <c r="J336" s="38" t="n"/>
    </row>
    <row r="337" ht="12.5" customHeight="1">
      <c r="A337" s="9" t="n"/>
      <c r="B337" s="13" t="n"/>
      <c r="C337" s="13" t="n"/>
      <c r="D337" s="30" t="n"/>
      <c r="G337" s="9" t="n"/>
      <c r="J337" s="38" t="n"/>
    </row>
    <row r="338" ht="12.5" customHeight="1">
      <c r="A338" s="9" t="n"/>
      <c r="B338" s="13" t="n"/>
      <c r="C338" s="13" t="n"/>
      <c r="D338" s="30" t="n"/>
      <c r="G338" s="9" t="n"/>
      <c r="J338" s="38" t="n"/>
    </row>
    <row r="339" ht="12.5" customHeight="1">
      <c r="A339" s="9" t="n"/>
      <c r="B339" s="13" t="n"/>
      <c r="C339" s="13" t="n"/>
      <c r="D339" s="30" t="n"/>
      <c r="G339" s="9" t="n"/>
      <c r="J339" s="38" t="n"/>
    </row>
    <row r="340" ht="12.5" customHeight="1">
      <c r="A340" s="9" t="n"/>
      <c r="B340" s="13" t="n"/>
      <c r="C340" s="13" t="n"/>
      <c r="D340" s="30" t="n"/>
      <c r="G340" s="9" t="n"/>
      <c r="J340" s="38" t="n"/>
    </row>
    <row r="341" ht="12.5" customHeight="1">
      <c r="A341" s="9" t="n"/>
      <c r="B341" s="13" t="n"/>
      <c r="C341" s="13" t="n"/>
      <c r="D341" s="30" t="n"/>
      <c r="G341" s="9" t="n"/>
      <c r="J341" s="38" t="n"/>
    </row>
    <row r="342" ht="12.5" customHeight="1">
      <c r="A342" s="9" t="n"/>
      <c r="B342" s="13" t="n"/>
      <c r="C342" s="13" t="n"/>
      <c r="D342" s="30" t="n"/>
      <c r="G342" s="9" t="n"/>
      <c r="J342" s="38" t="n"/>
    </row>
    <row r="343" ht="12.5" customHeight="1">
      <c r="A343" s="9" t="n"/>
      <c r="B343" s="13" t="n"/>
      <c r="C343" s="13" t="n"/>
      <c r="D343" s="30" t="n"/>
      <c r="G343" s="9" t="n"/>
      <c r="J343" s="38" t="n"/>
    </row>
    <row r="344" ht="12.5" customHeight="1">
      <c r="A344" s="9" t="n"/>
      <c r="B344" s="13" t="n"/>
      <c r="C344" s="13" t="n"/>
      <c r="D344" s="30" t="n"/>
      <c r="G344" s="9" t="n"/>
      <c r="J344" s="38" t="n"/>
    </row>
    <row r="345" ht="12.5" customHeight="1">
      <c r="A345" s="9" t="n"/>
      <c r="B345" s="13" t="n"/>
      <c r="C345" s="13" t="n"/>
      <c r="D345" s="30" t="n"/>
      <c r="G345" s="9" t="n"/>
      <c r="J345" s="38" t="n"/>
    </row>
    <row r="346" ht="12.5" customHeight="1">
      <c r="A346" s="9" t="n"/>
      <c r="B346" s="13" t="n"/>
      <c r="C346" s="13" t="n"/>
      <c r="D346" s="30" t="n"/>
      <c r="G346" s="9" t="n"/>
      <c r="J346" s="38" t="n"/>
    </row>
    <row r="347" ht="12.5" customHeight="1">
      <c r="A347" s="9" t="n"/>
      <c r="B347" s="13" t="n"/>
      <c r="C347" s="13" t="n"/>
      <c r="D347" s="30" t="n"/>
      <c r="G347" s="9" t="n"/>
      <c r="J347" s="38" t="n"/>
    </row>
    <row r="348" ht="12.5" customHeight="1">
      <c r="A348" s="9" t="n"/>
      <c r="B348" s="13" t="n"/>
      <c r="C348" s="13" t="n"/>
      <c r="D348" s="30" t="n"/>
      <c r="G348" s="9" t="n"/>
      <c r="J348" s="38" t="n"/>
    </row>
    <row r="349" ht="12.5" customHeight="1">
      <c r="A349" s="9" t="n"/>
      <c r="B349" s="13" t="n"/>
      <c r="C349" s="13" t="n"/>
      <c r="D349" s="30" t="n"/>
      <c r="G349" s="9" t="n"/>
      <c r="J349" s="38" t="n"/>
    </row>
    <row r="350" ht="12.5" customHeight="1">
      <c r="A350" s="9" t="n"/>
      <c r="B350" s="13" t="n"/>
      <c r="C350" s="13" t="n"/>
      <c r="D350" s="30" t="n"/>
      <c r="G350" s="9" t="n"/>
      <c r="J350" s="38" t="n"/>
    </row>
    <row r="351" ht="12.5" customHeight="1">
      <c r="A351" s="9" t="n"/>
      <c r="B351" s="13" t="n"/>
      <c r="C351" s="13" t="n"/>
      <c r="D351" s="30" t="n"/>
      <c r="G351" s="9" t="n"/>
      <c r="J351" s="38" t="n"/>
    </row>
    <row r="352" ht="12.5" customHeight="1">
      <c r="A352" s="9" t="n"/>
      <c r="B352" s="13" t="n"/>
      <c r="C352" s="13" t="n"/>
      <c r="D352" s="30" t="n"/>
      <c r="G352" s="9" t="n"/>
      <c r="J352" s="38" t="n"/>
    </row>
    <row r="353" ht="12.5" customHeight="1">
      <c r="A353" s="9" t="n"/>
      <c r="B353" s="13" t="n"/>
      <c r="C353" s="13" t="n"/>
      <c r="D353" s="30" t="n"/>
      <c r="G353" s="9" t="n"/>
      <c r="J353" s="38" t="n"/>
    </row>
    <row r="354" ht="12.5" customHeight="1">
      <c r="A354" s="9" t="n"/>
      <c r="B354" s="13" t="n"/>
      <c r="C354" s="13" t="n"/>
      <c r="D354" s="30" t="n"/>
      <c r="G354" s="9" t="n"/>
      <c r="J354" s="38" t="n"/>
    </row>
    <row r="355" ht="12.5" customHeight="1">
      <c r="A355" s="9" t="n"/>
      <c r="B355" s="13" t="n"/>
      <c r="C355" s="13" t="n"/>
      <c r="D355" s="30" t="n"/>
      <c r="G355" s="9" t="n"/>
      <c r="J355" s="38" t="n"/>
    </row>
    <row r="356" ht="12.5" customHeight="1">
      <c r="A356" s="9" t="n"/>
      <c r="B356" s="13" t="n"/>
      <c r="C356" s="13" t="n"/>
      <c r="D356" s="30" t="n"/>
      <c r="G356" s="9" t="n"/>
      <c r="J356" s="38" t="n"/>
    </row>
    <row r="357" ht="12.5" customHeight="1">
      <c r="A357" s="9" t="n"/>
      <c r="B357" s="13" t="n"/>
      <c r="C357" s="13" t="n"/>
      <c r="D357" s="30" t="n"/>
      <c r="G357" s="9" t="n"/>
      <c r="J357" s="38" t="n"/>
    </row>
    <row r="358" ht="12.5" customHeight="1">
      <c r="A358" s="9" t="n"/>
      <c r="B358" s="13" t="n"/>
      <c r="C358" s="13" t="n"/>
      <c r="D358" s="30" t="n"/>
      <c r="G358" s="9" t="n"/>
      <c r="J358" s="38" t="n"/>
    </row>
    <row r="359" ht="12.5" customHeight="1">
      <c r="A359" s="9" t="n"/>
      <c r="B359" s="13" t="n"/>
      <c r="C359" s="13" t="n"/>
      <c r="D359" s="30" t="n"/>
      <c r="G359" s="9" t="n"/>
      <c r="J359" s="38" t="n"/>
    </row>
    <row r="360" ht="12.5" customHeight="1">
      <c r="A360" s="9" t="n"/>
      <c r="B360" s="13" t="n"/>
      <c r="C360" s="13" t="n"/>
      <c r="D360" s="30" t="n"/>
      <c r="G360" s="9" t="n"/>
      <c r="J360" s="38" t="n"/>
    </row>
    <row r="361" ht="12.5" customHeight="1">
      <c r="A361" s="9" t="n"/>
      <c r="B361" s="13" t="n"/>
      <c r="C361" s="13" t="n"/>
      <c r="D361" s="30" t="n"/>
      <c r="G361" s="9" t="n"/>
      <c r="J361" s="38" t="n"/>
    </row>
    <row r="362" ht="12.5" customHeight="1">
      <c r="A362" s="9" t="n"/>
      <c r="B362" s="13" t="n"/>
      <c r="C362" s="13" t="n"/>
      <c r="D362" s="30" t="n"/>
      <c r="G362" s="9" t="n"/>
      <c r="J362" s="38" t="n"/>
    </row>
    <row r="363" ht="12.5" customHeight="1">
      <c r="A363" s="9" t="n"/>
      <c r="B363" s="13" t="n"/>
      <c r="C363" s="13" t="n"/>
      <c r="D363" s="30" t="n"/>
      <c r="G363" s="9" t="n"/>
      <c r="J363" s="38" t="n"/>
    </row>
    <row r="364" ht="12.5" customHeight="1">
      <c r="A364" s="9" t="n"/>
      <c r="B364" s="13" t="n"/>
      <c r="C364" s="13" t="n"/>
      <c r="D364" s="30" t="n"/>
      <c r="G364" s="9" t="n"/>
      <c r="J364" s="38" t="n"/>
    </row>
    <row r="365" ht="12.5" customHeight="1">
      <c r="A365" s="9" t="n"/>
      <c r="B365" s="13" t="n"/>
      <c r="C365" s="13" t="n"/>
      <c r="D365" s="30" t="n"/>
      <c r="G365" s="9" t="n"/>
      <c r="J365" s="38" t="n"/>
    </row>
    <row r="366" ht="12.5" customHeight="1">
      <c r="A366" s="9" t="n"/>
      <c r="B366" s="13" t="n"/>
      <c r="C366" s="13" t="n"/>
      <c r="D366" s="30" t="n"/>
      <c r="G366" s="9" t="n"/>
      <c r="J366" s="38" t="n"/>
    </row>
    <row r="367" ht="12.5" customHeight="1">
      <c r="A367" s="9" t="n"/>
      <c r="B367" s="13" t="n"/>
      <c r="C367" s="13" t="n"/>
      <c r="D367" s="30" t="n"/>
      <c r="G367" s="9" t="n"/>
      <c r="J367" s="38" t="n"/>
    </row>
    <row r="368" ht="12.5" customHeight="1">
      <c r="A368" s="9" t="n"/>
      <c r="B368" s="13" t="n"/>
      <c r="C368" s="13" t="n"/>
      <c r="D368" s="30" t="n"/>
      <c r="G368" s="9" t="n"/>
      <c r="J368" s="38" t="n"/>
    </row>
    <row r="369" ht="12.5" customHeight="1">
      <c r="A369" s="9" t="n"/>
      <c r="B369" s="13" t="n"/>
      <c r="C369" s="13" t="n"/>
      <c r="D369" s="30" t="n"/>
      <c r="G369" s="9" t="n"/>
      <c r="J369" s="38" t="n"/>
    </row>
    <row r="370" ht="12.5" customHeight="1">
      <c r="A370" s="9" t="n"/>
      <c r="B370" s="13" t="n"/>
      <c r="C370" s="13" t="n"/>
      <c r="D370" s="30" t="n"/>
      <c r="G370" s="9" t="n"/>
      <c r="J370" s="38" t="n"/>
    </row>
    <row r="371" ht="12.5" customHeight="1">
      <c r="A371" s="9" t="n"/>
      <c r="B371" s="13" t="n"/>
      <c r="C371" s="13" t="n"/>
      <c r="D371" s="30" t="n"/>
      <c r="G371" s="9" t="n"/>
      <c r="J371" s="38" t="n"/>
    </row>
    <row r="372" ht="12.5" customHeight="1">
      <c r="A372" s="9" t="n"/>
      <c r="B372" s="13" t="n"/>
      <c r="C372" s="13" t="n"/>
      <c r="D372" s="30" t="n"/>
      <c r="G372" s="9" t="n"/>
      <c r="J372" s="38" t="n"/>
    </row>
    <row r="373" ht="12.5" customHeight="1">
      <c r="A373" s="9" t="n"/>
      <c r="B373" s="13" t="n"/>
      <c r="C373" s="13" t="n"/>
      <c r="D373" s="30" t="n"/>
      <c r="G373" s="9" t="n"/>
      <c r="J373" s="38" t="n"/>
    </row>
    <row r="374" ht="12.5" customHeight="1">
      <c r="A374" s="9" t="n"/>
      <c r="B374" s="13" t="n"/>
      <c r="C374" s="13" t="n"/>
      <c r="D374" s="30" t="n"/>
      <c r="G374" s="9" t="n"/>
      <c r="J374" s="38" t="n"/>
    </row>
    <row r="375" ht="12.5" customHeight="1">
      <c r="A375" s="9" t="n"/>
      <c r="B375" s="13" t="n"/>
      <c r="C375" s="13" t="n"/>
      <c r="D375" s="30" t="n"/>
      <c r="G375" s="9" t="n"/>
      <c r="J375" s="38" t="n"/>
    </row>
    <row r="376" ht="12.5" customHeight="1">
      <c r="A376" s="9" t="n"/>
      <c r="B376" s="13" t="n"/>
      <c r="C376" s="13" t="n"/>
      <c r="D376" s="30" t="n"/>
      <c r="G376" s="9" t="n"/>
      <c r="J376" s="38" t="n"/>
    </row>
    <row r="377" ht="12.5" customHeight="1">
      <c r="A377" s="9" t="n"/>
      <c r="B377" s="13" t="n"/>
      <c r="C377" s="13" t="n"/>
      <c r="D377" s="30" t="n"/>
      <c r="G377" s="9" t="n"/>
      <c r="J377" s="38" t="n"/>
    </row>
    <row r="378" ht="12.5" customHeight="1">
      <c r="A378" s="9" t="n"/>
      <c r="B378" s="13" t="n"/>
      <c r="C378" s="13" t="n"/>
      <c r="D378" s="30" t="n"/>
      <c r="G378" s="9" t="n"/>
      <c r="J378" s="38" t="n"/>
    </row>
    <row r="379" ht="12.5" customHeight="1">
      <c r="A379" s="9" t="n"/>
      <c r="B379" s="13" t="n"/>
      <c r="C379" s="13" t="n"/>
      <c r="D379" s="30" t="n"/>
      <c r="G379" s="9" t="n"/>
      <c r="J379" s="38" t="n"/>
    </row>
    <row r="380" ht="12.5" customHeight="1">
      <c r="A380" s="9" t="n"/>
      <c r="B380" s="13" t="n"/>
      <c r="C380" s="13" t="n"/>
      <c r="D380" s="30" t="n"/>
      <c r="G380" s="9" t="n"/>
      <c r="J380" s="38" t="n"/>
    </row>
    <row r="381" ht="12.5" customHeight="1">
      <c r="A381" s="9" t="n"/>
      <c r="B381" s="13" t="n"/>
      <c r="C381" s="13" t="n"/>
      <c r="D381" s="30" t="n"/>
      <c r="G381" s="9" t="n"/>
      <c r="J381" s="38" t="n"/>
    </row>
    <row r="382" ht="12.5" customHeight="1">
      <c r="A382" s="9" t="n"/>
      <c r="B382" s="13" t="n"/>
      <c r="C382" s="13" t="n"/>
      <c r="D382" s="30" t="n"/>
      <c r="G382" s="9" t="n"/>
      <c r="J382" s="38" t="n"/>
    </row>
    <row r="383" ht="12.5" customHeight="1">
      <c r="A383" s="9" t="n"/>
      <c r="B383" s="13" t="n"/>
      <c r="C383" s="13" t="n"/>
      <c r="D383" s="30" t="n"/>
      <c r="G383" s="9" t="n"/>
      <c r="J383" s="38" t="n"/>
    </row>
    <row r="384" ht="12.5" customHeight="1">
      <c r="A384" s="9" t="n"/>
      <c r="B384" s="13" t="n"/>
      <c r="C384" s="13" t="n"/>
      <c r="D384" s="30" t="n"/>
      <c r="G384" s="9" t="n"/>
      <c r="J384" s="38" t="n"/>
    </row>
    <row r="385" ht="12.5" customHeight="1">
      <c r="A385" s="9" t="n"/>
      <c r="B385" s="13" t="n"/>
      <c r="C385" s="13" t="n"/>
      <c r="D385" s="30" t="n"/>
      <c r="G385" s="9" t="n"/>
      <c r="J385" s="38" t="n"/>
    </row>
    <row r="386" ht="12.5" customHeight="1">
      <c r="A386" s="9" t="n"/>
      <c r="B386" s="13" t="n"/>
      <c r="C386" s="13" t="n"/>
      <c r="D386" s="30" t="n"/>
      <c r="G386" s="9" t="n"/>
      <c r="J386" s="38" t="n"/>
    </row>
    <row r="387" ht="12.5" customHeight="1">
      <c r="A387" s="9" t="n"/>
      <c r="B387" s="13" t="n"/>
      <c r="C387" s="13" t="n"/>
      <c r="D387" s="30" t="n"/>
      <c r="G387" s="9" t="n"/>
      <c r="J387" s="38" t="n"/>
    </row>
    <row r="388" ht="12.5" customHeight="1">
      <c r="A388" s="9" t="n"/>
      <c r="B388" s="13" t="n"/>
      <c r="C388" s="13" t="n"/>
      <c r="D388" s="30" t="n"/>
      <c r="G388" s="9" t="n"/>
      <c r="J388" s="38" t="n"/>
    </row>
    <row r="389" ht="12.5" customHeight="1">
      <c r="A389" s="9" t="n"/>
      <c r="B389" s="13" t="n"/>
      <c r="C389" s="13" t="n"/>
      <c r="D389" s="30" t="n"/>
      <c r="G389" s="9" t="n"/>
      <c r="J389" s="38" t="n"/>
    </row>
    <row r="390" ht="12.5" customHeight="1">
      <c r="A390" s="9" t="n"/>
      <c r="B390" s="13" t="n"/>
      <c r="C390" s="13" t="n"/>
      <c r="D390" s="30" t="n"/>
      <c r="G390" s="9" t="n"/>
      <c r="J390" s="38" t="n"/>
    </row>
    <row r="391" ht="12.5" customHeight="1">
      <c r="A391" s="9" t="n"/>
      <c r="B391" s="13" t="n"/>
      <c r="C391" s="13" t="n"/>
      <c r="D391" s="30" t="n"/>
      <c r="G391" s="9" t="n"/>
      <c r="J391" s="38" t="n"/>
    </row>
    <row r="392" ht="12.5" customHeight="1">
      <c r="A392" s="9" t="n"/>
      <c r="B392" s="13" t="n"/>
      <c r="C392" s="13" t="n"/>
      <c r="D392" s="30" t="n"/>
      <c r="G392" s="9" t="n"/>
      <c r="J392" s="38" t="n"/>
    </row>
    <row r="393" ht="12.5" customHeight="1">
      <c r="A393" s="9" t="n"/>
      <c r="B393" s="13" t="n"/>
      <c r="C393" s="13" t="n"/>
      <c r="D393" s="30" t="n"/>
      <c r="G393" s="9" t="n"/>
      <c r="J393" s="38" t="n"/>
    </row>
    <row r="394" ht="12.5" customHeight="1">
      <c r="A394" s="9" t="n"/>
      <c r="B394" s="13" t="n"/>
      <c r="C394" s="13" t="n"/>
      <c r="D394" s="30" t="n"/>
      <c r="G394" s="9" t="n"/>
      <c r="J394" s="38" t="n"/>
    </row>
    <row r="395" ht="12.5" customHeight="1">
      <c r="A395" s="9" t="n"/>
      <c r="B395" s="13" t="n"/>
      <c r="C395" s="13" t="n"/>
      <c r="D395" s="30" t="n"/>
      <c r="G395" s="9" t="n"/>
      <c r="J395" s="38" t="n"/>
    </row>
    <row r="396" ht="12.5" customHeight="1">
      <c r="A396" s="9" t="n"/>
      <c r="B396" s="13" t="n"/>
      <c r="C396" s="13" t="n"/>
      <c r="D396" s="30" t="n"/>
      <c r="G396" s="9" t="n"/>
      <c r="J396" s="38" t="n"/>
    </row>
    <row r="397" ht="12.5" customHeight="1">
      <c r="A397" s="9" t="n"/>
      <c r="B397" s="13" t="n"/>
      <c r="C397" s="13" t="n"/>
      <c r="D397" s="30" t="n"/>
      <c r="G397" s="9" t="n"/>
      <c r="J397" s="38" t="n"/>
    </row>
    <row r="398" ht="12.5" customHeight="1">
      <c r="A398" s="9" t="n"/>
      <c r="B398" s="13" t="n"/>
      <c r="C398" s="13" t="n"/>
      <c r="D398" s="30" t="n"/>
      <c r="G398" s="9" t="n"/>
      <c r="J398" s="38" t="n"/>
    </row>
    <row r="399" ht="12.5" customHeight="1">
      <c r="A399" s="9" t="n"/>
      <c r="B399" s="13" t="n"/>
      <c r="C399" s="13" t="n"/>
      <c r="D399" s="30" t="n"/>
      <c r="G399" s="9" t="n"/>
      <c r="J399" s="38" t="n"/>
    </row>
    <row r="400" ht="12.5" customHeight="1">
      <c r="A400" s="9" t="n"/>
      <c r="B400" s="13" t="n"/>
      <c r="C400" s="13" t="n"/>
      <c r="D400" s="30" t="n"/>
      <c r="G400" s="9" t="n"/>
      <c r="J400" s="38" t="n"/>
    </row>
    <row r="401" ht="12.5" customHeight="1">
      <c r="A401" s="9" t="n"/>
      <c r="B401" s="13" t="n"/>
      <c r="C401" s="13" t="n"/>
      <c r="D401" s="30" t="n"/>
      <c r="G401" s="9" t="n"/>
      <c r="J401" s="38" t="n"/>
    </row>
    <row r="402" ht="12.5" customHeight="1">
      <c r="A402" s="9" t="n"/>
      <c r="B402" s="13" t="n"/>
      <c r="C402" s="13" t="n"/>
      <c r="D402" s="30" t="n"/>
      <c r="G402" s="9" t="n"/>
      <c r="J402" s="38" t="n"/>
    </row>
    <row r="403" ht="12.5" customHeight="1">
      <c r="A403" s="9" t="n"/>
      <c r="B403" s="13" t="n"/>
      <c r="C403" s="13" t="n"/>
      <c r="D403" s="30" t="n"/>
      <c r="G403" s="9" t="n"/>
      <c r="J403" s="38" t="n"/>
    </row>
    <row r="404" ht="12.5" customHeight="1">
      <c r="A404" s="9" t="n"/>
      <c r="B404" s="13" t="n"/>
      <c r="C404" s="13" t="n"/>
      <c r="D404" s="30" t="n"/>
      <c r="G404" s="9" t="n"/>
      <c r="J404" s="38" t="n"/>
    </row>
    <row r="405" ht="12.5" customHeight="1">
      <c r="A405" s="9" t="n"/>
      <c r="B405" s="13" t="n"/>
      <c r="C405" s="13" t="n"/>
      <c r="D405" s="30" t="n"/>
      <c r="G405" s="9" t="n"/>
      <c r="J405" s="38" t="n"/>
    </row>
    <row r="406" ht="12.5" customHeight="1">
      <c r="A406" s="9" t="n"/>
      <c r="B406" s="13" t="n"/>
      <c r="C406" s="13" t="n"/>
      <c r="D406" s="30" t="n"/>
      <c r="G406" s="9" t="n"/>
      <c r="J406" s="38" t="n"/>
    </row>
    <row r="407" ht="12.5" customHeight="1">
      <c r="A407" s="9" t="n"/>
      <c r="B407" s="13" t="n"/>
      <c r="C407" s="13" t="n"/>
      <c r="D407" s="30" t="n"/>
      <c r="G407" s="9" t="n"/>
      <c r="J407" s="38" t="n"/>
    </row>
    <row r="408" ht="12.5" customHeight="1">
      <c r="A408" s="9" t="n"/>
      <c r="B408" s="13" t="n"/>
      <c r="C408" s="13" t="n"/>
      <c r="D408" s="30" t="n"/>
      <c r="G408" s="9" t="n"/>
      <c r="J408" s="38" t="n"/>
    </row>
    <row r="409" ht="12.5" customHeight="1">
      <c r="A409" s="9" t="n"/>
      <c r="B409" s="13" t="n"/>
      <c r="C409" s="13" t="n"/>
      <c r="D409" s="30" t="n"/>
      <c r="G409" s="9" t="n"/>
      <c r="J409" s="38" t="n"/>
    </row>
    <row r="410" ht="12.5" customHeight="1">
      <c r="A410" s="9" t="n"/>
      <c r="B410" s="13" t="n"/>
      <c r="C410" s="13" t="n"/>
      <c r="D410" s="30" t="n"/>
      <c r="G410" s="9" t="n"/>
      <c r="J410" s="38" t="n"/>
    </row>
    <row r="411" ht="12.5" customHeight="1">
      <c r="A411" s="9" t="n"/>
      <c r="B411" s="13" t="n"/>
      <c r="C411" s="13" t="n"/>
      <c r="D411" s="30" t="n"/>
      <c r="G411" s="9" t="n"/>
      <c r="J411" s="38" t="n"/>
    </row>
    <row r="412" ht="12.5" customHeight="1">
      <c r="A412" s="9" t="n"/>
      <c r="B412" s="13" t="n"/>
      <c r="C412" s="13" t="n"/>
      <c r="D412" s="30" t="n"/>
      <c r="G412" s="9" t="n"/>
      <c r="J412" s="38" t="n"/>
    </row>
    <row r="413" ht="12.5" customHeight="1">
      <c r="A413" s="9" t="n"/>
      <c r="B413" s="13" t="n"/>
      <c r="C413" s="13" t="n"/>
      <c r="D413" s="30" t="n"/>
      <c r="G413" s="9" t="n"/>
      <c r="J413" s="38" t="n"/>
    </row>
    <row r="414" ht="12.5" customHeight="1">
      <c r="A414" s="9" t="n"/>
      <c r="B414" s="13" t="n"/>
      <c r="C414" s="13" t="n"/>
      <c r="D414" s="30" t="n"/>
      <c r="G414" s="9" t="n"/>
      <c r="J414" s="38" t="n"/>
    </row>
    <row r="415" ht="12.5" customHeight="1">
      <c r="A415" s="9" t="n"/>
      <c r="B415" s="13" t="n"/>
      <c r="C415" s="13" t="n"/>
      <c r="D415" s="30" t="n"/>
      <c r="G415" s="9" t="n"/>
      <c r="J415" s="38" t="n"/>
    </row>
    <row r="416" ht="12.5" customHeight="1">
      <c r="A416" s="9" t="n"/>
      <c r="B416" s="13" t="n"/>
      <c r="C416" s="13" t="n"/>
      <c r="D416" s="30" t="n"/>
      <c r="G416" s="9" t="n"/>
      <c r="J416" s="38" t="n"/>
    </row>
    <row r="417" ht="12.5" customHeight="1">
      <c r="A417" s="9" t="n"/>
      <c r="B417" s="13" t="n"/>
      <c r="C417" s="13" t="n"/>
      <c r="D417" s="30" t="n"/>
      <c r="G417" s="9" t="n"/>
      <c r="J417" s="38" t="n"/>
    </row>
    <row r="418" ht="12.5" customHeight="1">
      <c r="A418" s="9" t="n"/>
      <c r="B418" s="13" t="n"/>
      <c r="C418" s="13" t="n"/>
      <c r="D418" s="30" t="n"/>
      <c r="G418" s="9" t="n"/>
      <c r="J418" s="38" t="n"/>
    </row>
    <row r="419" ht="12.5" customHeight="1">
      <c r="A419" s="9" t="n"/>
      <c r="B419" s="13" t="n"/>
      <c r="C419" s="13" t="n"/>
      <c r="D419" s="30" t="n"/>
      <c r="G419" s="9" t="n"/>
      <c r="J419" s="38" t="n"/>
    </row>
    <row r="420" ht="12.5" customHeight="1">
      <c r="A420" s="9" t="n"/>
      <c r="B420" s="13" t="n"/>
      <c r="C420" s="13" t="n"/>
      <c r="D420" s="30" t="n"/>
      <c r="G420" s="9" t="n"/>
      <c r="J420" s="38" t="n"/>
    </row>
    <row r="421" ht="12.5" customHeight="1">
      <c r="A421" s="9" t="n"/>
      <c r="B421" s="13" t="n"/>
      <c r="C421" s="13" t="n"/>
      <c r="D421" s="30" t="n"/>
      <c r="G421" s="9" t="n"/>
      <c r="J421" s="38" t="n"/>
    </row>
    <row r="422" ht="12.5" customHeight="1">
      <c r="A422" s="9" t="n"/>
      <c r="B422" s="13" t="n"/>
      <c r="C422" s="13" t="n"/>
      <c r="D422" s="30" t="n"/>
      <c r="G422" s="9" t="n"/>
      <c r="J422" s="38" t="n"/>
    </row>
    <row r="423" ht="12.5" customHeight="1">
      <c r="A423" s="9" t="n"/>
      <c r="B423" s="13" t="n"/>
      <c r="C423" s="13" t="n"/>
      <c r="D423" s="30" t="n"/>
      <c r="G423" s="9" t="n"/>
      <c r="J423" s="38" t="n"/>
    </row>
    <row r="424" ht="12.5" customHeight="1">
      <c r="A424" s="9" t="n"/>
      <c r="B424" s="13" t="n"/>
      <c r="C424" s="13" t="n"/>
      <c r="D424" s="30" t="n"/>
      <c r="G424" s="9" t="n"/>
      <c r="J424" s="38" t="n"/>
    </row>
    <row r="425" ht="12.5" customHeight="1">
      <c r="A425" s="9" t="n"/>
      <c r="B425" s="13" t="n"/>
      <c r="C425" s="13" t="n"/>
      <c r="D425" s="30" t="n"/>
      <c r="G425" s="9" t="n"/>
      <c r="J425" s="38" t="n"/>
    </row>
    <row r="426" ht="12.5" customHeight="1">
      <c r="A426" s="9" t="n"/>
      <c r="B426" s="13" t="n"/>
      <c r="C426" s="13" t="n"/>
      <c r="D426" s="30" t="n"/>
      <c r="G426" s="9" t="n"/>
      <c r="J426" s="38" t="n"/>
    </row>
    <row r="427" ht="12.5" customHeight="1">
      <c r="A427" s="9" t="n"/>
      <c r="B427" s="13" t="n"/>
      <c r="C427" s="13" t="n"/>
      <c r="D427" s="30" t="n"/>
      <c r="G427" s="9" t="n"/>
      <c r="J427" s="38" t="n"/>
    </row>
    <row r="428" ht="12.5" customHeight="1">
      <c r="A428" s="9" t="n"/>
      <c r="B428" s="13" t="n"/>
      <c r="C428" s="13" t="n"/>
      <c r="D428" s="30" t="n"/>
      <c r="G428" s="9" t="n"/>
      <c r="J428" s="38" t="n"/>
    </row>
    <row r="429" ht="12.5" customHeight="1">
      <c r="A429" s="9" t="n"/>
      <c r="B429" s="13" t="n"/>
      <c r="C429" s="13" t="n"/>
      <c r="D429" s="30" t="n"/>
      <c r="G429" s="9" t="n"/>
      <c r="J429" s="38" t="n"/>
    </row>
    <row r="430" ht="12.5" customHeight="1">
      <c r="A430" s="9" t="n"/>
      <c r="B430" s="13" t="n"/>
      <c r="C430" s="13" t="n"/>
      <c r="D430" s="30" t="n"/>
      <c r="G430" s="9" t="n"/>
      <c r="J430" s="38" t="n"/>
    </row>
    <row r="431" ht="12.5" customHeight="1">
      <c r="A431" s="9" t="n"/>
      <c r="B431" s="13" t="n"/>
      <c r="C431" s="13" t="n"/>
      <c r="D431" s="30" t="n"/>
      <c r="G431" s="9" t="n"/>
      <c r="J431" s="38" t="n"/>
    </row>
    <row r="432" ht="12.5" customHeight="1">
      <c r="A432" s="9" t="n"/>
      <c r="B432" s="13" t="n"/>
      <c r="C432" s="13" t="n"/>
      <c r="D432" s="30" t="n"/>
      <c r="G432" s="9" t="n"/>
      <c r="J432" s="38" t="n"/>
    </row>
    <row r="433" ht="12.5" customHeight="1">
      <c r="A433" s="9" t="n"/>
      <c r="B433" s="13" t="n"/>
      <c r="C433" s="13" t="n"/>
      <c r="D433" s="30" t="n"/>
      <c r="G433" s="9" t="n"/>
      <c r="J433" s="38" t="n"/>
    </row>
    <row r="434" ht="12.5" customHeight="1">
      <c r="A434" s="9" t="n"/>
      <c r="B434" s="13" t="n"/>
      <c r="C434" s="13" t="n"/>
      <c r="D434" s="30" t="n"/>
      <c r="G434" s="9" t="n"/>
      <c r="J434" s="38" t="n"/>
    </row>
    <row r="435" ht="12.5" customHeight="1">
      <c r="A435" s="9" t="n"/>
      <c r="B435" s="13" t="n"/>
      <c r="C435" s="13" t="n"/>
      <c r="D435" s="30" t="n"/>
      <c r="G435" s="9" t="n"/>
      <c r="J435" s="38" t="n"/>
    </row>
    <row r="436" ht="12.5" customHeight="1">
      <c r="A436" s="9" t="n"/>
      <c r="B436" s="13" t="n"/>
      <c r="C436" s="13" t="n"/>
      <c r="D436" s="30" t="n"/>
      <c r="G436" s="9" t="n"/>
      <c r="J436" s="38" t="n"/>
    </row>
    <row r="437" ht="12.5" customHeight="1">
      <c r="A437" s="9" t="n"/>
      <c r="B437" s="13" t="n"/>
      <c r="C437" s="13" t="n"/>
      <c r="D437" s="30" t="n"/>
      <c r="G437" s="9" t="n"/>
      <c r="J437" s="38" t="n"/>
    </row>
    <row r="438" ht="12.5" customHeight="1">
      <c r="A438" s="9" t="n"/>
      <c r="B438" s="13" t="n"/>
      <c r="C438" s="13" t="n"/>
      <c r="D438" s="30" t="n"/>
      <c r="G438" s="9" t="n"/>
      <c r="J438" s="38" t="n"/>
    </row>
    <row r="439" ht="12.5" customHeight="1">
      <c r="A439" s="9" t="n"/>
      <c r="B439" s="13" t="n"/>
      <c r="C439" s="13" t="n"/>
      <c r="D439" s="30" t="n"/>
      <c r="G439" s="9" t="n"/>
      <c r="J439" s="38" t="n"/>
    </row>
    <row r="440" ht="12.5" customHeight="1">
      <c r="A440" s="9" t="n"/>
      <c r="B440" s="13" t="n"/>
      <c r="C440" s="13" t="n"/>
      <c r="D440" s="30" t="n"/>
      <c r="G440" s="9" t="n"/>
      <c r="J440" s="38" t="n"/>
    </row>
    <row r="441" ht="12.5" customHeight="1">
      <c r="A441" s="9" t="n"/>
      <c r="B441" s="13" t="n"/>
      <c r="C441" s="13" t="n"/>
      <c r="D441" s="30" t="n"/>
      <c r="G441" s="9" t="n"/>
      <c r="J441" s="38" t="n"/>
    </row>
    <row r="442" ht="12.5" customHeight="1">
      <c r="A442" s="9" t="n"/>
      <c r="B442" s="13" t="n"/>
      <c r="C442" s="13" t="n"/>
      <c r="D442" s="30" t="n"/>
      <c r="G442" s="9" t="n"/>
      <c r="J442" s="38" t="n"/>
    </row>
    <row r="443" ht="12.5" customHeight="1">
      <c r="A443" s="9" t="n"/>
      <c r="B443" s="13" t="n"/>
      <c r="C443" s="13" t="n"/>
      <c r="D443" s="30" t="n"/>
      <c r="G443" s="9" t="n"/>
      <c r="J443" s="38" t="n"/>
    </row>
    <row r="444" ht="12.5" customHeight="1">
      <c r="A444" s="9" t="n"/>
      <c r="B444" s="13" t="n"/>
      <c r="C444" s="13" t="n"/>
      <c r="D444" s="30" t="n"/>
      <c r="G444" s="9" t="n"/>
      <c r="J444" s="38" t="n"/>
    </row>
    <row r="445" ht="12.5" customHeight="1">
      <c r="A445" s="9" t="n"/>
      <c r="B445" s="13" t="n"/>
      <c r="C445" s="13" t="n"/>
      <c r="D445" s="30" t="n"/>
      <c r="G445" s="9" t="n"/>
      <c r="J445" s="38" t="n"/>
    </row>
    <row r="446" ht="12.5" customHeight="1">
      <c r="A446" s="9" t="n"/>
      <c r="B446" s="13" t="n"/>
      <c r="C446" s="13" t="n"/>
      <c r="D446" s="30" t="n"/>
      <c r="G446" s="9" t="n"/>
      <c r="J446" s="38" t="n"/>
    </row>
    <row r="447" ht="12.5" customHeight="1">
      <c r="A447" s="9" t="n"/>
      <c r="B447" s="13" t="n"/>
      <c r="C447" s="13" t="n"/>
      <c r="D447" s="30" t="n"/>
      <c r="G447" s="9" t="n"/>
      <c r="J447" s="38" t="n"/>
    </row>
    <row r="448" ht="12.5" customHeight="1">
      <c r="A448" s="9" t="n"/>
      <c r="B448" s="13" t="n"/>
      <c r="C448" s="13" t="n"/>
      <c r="D448" s="30" t="n"/>
      <c r="G448" s="9" t="n"/>
      <c r="J448" s="38" t="n"/>
    </row>
    <row r="449" ht="12.5" customHeight="1">
      <c r="A449" s="9" t="n"/>
      <c r="B449" s="13" t="n"/>
      <c r="C449" s="13" t="n"/>
      <c r="D449" s="30" t="n"/>
      <c r="G449" s="9" t="n"/>
      <c r="J449" s="38" t="n"/>
    </row>
    <row r="450" ht="12.5" customHeight="1">
      <c r="A450" s="9" t="n"/>
      <c r="B450" s="13" t="n"/>
      <c r="C450" s="13" t="n"/>
      <c r="D450" s="30" t="n"/>
      <c r="G450" s="9" t="n"/>
      <c r="J450" s="38" t="n"/>
    </row>
    <row r="451" ht="12.5" customHeight="1">
      <c r="A451" s="9" t="n"/>
      <c r="B451" s="13" t="n"/>
      <c r="C451" s="13" t="n"/>
      <c r="D451" s="30" t="n"/>
      <c r="G451" s="9" t="n"/>
      <c r="J451" s="38" t="n"/>
    </row>
    <row r="452" ht="12.5" customHeight="1">
      <c r="A452" s="9" t="n"/>
      <c r="B452" s="13" t="n"/>
      <c r="C452" s="13" t="n"/>
      <c r="D452" s="30" t="n"/>
      <c r="G452" s="9" t="n"/>
      <c r="J452" s="38" t="n"/>
    </row>
    <row r="453" ht="12.5" customHeight="1">
      <c r="A453" s="9" t="n"/>
      <c r="B453" s="13" t="n"/>
      <c r="C453" s="13" t="n"/>
      <c r="D453" s="30" t="n"/>
      <c r="G453" s="9" t="n"/>
      <c r="J453" s="38" t="n"/>
    </row>
    <row r="454" ht="12.5" customHeight="1">
      <c r="A454" s="9" t="n"/>
      <c r="B454" s="13" t="n"/>
      <c r="C454" s="13" t="n"/>
      <c r="D454" s="30" t="n"/>
      <c r="G454" s="9" t="n"/>
      <c r="J454" s="38" t="n"/>
    </row>
    <row r="455" ht="12.5" customHeight="1">
      <c r="A455" s="9" t="n"/>
      <c r="B455" s="13" t="n"/>
      <c r="C455" s="13" t="n"/>
      <c r="D455" s="30" t="n"/>
      <c r="G455" s="9" t="n"/>
      <c r="J455" s="38" t="n"/>
    </row>
    <row r="456" ht="12.5" customHeight="1">
      <c r="A456" s="9" t="n"/>
      <c r="B456" s="13" t="n"/>
      <c r="C456" s="13" t="n"/>
      <c r="D456" s="30" t="n"/>
      <c r="G456" s="9" t="n"/>
      <c r="J456" s="38" t="n"/>
    </row>
    <row r="457" ht="12.5" customHeight="1">
      <c r="A457" s="9" t="n"/>
      <c r="B457" s="13" t="n"/>
      <c r="C457" s="13" t="n"/>
      <c r="D457" s="30" t="n"/>
      <c r="G457" s="9" t="n"/>
      <c r="J457" s="38" t="n"/>
    </row>
    <row r="458" ht="12.5" customHeight="1">
      <c r="A458" s="9" t="n"/>
      <c r="B458" s="13" t="n"/>
      <c r="C458" s="13" t="n"/>
      <c r="D458" s="30" t="n"/>
      <c r="G458" s="9" t="n"/>
      <c r="J458" s="38" t="n"/>
    </row>
    <row r="459" ht="12.5" customHeight="1">
      <c r="A459" s="9" t="n"/>
      <c r="B459" s="13" t="n"/>
      <c r="C459" s="13" t="n"/>
      <c r="D459" s="30" t="n"/>
      <c r="G459" s="9" t="n"/>
      <c r="J459" s="38" t="n"/>
    </row>
    <row r="460" ht="12.5" customHeight="1">
      <c r="A460" s="9" t="n"/>
      <c r="B460" s="13" t="n"/>
      <c r="C460" s="13" t="n"/>
      <c r="D460" s="30" t="n"/>
      <c r="G460" s="9" t="n"/>
      <c r="J460" s="38" t="n"/>
    </row>
    <row r="461" ht="12.5" customHeight="1">
      <c r="A461" s="9" t="n"/>
      <c r="B461" s="13" t="n"/>
      <c r="C461" s="13" t="n"/>
      <c r="D461" s="30" t="n"/>
      <c r="G461" s="9" t="n"/>
      <c r="J461" s="38" t="n"/>
    </row>
    <row r="462" ht="12.5" customHeight="1">
      <c r="A462" s="9" t="n"/>
      <c r="B462" s="13" t="n"/>
      <c r="C462" s="13" t="n"/>
      <c r="D462" s="30" t="n"/>
      <c r="G462" s="9" t="n"/>
      <c r="J462" s="38" t="n"/>
    </row>
    <row r="463" ht="12.5" customHeight="1">
      <c r="A463" s="9" t="n"/>
      <c r="B463" s="13" t="n"/>
      <c r="C463" s="13" t="n"/>
      <c r="D463" s="30" t="n"/>
      <c r="G463" s="9" t="n"/>
      <c r="J463" s="38" t="n"/>
    </row>
    <row r="464" ht="12.5" customHeight="1">
      <c r="A464" s="9" t="n"/>
      <c r="B464" s="13" t="n"/>
      <c r="C464" s="13" t="n"/>
      <c r="D464" s="30" t="n"/>
      <c r="G464" s="9" t="n"/>
      <c r="J464" s="38" t="n"/>
    </row>
    <row r="465" ht="12.5" customHeight="1">
      <c r="A465" s="9" t="n"/>
      <c r="B465" s="13" t="n"/>
      <c r="C465" s="13" t="n"/>
      <c r="D465" s="30" t="n"/>
      <c r="G465" s="9" t="n"/>
      <c r="J465" s="38" t="n"/>
    </row>
    <row r="466" ht="12.5" customHeight="1">
      <c r="A466" s="9" t="n"/>
      <c r="B466" s="13" t="n"/>
      <c r="C466" s="13" t="n"/>
      <c r="D466" s="30" t="n"/>
      <c r="G466" s="9" t="n"/>
      <c r="J466" s="38" t="n"/>
    </row>
    <row r="467" ht="12.5" customHeight="1">
      <c r="A467" s="9" t="n"/>
      <c r="B467" s="13" t="n"/>
      <c r="C467" s="13" t="n"/>
      <c r="D467" s="30" t="n"/>
      <c r="G467" s="9" t="n"/>
      <c r="J467" s="38" t="n"/>
    </row>
    <row r="468" ht="12.5" customHeight="1">
      <c r="A468" s="9" t="n"/>
      <c r="B468" s="13" t="n"/>
      <c r="C468" s="13" t="n"/>
      <c r="D468" s="30" t="n"/>
      <c r="G468" s="9" t="n"/>
      <c r="J468" s="38" t="n"/>
    </row>
    <row r="469" ht="12.5" customHeight="1">
      <c r="A469" s="9" t="n"/>
      <c r="B469" s="13" t="n"/>
      <c r="C469" s="13" t="n"/>
      <c r="D469" s="30" t="n"/>
      <c r="G469" s="9" t="n"/>
      <c r="J469" s="38" t="n"/>
    </row>
    <row r="470" ht="12.5" customHeight="1">
      <c r="A470" s="9" t="n"/>
      <c r="B470" s="13" t="n"/>
      <c r="C470" s="13" t="n"/>
      <c r="D470" s="30" t="n"/>
      <c r="G470" s="9" t="n"/>
      <c r="J470" s="38" t="n"/>
    </row>
    <row r="471" ht="12.5" customHeight="1">
      <c r="A471" s="9" t="n"/>
      <c r="B471" s="13" t="n"/>
      <c r="C471" s="13" t="n"/>
      <c r="D471" s="30" t="n"/>
      <c r="G471" s="9" t="n"/>
      <c r="J471" s="38" t="n"/>
    </row>
    <row r="472" ht="12.5" customHeight="1">
      <c r="A472" s="9" t="n"/>
      <c r="B472" s="13" t="n"/>
      <c r="C472" s="13" t="n"/>
      <c r="D472" s="30" t="n"/>
      <c r="G472" s="9" t="n"/>
      <c r="J472" s="38" t="n"/>
    </row>
    <row r="473" ht="12.5" customHeight="1">
      <c r="A473" s="9" t="n"/>
      <c r="B473" s="13" t="n"/>
      <c r="C473" s="13" t="n"/>
      <c r="D473" s="30" t="n"/>
      <c r="G473" s="9" t="n"/>
      <c r="J473" s="38" t="n"/>
    </row>
    <row r="474" ht="12.5" customHeight="1">
      <c r="A474" s="9" t="n"/>
      <c r="B474" s="13" t="n"/>
      <c r="C474" s="13" t="n"/>
      <c r="D474" s="30" t="n"/>
      <c r="G474" s="9" t="n"/>
      <c r="J474" s="38" t="n"/>
    </row>
    <row r="475" ht="12.5" customHeight="1">
      <c r="A475" s="9" t="n"/>
      <c r="B475" s="13" t="n"/>
      <c r="C475" s="13" t="n"/>
      <c r="D475" s="30" t="n"/>
      <c r="G475" s="9" t="n"/>
      <c r="J475" s="38" t="n"/>
    </row>
    <row r="476" ht="12.5" customHeight="1">
      <c r="A476" s="9" t="n"/>
      <c r="B476" s="13" t="n"/>
      <c r="C476" s="13" t="n"/>
      <c r="D476" s="30" t="n"/>
      <c r="G476" s="9" t="n"/>
      <c r="J476" s="38" t="n"/>
    </row>
    <row r="477" ht="12.5" customHeight="1">
      <c r="A477" s="9" t="n"/>
      <c r="B477" s="13" t="n"/>
      <c r="C477" s="13" t="n"/>
      <c r="D477" s="30" t="n"/>
      <c r="G477" s="9" t="n"/>
      <c r="J477" s="38" t="n"/>
    </row>
    <row r="478" ht="12.5" customHeight="1">
      <c r="A478" s="9" t="n"/>
      <c r="B478" s="13" t="n"/>
      <c r="C478" s="13" t="n"/>
      <c r="D478" s="30" t="n"/>
      <c r="G478" s="9" t="n"/>
      <c r="J478" s="38" t="n"/>
    </row>
    <row r="479" ht="12.5" customHeight="1">
      <c r="A479" s="9" t="n"/>
      <c r="B479" s="13" t="n"/>
      <c r="C479" s="13" t="n"/>
      <c r="D479" s="30" t="n"/>
      <c r="G479" s="9" t="n"/>
      <c r="J479" s="38" t="n"/>
    </row>
    <row r="480" ht="12.5" customHeight="1">
      <c r="A480" s="9" t="n"/>
      <c r="B480" s="13" t="n"/>
      <c r="C480" s="13" t="n"/>
      <c r="D480" s="30" t="n"/>
      <c r="G480" s="9" t="n"/>
      <c r="J480" s="38" t="n"/>
    </row>
    <row r="481" ht="12.5" customHeight="1">
      <c r="A481" s="9" t="n"/>
      <c r="B481" s="13" t="n"/>
      <c r="C481" s="13" t="n"/>
      <c r="D481" s="30" t="n"/>
      <c r="G481" s="9" t="n"/>
      <c r="J481" s="38" t="n"/>
    </row>
    <row r="482" ht="12.5" customHeight="1">
      <c r="A482" s="9" t="n"/>
      <c r="B482" s="13" t="n"/>
      <c r="C482" s="13" t="n"/>
      <c r="D482" s="30" t="n"/>
      <c r="G482" s="9" t="n"/>
      <c r="J482" s="38" t="n"/>
    </row>
    <row r="483" ht="12.5" customHeight="1">
      <c r="A483" s="9" t="n"/>
      <c r="B483" s="13" t="n"/>
      <c r="C483" s="13" t="n"/>
      <c r="D483" s="30" t="n"/>
      <c r="G483" s="9" t="n"/>
      <c r="J483" s="38" t="n"/>
    </row>
    <row r="484" ht="12.5" customHeight="1">
      <c r="A484" s="9" t="n"/>
      <c r="B484" s="13" t="n"/>
      <c r="C484" s="13" t="n"/>
      <c r="D484" s="30" t="n"/>
      <c r="G484" s="9" t="n"/>
      <c r="J484" s="38" t="n"/>
    </row>
    <row r="485" ht="12.5" customHeight="1">
      <c r="A485" s="9" t="n"/>
      <c r="B485" s="13" t="n"/>
      <c r="C485" s="13" t="n"/>
      <c r="D485" s="30" t="n"/>
      <c r="G485" s="9" t="n"/>
      <c r="J485" s="38" t="n"/>
    </row>
    <row r="486" ht="12.5" customHeight="1">
      <c r="A486" s="9" t="n"/>
      <c r="B486" s="13" t="n"/>
      <c r="C486" s="13" t="n"/>
      <c r="D486" s="30" t="n"/>
      <c r="G486" s="9" t="n"/>
      <c r="J486" s="38" t="n"/>
    </row>
    <row r="487" ht="12.5" customHeight="1">
      <c r="A487" s="9" t="n"/>
      <c r="B487" s="13" t="n"/>
      <c r="C487" s="13" t="n"/>
      <c r="D487" s="30" t="n"/>
      <c r="G487" s="9" t="n"/>
      <c r="J487" s="38" t="n"/>
    </row>
    <row r="488" ht="12.5" customHeight="1">
      <c r="A488" s="9" t="n"/>
      <c r="B488" s="13" t="n"/>
      <c r="C488" s="13" t="n"/>
      <c r="D488" s="30" t="n"/>
      <c r="G488" s="9" t="n"/>
      <c r="J488" s="38" t="n"/>
    </row>
    <row r="489" ht="12.5" customHeight="1">
      <c r="A489" s="9" t="n"/>
      <c r="B489" s="13" t="n"/>
      <c r="C489" s="13" t="n"/>
      <c r="D489" s="30" t="n"/>
      <c r="G489" s="9" t="n"/>
      <c r="J489" s="38" t="n"/>
    </row>
    <row r="490" ht="12.5" customHeight="1">
      <c r="A490" s="9" t="n"/>
      <c r="B490" s="13" t="n"/>
      <c r="C490" s="13" t="n"/>
      <c r="D490" s="30" t="n"/>
      <c r="G490" s="9" t="n"/>
      <c r="J490" s="38" t="n"/>
    </row>
    <row r="491" ht="12.5" customHeight="1">
      <c r="A491" s="9" t="n"/>
      <c r="B491" s="13" t="n"/>
      <c r="C491" s="13" t="n"/>
      <c r="D491" s="30" t="n"/>
      <c r="G491" s="9" t="n"/>
      <c r="J491" s="38" t="n"/>
    </row>
    <row r="492" ht="12.5" customHeight="1">
      <c r="A492" s="9" t="n"/>
      <c r="B492" s="13" t="n"/>
      <c r="C492" s="13" t="n"/>
      <c r="D492" s="30" t="n"/>
      <c r="G492" s="9" t="n"/>
      <c r="J492" s="38" t="n"/>
    </row>
    <row r="493" ht="12.5" customHeight="1">
      <c r="A493" s="9" t="n"/>
      <c r="B493" s="13" t="n"/>
      <c r="C493" s="13" t="n"/>
      <c r="D493" s="30" t="n"/>
      <c r="G493" s="9" t="n"/>
      <c r="J493" s="38" t="n"/>
    </row>
    <row r="494" ht="12.5" customHeight="1">
      <c r="A494" s="9" t="n"/>
      <c r="B494" s="13" t="n"/>
      <c r="C494" s="13" t="n"/>
      <c r="D494" s="30" t="n"/>
      <c r="G494" s="9" t="n"/>
      <c r="J494" s="38" t="n"/>
    </row>
    <row r="495" ht="12.5" customHeight="1">
      <c r="A495" s="9" t="n"/>
      <c r="B495" s="13" t="n"/>
      <c r="C495" s="13" t="n"/>
      <c r="D495" s="30" t="n"/>
      <c r="G495" s="9" t="n"/>
      <c r="J495" s="38" t="n"/>
    </row>
    <row r="496" ht="12.5" customHeight="1">
      <c r="A496" s="9" t="n"/>
      <c r="B496" s="13" t="n"/>
      <c r="C496" s="13" t="n"/>
      <c r="D496" s="30" t="n"/>
      <c r="G496" s="9" t="n"/>
      <c r="J496" s="38" t="n"/>
    </row>
    <row r="497" ht="12.5" customHeight="1">
      <c r="A497" s="9" t="n"/>
      <c r="B497" s="13" t="n"/>
      <c r="C497" s="13" t="n"/>
      <c r="D497" s="30" t="n"/>
      <c r="G497" s="9" t="n"/>
      <c r="J497" s="38" t="n"/>
    </row>
    <row r="498" ht="12.5" customHeight="1">
      <c r="A498" s="9" t="n"/>
      <c r="B498" s="13" t="n"/>
      <c r="C498" s="13" t="n"/>
      <c r="D498" s="30" t="n"/>
      <c r="G498" s="9" t="n"/>
      <c r="J498" s="38" t="n"/>
    </row>
    <row r="499" ht="12.5" customHeight="1">
      <c r="A499" s="9" t="n"/>
      <c r="B499" s="13" t="n"/>
      <c r="C499" s="13" t="n"/>
      <c r="D499" s="30" t="n"/>
      <c r="G499" s="9" t="n"/>
      <c r="J499" s="38" t="n"/>
    </row>
    <row r="500" ht="12.5" customHeight="1">
      <c r="A500" s="9" t="n"/>
      <c r="B500" s="13" t="n"/>
      <c r="C500" s="13" t="n"/>
      <c r="D500" s="30" t="n"/>
      <c r="G500" s="9" t="n"/>
      <c r="J500" s="38" t="n"/>
    </row>
    <row r="501" ht="12.5" customHeight="1">
      <c r="A501" s="9" t="n"/>
      <c r="B501" s="13" t="n"/>
      <c r="C501" s="13" t="n"/>
      <c r="D501" s="30" t="n"/>
      <c r="G501" s="9" t="n"/>
      <c r="J501" s="38" t="n"/>
    </row>
    <row r="502" ht="12.5" customHeight="1">
      <c r="A502" s="9" t="n"/>
      <c r="B502" s="13" t="n"/>
      <c r="C502" s="13" t="n"/>
      <c r="D502" s="30" t="n"/>
      <c r="G502" s="9" t="n"/>
      <c r="J502" s="38" t="n"/>
    </row>
    <row r="503" ht="12.5" customHeight="1">
      <c r="A503" s="9" t="n"/>
      <c r="B503" s="13" t="n"/>
      <c r="C503" s="13" t="n"/>
      <c r="D503" s="30" t="n"/>
      <c r="G503" s="9" t="n"/>
      <c r="J503" s="38" t="n"/>
    </row>
    <row r="504" ht="12.5" customHeight="1">
      <c r="A504" s="9" t="n"/>
      <c r="B504" s="13" t="n"/>
      <c r="C504" s="13" t="n"/>
      <c r="D504" s="30" t="n"/>
      <c r="G504" s="9" t="n"/>
      <c r="J504" s="38" t="n"/>
    </row>
    <row r="505" ht="12.5" customHeight="1">
      <c r="A505" s="9" t="n"/>
      <c r="B505" s="13" t="n"/>
      <c r="C505" s="13" t="n"/>
      <c r="D505" s="30" t="n"/>
      <c r="G505" s="9" t="n"/>
      <c r="J505" s="38" t="n"/>
    </row>
    <row r="506" ht="12.5" customHeight="1">
      <c r="A506" s="9" t="n"/>
      <c r="B506" s="13" t="n"/>
      <c r="C506" s="13" t="n"/>
      <c r="D506" s="30" t="n"/>
      <c r="G506" s="9" t="n"/>
      <c r="J506" s="38" t="n"/>
    </row>
    <row r="507" ht="12.5" customHeight="1">
      <c r="A507" s="9" t="n"/>
      <c r="B507" s="13" t="n"/>
      <c r="C507" s="13" t="n"/>
      <c r="D507" s="30" t="n"/>
      <c r="G507" s="9" t="n"/>
      <c r="J507" s="38" t="n"/>
    </row>
    <row r="508" ht="12.5" customHeight="1">
      <c r="A508" s="9" t="n"/>
      <c r="B508" s="13" t="n"/>
      <c r="C508" s="13" t="n"/>
      <c r="D508" s="30" t="n"/>
      <c r="G508" s="9" t="n"/>
      <c r="J508" s="38" t="n"/>
    </row>
    <row r="509" ht="12.5" customHeight="1">
      <c r="A509" s="9" t="n"/>
      <c r="B509" s="13" t="n"/>
      <c r="C509" s="13" t="n"/>
      <c r="D509" s="30" t="n"/>
      <c r="G509" s="9" t="n"/>
      <c r="J509" s="38" t="n"/>
    </row>
    <row r="510" ht="12.5" customHeight="1">
      <c r="A510" s="9" t="n"/>
      <c r="B510" s="13" t="n"/>
      <c r="C510" s="13" t="n"/>
      <c r="D510" s="30" t="n"/>
      <c r="G510" s="9" t="n"/>
      <c r="J510" s="38" t="n"/>
    </row>
    <row r="511" ht="12.5" customHeight="1">
      <c r="A511" s="9" t="n"/>
      <c r="B511" s="13" t="n"/>
      <c r="C511" s="13" t="n"/>
      <c r="D511" s="30" t="n"/>
      <c r="G511" s="9" t="n"/>
      <c r="J511" s="38" t="n"/>
    </row>
    <row r="512" ht="12.5" customHeight="1">
      <c r="A512" s="9" t="n"/>
      <c r="B512" s="13" t="n"/>
      <c r="C512" s="13" t="n"/>
      <c r="D512" s="30" t="n"/>
      <c r="G512" s="9" t="n"/>
      <c r="J512" s="38" t="n"/>
    </row>
    <row r="513" ht="12.5" customHeight="1">
      <c r="A513" s="9" t="n"/>
      <c r="B513" s="13" t="n"/>
      <c r="C513" s="13" t="n"/>
      <c r="D513" s="30" t="n"/>
      <c r="G513" s="9" t="n"/>
      <c r="J513" s="38" t="n"/>
    </row>
    <row r="514" ht="12.5" customHeight="1">
      <c r="A514" s="9" t="n"/>
      <c r="B514" s="13" t="n"/>
      <c r="C514" s="13" t="n"/>
      <c r="D514" s="30" t="n"/>
      <c r="G514" s="9" t="n"/>
      <c r="J514" s="38" t="n"/>
    </row>
    <row r="515" ht="12.5" customHeight="1">
      <c r="A515" s="9" t="n"/>
      <c r="B515" s="13" t="n"/>
      <c r="C515" s="13" t="n"/>
      <c r="D515" s="30" t="n"/>
      <c r="G515" s="9" t="n"/>
      <c r="J515" s="38" t="n"/>
    </row>
    <row r="516" ht="12.5" customHeight="1">
      <c r="A516" s="9" t="n"/>
      <c r="B516" s="13" t="n"/>
      <c r="C516" s="13" t="n"/>
      <c r="D516" s="30" t="n"/>
      <c r="G516" s="9" t="n"/>
      <c r="J516" s="38" t="n"/>
    </row>
    <row r="517" ht="12.5" customHeight="1">
      <c r="A517" s="9" t="n"/>
      <c r="B517" s="13" t="n"/>
      <c r="C517" s="13" t="n"/>
      <c r="D517" s="30" t="n"/>
      <c r="G517" s="9" t="n"/>
      <c r="J517" s="38" t="n"/>
    </row>
    <row r="518" ht="12.5" customHeight="1">
      <c r="A518" s="9" t="n"/>
      <c r="B518" s="13" t="n"/>
      <c r="C518" s="13" t="n"/>
      <c r="D518" s="30" t="n"/>
      <c r="G518" s="9" t="n"/>
      <c r="J518" s="38" t="n"/>
    </row>
    <row r="519" ht="12.5" customHeight="1">
      <c r="A519" s="9" t="n"/>
      <c r="B519" s="13" t="n"/>
      <c r="C519" s="13" t="n"/>
      <c r="D519" s="30" t="n"/>
      <c r="G519" s="9" t="n"/>
      <c r="J519" s="38" t="n"/>
    </row>
    <row r="520" ht="12.5" customHeight="1">
      <c r="A520" s="9" t="n"/>
      <c r="B520" s="13" t="n"/>
      <c r="C520" s="13" t="n"/>
      <c r="D520" s="30" t="n"/>
      <c r="G520" s="9" t="n"/>
      <c r="J520" s="38" t="n"/>
    </row>
    <row r="521" ht="12.5" customHeight="1">
      <c r="A521" s="9" t="n"/>
      <c r="B521" s="13" t="n"/>
      <c r="C521" s="13" t="n"/>
      <c r="D521" s="30" t="n"/>
      <c r="G521" s="9" t="n"/>
      <c r="J521" s="38" t="n"/>
    </row>
    <row r="522" ht="12.5" customHeight="1">
      <c r="A522" s="9" t="n"/>
      <c r="B522" s="13" t="n"/>
      <c r="C522" s="13" t="n"/>
      <c r="D522" s="30" t="n"/>
      <c r="G522" s="9" t="n"/>
      <c r="J522" s="38" t="n"/>
    </row>
    <row r="523" ht="12.5" customHeight="1">
      <c r="A523" s="9" t="n"/>
      <c r="B523" s="13" t="n"/>
      <c r="C523" s="13" t="n"/>
      <c r="D523" s="30" t="n"/>
      <c r="G523" s="9" t="n"/>
      <c r="J523" s="38" t="n"/>
    </row>
    <row r="524" ht="12.5" customHeight="1">
      <c r="A524" s="9" t="n"/>
      <c r="B524" s="13" t="n"/>
      <c r="C524" s="13" t="n"/>
      <c r="D524" s="30" t="n"/>
      <c r="G524" s="9" t="n"/>
      <c r="J524" s="38" t="n"/>
    </row>
    <row r="525" ht="12.5" customHeight="1">
      <c r="A525" s="9" t="n"/>
      <c r="B525" s="13" t="n"/>
      <c r="C525" s="13" t="n"/>
      <c r="D525" s="30" t="n"/>
      <c r="G525" s="9" t="n"/>
      <c r="J525" s="38" t="n"/>
    </row>
    <row r="526" ht="12.5" customHeight="1">
      <c r="A526" s="9" t="n"/>
      <c r="B526" s="13" t="n"/>
      <c r="C526" s="13" t="n"/>
      <c r="D526" s="30" t="n"/>
      <c r="G526" s="9" t="n"/>
      <c r="J526" s="38" t="n"/>
    </row>
    <row r="527" ht="12.5" customHeight="1">
      <c r="A527" s="9" t="n"/>
      <c r="B527" s="13" t="n"/>
      <c r="C527" s="13" t="n"/>
      <c r="D527" s="30" t="n"/>
      <c r="G527" s="9" t="n"/>
      <c r="J527" s="38" t="n"/>
    </row>
    <row r="528" ht="12.5" customHeight="1">
      <c r="A528" s="9" t="n"/>
      <c r="B528" s="13" t="n"/>
      <c r="C528" s="13" t="n"/>
      <c r="D528" s="30" t="n"/>
      <c r="G528" s="9" t="n"/>
      <c r="J528" s="38" t="n"/>
    </row>
    <row r="529" ht="12.5" customHeight="1">
      <c r="A529" s="9" t="n"/>
      <c r="B529" s="13" t="n"/>
      <c r="C529" s="13" t="n"/>
      <c r="D529" s="30" t="n"/>
      <c r="G529" s="9" t="n"/>
      <c r="J529" s="38" t="n"/>
    </row>
    <row r="530" ht="12.5" customHeight="1">
      <c r="A530" s="9" t="n"/>
      <c r="B530" s="13" t="n"/>
      <c r="C530" s="13" t="n"/>
      <c r="D530" s="30" t="n"/>
      <c r="G530" s="9" t="n"/>
      <c r="J530" s="38" t="n"/>
    </row>
    <row r="531" ht="12.5" customHeight="1">
      <c r="A531" s="9" t="n"/>
      <c r="B531" s="13" t="n"/>
      <c r="C531" s="13" t="n"/>
      <c r="D531" s="30" t="n"/>
      <c r="G531" s="9" t="n"/>
      <c r="J531" s="38" t="n"/>
    </row>
    <row r="532" ht="12.5" customHeight="1">
      <c r="A532" s="9" t="n"/>
      <c r="B532" s="13" t="n"/>
      <c r="C532" s="13" t="n"/>
      <c r="D532" s="30" t="n"/>
      <c r="G532" s="9" t="n"/>
      <c r="J532" s="38" t="n"/>
    </row>
    <row r="533" ht="12.5" customHeight="1">
      <c r="A533" s="9" t="n"/>
      <c r="B533" s="13" t="n"/>
      <c r="C533" s="13" t="n"/>
      <c r="D533" s="30" t="n"/>
      <c r="G533" s="9" t="n"/>
      <c r="J533" s="38" t="n"/>
    </row>
    <row r="534" ht="12.5" customHeight="1">
      <c r="A534" s="9" t="n"/>
      <c r="B534" s="13" t="n"/>
      <c r="C534" s="13" t="n"/>
      <c r="D534" s="30" t="n"/>
      <c r="G534" s="9" t="n"/>
      <c r="J534" s="38" t="n"/>
    </row>
    <row r="535" ht="12.5" customHeight="1">
      <c r="A535" s="9" t="n"/>
      <c r="B535" s="13" t="n"/>
      <c r="C535" s="13" t="n"/>
      <c r="D535" s="30" t="n"/>
      <c r="G535" s="9" t="n"/>
      <c r="J535" s="38" t="n"/>
    </row>
    <row r="536" ht="12.5" customHeight="1">
      <c r="A536" s="9" t="n"/>
      <c r="B536" s="13" t="n"/>
      <c r="C536" s="13" t="n"/>
      <c r="D536" s="30" t="n"/>
      <c r="G536" s="9" t="n"/>
      <c r="J536" s="38" t="n"/>
    </row>
    <row r="537" ht="12.5" customHeight="1">
      <c r="A537" s="9" t="n"/>
      <c r="B537" s="13" t="n"/>
      <c r="C537" s="13" t="n"/>
      <c r="D537" s="30" t="n"/>
      <c r="G537" s="9" t="n"/>
      <c r="J537" s="38" t="n"/>
    </row>
    <row r="538" ht="12.5" customHeight="1">
      <c r="A538" s="9" t="n"/>
      <c r="B538" s="13" t="n"/>
      <c r="C538" s="13" t="n"/>
      <c r="D538" s="30" t="n"/>
      <c r="G538" s="9" t="n"/>
      <c r="J538" s="38" t="n"/>
    </row>
    <row r="539" ht="12.5" customHeight="1">
      <c r="A539" s="9" t="n"/>
      <c r="B539" s="13" t="n"/>
      <c r="C539" s="13" t="n"/>
      <c r="D539" s="30" t="n"/>
      <c r="G539" s="9" t="n"/>
      <c r="J539" s="38" t="n"/>
    </row>
    <row r="540" ht="12.5" customHeight="1">
      <c r="A540" s="9" t="n"/>
      <c r="B540" s="13" t="n"/>
      <c r="C540" s="13" t="n"/>
      <c r="D540" s="30" t="n"/>
      <c r="G540" s="9" t="n"/>
      <c r="J540" s="38" t="n"/>
    </row>
    <row r="541" ht="12.5" customHeight="1">
      <c r="A541" s="9" t="n"/>
      <c r="B541" s="13" t="n"/>
      <c r="C541" s="13" t="n"/>
      <c r="D541" s="30" t="n"/>
      <c r="G541" s="9" t="n"/>
      <c r="J541" s="38" t="n"/>
    </row>
    <row r="542" ht="12.5" customHeight="1">
      <c r="A542" s="9" t="n"/>
      <c r="B542" s="13" t="n"/>
      <c r="C542" s="13" t="n"/>
      <c r="D542" s="30" t="n"/>
      <c r="G542" s="9" t="n"/>
      <c r="J542" s="38" t="n"/>
    </row>
    <row r="543" ht="12.5" customHeight="1">
      <c r="A543" s="9" t="n"/>
      <c r="B543" s="13" t="n"/>
      <c r="C543" s="13" t="n"/>
      <c r="D543" s="30" t="n"/>
      <c r="G543" s="9" t="n"/>
      <c r="J543" s="38" t="n"/>
    </row>
    <row r="544" ht="12.5" customHeight="1">
      <c r="A544" s="9" t="n"/>
      <c r="B544" s="13" t="n"/>
      <c r="C544" s="13" t="n"/>
      <c r="D544" s="30" t="n"/>
      <c r="G544" s="9" t="n"/>
      <c r="J544" s="38" t="n"/>
    </row>
    <row r="545" ht="12.5" customHeight="1">
      <c r="A545" s="9" t="n"/>
      <c r="B545" s="13" t="n"/>
      <c r="C545" s="13" t="n"/>
      <c r="D545" s="30" t="n"/>
      <c r="G545" s="9" t="n"/>
      <c r="J545" s="38" t="n"/>
    </row>
    <row r="546" ht="12.5" customHeight="1">
      <c r="A546" s="9" t="n"/>
      <c r="B546" s="13" t="n"/>
      <c r="C546" s="13" t="n"/>
      <c r="D546" s="30" t="n"/>
      <c r="G546" s="9" t="n"/>
      <c r="J546" s="38" t="n"/>
    </row>
    <row r="547" ht="12.5" customHeight="1">
      <c r="A547" s="9" t="n"/>
      <c r="B547" s="13" t="n"/>
      <c r="C547" s="13" t="n"/>
      <c r="D547" s="30" t="n"/>
      <c r="G547" s="9" t="n"/>
      <c r="J547" s="38" t="n"/>
    </row>
    <row r="548" ht="12.5" customHeight="1">
      <c r="A548" s="9" t="n"/>
      <c r="B548" s="13" t="n"/>
      <c r="C548" s="13" t="n"/>
      <c r="D548" s="30" t="n"/>
      <c r="G548" s="9" t="n"/>
      <c r="J548" s="38" t="n"/>
    </row>
    <row r="549" ht="12.5" customHeight="1">
      <c r="A549" s="9" t="n"/>
      <c r="B549" s="13" t="n"/>
      <c r="C549" s="13" t="n"/>
      <c r="D549" s="30" t="n"/>
      <c r="G549" s="9" t="n"/>
      <c r="J549" s="38" t="n"/>
    </row>
    <row r="550" ht="12.5" customHeight="1">
      <c r="A550" s="9" t="n"/>
      <c r="B550" s="13" t="n"/>
      <c r="C550" s="13" t="n"/>
      <c r="D550" s="30" t="n"/>
      <c r="G550" s="9" t="n"/>
      <c r="J550" s="38" t="n"/>
    </row>
    <row r="551" ht="12.5" customHeight="1">
      <c r="A551" s="9" t="n"/>
      <c r="B551" s="13" t="n"/>
      <c r="C551" s="13" t="n"/>
      <c r="D551" s="30" t="n"/>
      <c r="G551" s="9" t="n"/>
      <c r="J551" s="38" t="n"/>
    </row>
    <row r="552" ht="12.5" customHeight="1">
      <c r="A552" s="9" t="n"/>
      <c r="B552" s="13" t="n"/>
      <c r="C552" s="13" t="n"/>
      <c r="D552" s="30" t="n"/>
      <c r="G552" s="9" t="n"/>
      <c r="J552" s="38" t="n"/>
    </row>
    <row r="553" ht="12.5" customHeight="1">
      <c r="A553" s="9" t="n"/>
      <c r="B553" s="13" t="n"/>
      <c r="C553" s="13" t="n"/>
      <c r="D553" s="30" t="n"/>
      <c r="G553" s="9" t="n"/>
      <c r="J553" s="38" t="n"/>
    </row>
    <row r="554" ht="12.5" customHeight="1">
      <c r="A554" s="9" t="n"/>
      <c r="B554" s="13" t="n"/>
      <c r="C554" s="13" t="n"/>
      <c r="D554" s="30" t="n"/>
      <c r="G554" s="9" t="n"/>
      <c r="J554" s="38" t="n"/>
    </row>
    <row r="555" ht="12.5" customHeight="1">
      <c r="A555" s="9" t="n"/>
      <c r="B555" s="13" t="n"/>
      <c r="C555" s="13" t="n"/>
      <c r="D555" s="30" t="n"/>
      <c r="G555" s="9" t="n"/>
      <c r="J555" s="38" t="n"/>
    </row>
    <row r="556" ht="12.5" customHeight="1">
      <c r="A556" s="9" t="n"/>
      <c r="B556" s="13" t="n"/>
      <c r="C556" s="13" t="n"/>
      <c r="D556" s="30" t="n"/>
      <c r="G556" s="9" t="n"/>
      <c r="J556" s="38" t="n"/>
    </row>
    <row r="557" ht="12.5" customHeight="1">
      <c r="A557" s="9" t="n"/>
      <c r="B557" s="13" t="n"/>
      <c r="C557" s="13" t="n"/>
      <c r="D557" s="30" t="n"/>
      <c r="G557" s="9" t="n"/>
      <c r="J557" s="38" t="n"/>
    </row>
    <row r="558" ht="12.5" customHeight="1">
      <c r="A558" s="9" t="n"/>
      <c r="B558" s="13" t="n"/>
      <c r="C558" s="13" t="n"/>
      <c r="D558" s="30" t="n"/>
      <c r="G558" s="9" t="n"/>
      <c r="J558" s="38" t="n"/>
    </row>
    <row r="559" ht="12.5" customHeight="1">
      <c r="A559" s="9" t="n"/>
      <c r="B559" s="13" t="n"/>
      <c r="C559" s="13" t="n"/>
      <c r="D559" s="30" t="n"/>
      <c r="G559" s="9" t="n"/>
      <c r="J559" s="38" t="n"/>
    </row>
    <row r="560" ht="12.5" customHeight="1">
      <c r="A560" s="9" t="n"/>
      <c r="B560" s="13" t="n"/>
      <c r="C560" s="13" t="n"/>
      <c r="D560" s="30" t="n"/>
      <c r="G560" s="9" t="n"/>
      <c r="J560" s="38" t="n"/>
    </row>
    <row r="561" ht="12.5" customHeight="1">
      <c r="A561" s="9" t="n"/>
      <c r="B561" s="13" t="n"/>
      <c r="C561" s="13" t="n"/>
      <c r="D561" s="30" t="n"/>
      <c r="G561" s="9" t="n"/>
      <c r="J561" s="38" t="n"/>
    </row>
    <row r="562" ht="12.5" customHeight="1">
      <c r="A562" s="9" t="n"/>
      <c r="B562" s="13" t="n"/>
      <c r="C562" s="13" t="n"/>
      <c r="D562" s="30" t="n"/>
      <c r="G562" s="9" t="n"/>
      <c r="J562" s="38" t="n"/>
    </row>
    <row r="563" ht="12.5" customHeight="1">
      <c r="A563" s="9" t="n"/>
      <c r="B563" s="13" t="n"/>
      <c r="C563" s="13" t="n"/>
      <c r="D563" s="30" t="n"/>
      <c r="G563" s="9" t="n"/>
      <c r="J563" s="38" t="n"/>
    </row>
    <row r="564" ht="12.5" customHeight="1">
      <c r="A564" s="9" t="n"/>
      <c r="B564" s="13" t="n"/>
      <c r="C564" s="13" t="n"/>
      <c r="D564" s="30" t="n"/>
      <c r="G564" s="9" t="n"/>
      <c r="J564" s="38" t="n"/>
    </row>
    <row r="565" ht="12.5" customHeight="1">
      <c r="A565" s="9" t="n"/>
      <c r="B565" s="13" t="n"/>
      <c r="C565" s="13" t="n"/>
      <c r="D565" s="30" t="n"/>
      <c r="G565" s="9" t="n"/>
      <c r="J565" s="38" t="n"/>
    </row>
    <row r="566" ht="12.5" customHeight="1">
      <c r="A566" s="9" t="n"/>
      <c r="B566" s="13" t="n"/>
      <c r="C566" s="13" t="n"/>
      <c r="D566" s="30" t="n"/>
      <c r="G566" s="9" t="n"/>
      <c r="J566" s="38" t="n"/>
    </row>
    <row r="567" ht="12.5" customHeight="1">
      <c r="A567" s="9" t="n"/>
      <c r="B567" s="13" t="n"/>
      <c r="C567" s="13" t="n"/>
      <c r="D567" s="30" t="n"/>
      <c r="G567" s="9" t="n"/>
      <c r="J567" s="38" t="n"/>
    </row>
    <row r="568" ht="12.5" customHeight="1">
      <c r="A568" s="9" t="n"/>
      <c r="B568" s="13" t="n"/>
      <c r="C568" s="13" t="n"/>
      <c r="D568" s="30" t="n"/>
      <c r="G568" s="9" t="n"/>
      <c r="J568" s="38" t="n"/>
    </row>
    <row r="569" ht="12.5" customHeight="1">
      <c r="A569" s="9" t="n"/>
      <c r="B569" s="13" t="n"/>
      <c r="C569" s="13" t="n"/>
      <c r="D569" s="30" t="n"/>
      <c r="G569" s="9" t="n"/>
      <c r="J569" s="38" t="n"/>
    </row>
    <row r="570" ht="12.5" customHeight="1">
      <c r="A570" s="9" t="n"/>
      <c r="B570" s="13" t="n"/>
      <c r="C570" s="13" t="n"/>
      <c r="D570" s="30" t="n"/>
      <c r="G570" s="9" t="n"/>
      <c r="J570" s="38" t="n"/>
    </row>
    <row r="571" ht="12.5" customHeight="1">
      <c r="A571" s="9" t="n"/>
      <c r="B571" s="13" t="n"/>
      <c r="C571" s="13" t="n"/>
      <c r="D571" s="30" t="n"/>
      <c r="G571" s="9" t="n"/>
      <c r="J571" s="38" t="n"/>
    </row>
    <row r="572" ht="12.5" customHeight="1">
      <c r="A572" s="9" t="n"/>
      <c r="B572" s="13" t="n"/>
      <c r="C572" s="13" t="n"/>
      <c r="D572" s="30" t="n"/>
      <c r="G572" s="9" t="n"/>
      <c r="J572" s="38" t="n"/>
    </row>
    <row r="573" ht="12.5" customHeight="1">
      <c r="A573" s="9" t="n"/>
      <c r="B573" s="13" t="n"/>
      <c r="C573" s="13" t="n"/>
      <c r="D573" s="30" t="n"/>
      <c r="G573" s="9" t="n"/>
      <c r="J573" s="38" t="n"/>
    </row>
    <row r="574" ht="12.5" customHeight="1">
      <c r="A574" s="9" t="n"/>
      <c r="B574" s="13" t="n"/>
      <c r="C574" s="13" t="n"/>
      <c r="D574" s="30" t="n"/>
      <c r="G574" s="9" t="n"/>
      <c r="J574" s="38" t="n"/>
    </row>
    <row r="575" ht="12.5" customHeight="1">
      <c r="A575" s="9" t="n"/>
      <c r="B575" s="13" t="n"/>
      <c r="C575" s="13" t="n"/>
      <c r="D575" s="30" t="n"/>
      <c r="G575" s="9" t="n"/>
      <c r="J575" s="38" t="n"/>
    </row>
    <row r="576" ht="12.5" customHeight="1">
      <c r="A576" s="9" t="n"/>
      <c r="B576" s="13" t="n"/>
      <c r="C576" s="13" t="n"/>
      <c r="D576" s="30" t="n"/>
      <c r="G576" s="9" t="n"/>
      <c r="J576" s="38" t="n"/>
    </row>
    <row r="577" ht="12.5" customHeight="1">
      <c r="A577" s="9" t="n"/>
      <c r="B577" s="13" t="n"/>
      <c r="C577" s="13" t="n"/>
      <c r="D577" s="30" t="n"/>
      <c r="G577" s="9" t="n"/>
      <c r="J577" s="38" t="n"/>
    </row>
    <row r="578" ht="12.5" customHeight="1">
      <c r="A578" s="9" t="n"/>
      <c r="B578" s="13" t="n"/>
      <c r="C578" s="13" t="n"/>
      <c r="D578" s="30" t="n"/>
      <c r="G578" s="9" t="n"/>
      <c r="J578" s="38" t="n"/>
    </row>
    <row r="579" ht="12.5" customHeight="1">
      <c r="A579" s="9" t="n"/>
      <c r="B579" s="13" t="n"/>
      <c r="C579" s="13" t="n"/>
      <c r="D579" s="30" t="n"/>
      <c r="G579" s="9" t="n"/>
      <c r="J579" s="38" t="n"/>
    </row>
    <row r="580" ht="12.5" customHeight="1">
      <c r="A580" s="9" t="n"/>
      <c r="B580" s="13" t="n"/>
      <c r="C580" s="13" t="n"/>
      <c r="D580" s="30" t="n"/>
      <c r="G580" s="9" t="n"/>
      <c r="J580" s="38" t="n"/>
    </row>
    <row r="581" ht="12.5" customHeight="1">
      <c r="A581" s="9" t="n"/>
      <c r="B581" s="13" t="n"/>
      <c r="C581" s="13" t="n"/>
      <c r="D581" s="30" t="n"/>
      <c r="G581" s="9" t="n"/>
      <c r="J581" s="38" t="n"/>
    </row>
    <row r="582" ht="12.5" customHeight="1">
      <c r="A582" s="9" t="n"/>
      <c r="B582" s="13" t="n"/>
      <c r="C582" s="13" t="n"/>
      <c r="D582" s="30" t="n"/>
      <c r="G582" s="9" t="n"/>
      <c r="J582" s="38" t="n"/>
    </row>
    <row r="583" ht="12.5" customHeight="1">
      <c r="A583" s="9" t="n"/>
      <c r="B583" s="13" t="n"/>
      <c r="C583" s="13" t="n"/>
      <c r="D583" s="30" t="n"/>
      <c r="G583" s="9" t="n"/>
      <c r="J583" s="38" t="n"/>
    </row>
    <row r="584" ht="12.5" customHeight="1">
      <c r="A584" s="9" t="n"/>
      <c r="B584" s="13" t="n"/>
      <c r="C584" s="13" t="n"/>
      <c r="D584" s="30" t="n"/>
      <c r="G584" s="9" t="n"/>
      <c r="J584" s="38" t="n"/>
    </row>
    <row r="585" ht="12.5" customHeight="1">
      <c r="A585" s="9" t="n"/>
      <c r="B585" s="13" t="n"/>
      <c r="C585" s="13" t="n"/>
      <c r="D585" s="30" t="n"/>
      <c r="G585" s="9" t="n"/>
      <c r="J585" s="38" t="n"/>
    </row>
    <row r="586" ht="12.5" customHeight="1">
      <c r="A586" s="9" t="n"/>
      <c r="B586" s="13" t="n"/>
      <c r="C586" s="13" t="n"/>
      <c r="D586" s="30" t="n"/>
      <c r="G586" s="9" t="n"/>
      <c r="J586" s="38" t="n"/>
    </row>
    <row r="587" ht="12.5" customHeight="1">
      <c r="A587" s="9" t="n"/>
      <c r="B587" s="13" t="n"/>
      <c r="C587" s="13" t="n"/>
      <c r="D587" s="30" t="n"/>
      <c r="G587" s="9" t="n"/>
      <c r="J587" s="38" t="n"/>
    </row>
    <row r="588" ht="12.5" customHeight="1">
      <c r="A588" s="9" t="n"/>
      <c r="B588" s="13" t="n"/>
      <c r="C588" s="13" t="n"/>
      <c r="D588" s="30" t="n"/>
      <c r="G588" s="9" t="n"/>
      <c r="J588" s="38" t="n"/>
    </row>
    <row r="589" ht="12.5" customHeight="1">
      <c r="A589" s="9" t="n"/>
      <c r="B589" s="13" t="n"/>
      <c r="C589" s="13" t="n"/>
      <c r="D589" s="30" t="n"/>
      <c r="G589" s="9" t="n"/>
      <c r="J589" s="38" t="n"/>
    </row>
    <row r="590" ht="12.5" customHeight="1">
      <c r="A590" s="9" t="n"/>
      <c r="B590" s="13" t="n"/>
      <c r="C590" s="13" t="n"/>
      <c r="D590" s="30" t="n"/>
      <c r="G590" s="9" t="n"/>
      <c r="J590" s="38" t="n"/>
    </row>
    <row r="591" ht="12.5" customHeight="1">
      <c r="A591" s="9" t="n"/>
      <c r="B591" s="13" t="n"/>
      <c r="C591" s="13" t="n"/>
      <c r="D591" s="30" t="n"/>
      <c r="G591" s="9" t="n"/>
      <c r="J591" s="38" t="n"/>
    </row>
    <row r="592" ht="12.5" customHeight="1">
      <c r="A592" s="9" t="n"/>
      <c r="B592" s="13" t="n"/>
      <c r="C592" s="13" t="n"/>
      <c r="D592" s="30" t="n"/>
      <c r="G592" s="9" t="n"/>
      <c r="J592" s="38" t="n"/>
    </row>
    <row r="593" ht="12.5" customHeight="1">
      <c r="A593" s="9" t="n"/>
      <c r="B593" s="13" t="n"/>
      <c r="C593" s="13" t="n"/>
      <c r="D593" s="30" t="n"/>
      <c r="G593" s="9" t="n"/>
      <c r="J593" s="38" t="n"/>
    </row>
    <row r="594" ht="12.5" customHeight="1">
      <c r="A594" s="9" t="n"/>
      <c r="B594" s="13" t="n"/>
      <c r="C594" s="13" t="n"/>
      <c r="D594" s="30" t="n"/>
      <c r="G594" s="9" t="n"/>
      <c r="J594" s="38" t="n"/>
    </row>
    <row r="595" ht="12.5" customHeight="1">
      <c r="A595" s="9" t="n"/>
      <c r="B595" s="13" t="n"/>
      <c r="C595" s="13" t="n"/>
      <c r="D595" s="30" t="n"/>
      <c r="G595" s="9" t="n"/>
      <c r="J595" s="38" t="n"/>
    </row>
    <row r="596" ht="12.5" customHeight="1">
      <c r="A596" s="9" t="n"/>
      <c r="B596" s="13" t="n"/>
      <c r="C596" s="13" t="n"/>
      <c r="D596" s="30" t="n"/>
      <c r="G596" s="9" t="n"/>
      <c r="J596" s="38" t="n"/>
    </row>
    <row r="597" ht="12.5" customHeight="1">
      <c r="A597" s="9" t="n"/>
      <c r="B597" s="13" t="n"/>
      <c r="C597" s="13" t="n"/>
      <c r="D597" s="30" t="n"/>
      <c r="G597" s="9" t="n"/>
      <c r="J597" s="38" t="n"/>
    </row>
    <row r="598" ht="12.5" customHeight="1">
      <c r="A598" s="9" t="n"/>
      <c r="B598" s="13" t="n"/>
      <c r="C598" s="13" t="n"/>
      <c r="D598" s="30" t="n"/>
      <c r="G598" s="9" t="n"/>
      <c r="J598" s="38" t="n"/>
    </row>
    <row r="599" ht="12.5" customHeight="1">
      <c r="A599" s="9" t="n"/>
      <c r="B599" s="13" t="n"/>
      <c r="C599" s="13" t="n"/>
      <c r="D599" s="30" t="n"/>
      <c r="G599" s="9" t="n"/>
      <c r="J599" s="38" t="n"/>
    </row>
    <row r="600" ht="12.5" customHeight="1">
      <c r="A600" s="9" t="n"/>
      <c r="B600" s="13" t="n"/>
      <c r="C600" s="13" t="n"/>
      <c r="D600" s="30" t="n"/>
      <c r="G600" s="9" t="n"/>
      <c r="J600" s="38" t="n"/>
    </row>
    <row r="601" ht="12.5" customHeight="1">
      <c r="A601" s="9" t="n"/>
      <c r="B601" s="13" t="n"/>
      <c r="C601" s="13" t="n"/>
      <c r="D601" s="30" t="n"/>
      <c r="G601" s="9" t="n"/>
      <c r="J601" s="38" t="n"/>
    </row>
    <row r="602" ht="12.5" customHeight="1">
      <c r="A602" s="9" t="n"/>
      <c r="B602" s="13" t="n"/>
      <c r="C602" s="13" t="n"/>
      <c r="D602" s="30" t="n"/>
      <c r="G602" s="9" t="n"/>
      <c r="J602" s="38" t="n"/>
    </row>
    <row r="603" ht="12.5" customHeight="1">
      <c r="A603" s="9" t="n"/>
      <c r="B603" s="13" t="n"/>
      <c r="C603" s="13" t="n"/>
      <c r="D603" s="30" t="n"/>
      <c r="G603" s="9" t="n"/>
      <c r="J603" s="38" t="n"/>
    </row>
    <row r="604" ht="12.5" customHeight="1">
      <c r="A604" s="9" t="n"/>
      <c r="B604" s="13" t="n"/>
      <c r="C604" s="13" t="n"/>
      <c r="D604" s="30" t="n"/>
      <c r="G604" s="9" t="n"/>
      <c r="J604" s="38" t="n"/>
    </row>
    <row r="605" ht="12.5" customHeight="1">
      <c r="A605" s="9" t="n"/>
      <c r="B605" s="13" t="n"/>
      <c r="C605" s="13" t="n"/>
      <c r="D605" s="30" t="n"/>
      <c r="G605" s="9" t="n"/>
      <c r="J605" s="38" t="n"/>
    </row>
    <row r="606" ht="12.5" customHeight="1">
      <c r="A606" s="9" t="n"/>
      <c r="B606" s="13" t="n"/>
      <c r="C606" s="13" t="n"/>
      <c r="D606" s="30" t="n"/>
      <c r="G606" s="9" t="n"/>
      <c r="J606" s="38" t="n"/>
    </row>
    <row r="607" ht="12.5" customHeight="1">
      <c r="A607" s="9" t="n"/>
      <c r="B607" s="13" t="n"/>
      <c r="C607" s="13" t="n"/>
      <c r="D607" s="30" t="n"/>
      <c r="G607" s="9" t="n"/>
      <c r="J607" s="38" t="n"/>
    </row>
    <row r="608" ht="12.5" customHeight="1">
      <c r="A608" s="9" t="n"/>
      <c r="B608" s="13" t="n"/>
      <c r="C608" s="13" t="n"/>
      <c r="D608" s="30" t="n"/>
      <c r="G608" s="9" t="n"/>
      <c r="J608" s="38" t="n"/>
    </row>
    <row r="609" ht="12.5" customHeight="1">
      <c r="A609" s="9" t="n"/>
      <c r="B609" s="13" t="n"/>
      <c r="C609" s="13" t="n"/>
      <c r="D609" s="30" t="n"/>
      <c r="G609" s="9" t="n"/>
      <c r="J609" s="38" t="n"/>
    </row>
    <row r="610" ht="12.5" customHeight="1">
      <c r="A610" s="9" t="n"/>
      <c r="B610" s="13" t="n"/>
      <c r="C610" s="13" t="n"/>
      <c r="D610" s="30" t="n"/>
      <c r="G610" s="9" t="n"/>
      <c r="J610" s="38" t="n"/>
    </row>
    <row r="611" ht="12.5" customHeight="1">
      <c r="A611" s="9" t="n"/>
      <c r="B611" s="13" t="n"/>
      <c r="C611" s="13" t="n"/>
      <c r="D611" s="30" t="n"/>
      <c r="G611" s="9" t="n"/>
      <c r="J611" s="38" t="n"/>
    </row>
    <row r="612" ht="12.5" customHeight="1">
      <c r="A612" s="9" t="n"/>
      <c r="B612" s="13" t="n"/>
      <c r="C612" s="13" t="n"/>
      <c r="D612" s="30" t="n"/>
      <c r="G612" s="9" t="n"/>
      <c r="J612" s="38" t="n"/>
    </row>
    <row r="613" ht="12.5" customHeight="1">
      <c r="A613" s="9" t="n"/>
      <c r="B613" s="13" t="n"/>
      <c r="C613" s="13" t="n"/>
      <c r="D613" s="30" t="n"/>
      <c r="G613" s="9" t="n"/>
      <c r="J613" s="38" t="n"/>
    </row>
    <row r="614" ht="12.5" customHeight="1">
      <c r="A614" s="9" t="n"/>
      <c r="B614" s="13" t="n"/>
      <c r="C614" s="13" t="n"/>
      <c r="D614" s="30" t="n"/>
      <c r="G614" s="9" t="n"/>
      <c r="J614" s="38" t="n"/>
    </row>
    <row r="615" ht="12.5" customHeight="1">
      <c r="A615" s="9" t="n"/>
      <c r="B615" s="13" t="n"/>
      <c r="C615" s="13" t="n"/>
      <c r="D615" s="30" t="n"/>
      <c r="G615" s="9" t="n"/>
      <c r="J615" s="38" t="n"/>
    </row>
    <row r="616" ht="12.5" customHeight="1">
      <c r="A616" s="9" t="n"/>
      <c r="B616" s="13" t="n"/>
      <c r="C616" s="13" t="n"/>
      <c r="D616" s="30" t="n"/>
      <c r="G616" s="9" t="n"/>
      <c r="J616" s="38" t="n"/>
    </row>
    <row r="617" ht="12.5" customHeight="1">
      <c r="A617" s="9" t="n"/>
      <c r="B617" s="13" t="n"/>
      <c r="C617" s="13" t="n"/>
      <c r="D617" s="30" t="n"/>
      <c r="G617" s="9" t="n"/>
      <c r="J617" s="38" t="n"/>
    </row>
    <row r="618" ht="12.5" customHeight="1">
      <c r="A618" s="9" t="n"/>
      <c r="B618" s="13" t="n"/>
      <c r="C618" s="13" t="n"/>
      <c r="D618" s="30" t="n"/>
      <c r="G618" s="9" t="n"/>
      <c r="J618" s="38" t="n"/>
    </row>
    <row r="619" ht="12.5" customHeight="1">
      <c r="A619" s="9" t="n"/>
      <c r="B619" s="13" t="n"/>
      <c r="C619" s="13" t="n"/>
      <c r="D619" s="30" t="n"/>
      <c r="G619" s="9" t="n"/>
      <c r="J619" s="38" t="n"/>
    </row>
    <row r="620" ht="12.5" customHeight="1">
      <c r="A620" s="9" t="n"/>
      <c r="B620" s="13" t="n"/>
      <c r="C620" s="13" t="n"/>
      <c r="D620" s="30" t="n"/>
      <c r="G620" s="9" t="n"/>
      <c r="J620" s="38" t="n"/>
    </row>
    <row r="621" ht="12.5" customHeight="1">
      <c r="A621" s="9" t="n"/>
      <c r="B621" s="13" t="n"/>
      <c r="C621" s="13" t="n"/>
      <c r="D621" s="30" t="n"/>
      <c r="G621" s="9" t="n"/>
      <c r="J621" s="38" t="n"/>
    </row>
    <row r="622" ht="12.5" customHeight="1">
      <c r="A622" s="9" t="n"/>
      <c r="B622" s="13" t="n"/>
      <c r="C622" s="13" t="n"/>
      <c r="D622" s="30" t="n"/>
      <c r="G622" s="9" t="n"/>
      <c r="J622" s="38" t="n"/>
    </row>
    <row r="623" ht="12.5" customHeight="1">
      <c r="A623" s="9" t="n"/>
      <c r="B623" s="13" t="n"/>
      <c r="C623" s="13" t="n"/>
      <c r="D623" s="30" t="n"/>
      <c r="G623" s="9" t="n"/>
      <c r="J623" s="38" t="n"/>
    </row>
    <row r="624" ht="12.5" customHeight="1">
      <c r="A624" s="9" t="n"/>
      <c r="B624" s="13" t="n"/>
      <c r="C624" s="13" t="n"/>
      <c r="D624" s="30" t="n"/>
      <c r="G624" s="9" t="n"/>
      <c r="J624" s="38" t="n"/>
    </row>
    <row r="625" ht="12.5" customHeight="1">
      <c r="A625" s="9" t="n"/>
      <c r="B625" s="13" t="n"/>
      <c r="C625" s="13" t="n"/>
      <c r="D625" s="30" t="n"/>
      <c r="G625" s="9" t="n"/>
      <c r="J625" s="38" t="n"/>
    </row>
    <row r="626" ht="12.5" customHeight="1">
      <c r="A626" s="9" t="n"/>
      <c r="B626" s="13" t="n"/>
      <c r="C626" s="13" t="n"/>
      <c r="D626" s="30" t="n"/>
      <c r="G626" s="9" t="n"/>
      <c r="J626" s="38" t="n"/>
    </row>
    <row r="627" ht="12.5" customHeight="1">
      <c r="A627" s="9" t="n"/>
      <c r="B627" s="13" t="n"/>
      <c r="C627" s="13" t="n"/>
      <c r="D627" s="30" t="n"/>
      <c r="G627" s="9" t="n"/>
      <c r="J627" s="38" t="n"/>
    </row>
    <row r="628" ht="12.5" customHeight="1">
      <c r="A628" s="9" t="n"/>
      <c r="B628" s="13" t="n"/>
      <c r="C628" s="13" t="n"/>
      <c r="D628" s="30" t="n"/>
      <c r="G628" s="9" t="n"/>
      <c r="J628" s="38" t="n"/>
    </row>
    <row r="629" ht="12.5" customHeight="1">
      <c r="A629" s="9" t="n"/>
      <c r="B629" s="13" t="n"/>
      <c r="C629" s="13" t="n"/>
      <c r="D629" s="30" t="n"/>
      <c r="G629" s="9" t="n"/>
      <c r="J629" s="38" t="n"/>
    </row>
    <row r="630" ht="12.5" customHeight="1">
      <c r="A630" s="9" t="n"/>
      <c r="B630" s="13" t="n"/>
      <c r="C630" s="13" t="n"/>
      <c r="D630" s="30" t="n"/>
      <c r="G630" s="9" t="n"/>
      <c r="J630" s="38" t="n"/>
    </row>
    <row r="631" ht="12.5" customHeight="1">
      <c r="A631" s="9" t="n"/>
      <c r="B631" s="13" t="n"/>
      <c r="C631" s="13" t="n"/>
      <c r="D631" s="30" t="n"/>
      <c r="G631" s="9" t="n"/>
      <c r="J631" s="38" t="n"/>
    </row>
    <row r="632" ht="12.5" customHeight="1">
      <c r="A632" s="9" t="n"/>
      <c r="B632" s="13" t="n"/>
      <c r="C632" s="13" t="n"/>
      <c r="D632" s="30" t="n"/>
      <c r="G632" s="9" t="n"/>
      <c r="J632" s="38" t="n"/>
    </row>
    <row r="633" ht="12.5" customHeight="1">
      <c r="A633" s="9" t="n"/>
      <c r="B633" s="13" t="n"/>
      <c r="C633" s="13" t="n"/>
      <c r="D633" s="30" t="n"/>
      <c r="G633" s="9" t="n"/>
      <c r="J633" s="38" t="n"/>
    </row>
    <row r="634" ht="12.5" customHeight="1">
      <c r="A634" s="9" t="n"/>
      <c r="B634" s="13" t="n"/>
      <c r="C634" s="13" t="n"/>
      <c r="D634" s="30" t="n"/>
      <c r="G634" s="9" t="n"/>
      <c r="J634" s="38" t="n"/>
    </row>
    <row r="635" ht="12.5" customHeight="1">
      <c r="A635" s="9" t="n"/>
      <c r="B635" s="13" t="n"/>
      <c r="C635" s="13" t="n"/>
      <c r="D635" s="30" t="n"/>
      <c r="G635" s="9" t="n"/>
      <c r="J635" s="38" t="n"/>
    </row>
    <row r="636" ht="12.5" customHeight="1">
      <c r="A636" s="9" t="n"/>
      <c r="B636" s="13" t="n"/>
      <c r="C636" s="13" t="n"/>
      <c r="D636" s="30" t="n"/>
      <c r="G636" s="9" t="n"/>
      <c r="J636" s="38" t="n"/>
    </row>
    <row r="637" ht="12.5" customHeight="1">
      <c r="A637" s="9" t="n"/>
      <c r="B637" s="13" t="n"/>
      <c r="C637" s="13" t="n"/>
      <c r="D637" s="30" t="n"/>
      <c r="G637" s="9" t="n"/>
      <c r="J637" s="38" t="n"/>
    </row>
    <row r="638" ht="12.5" customHeight="1">
      <c r="A638" s="9" t="n"/>
      <c r="B638" s="13" t="n"/>
      <c r="C638" s="13" t="n"/>
      <c r="D638" s="30" t="n"/>
      <c r="G638" s="9" t="n"/>
      <c r="J638" s="38" t="n"/>
    </row>
    <row r="639" ht="12.5" customHeight="1">
      <c r="A639" s="9" t="n"/>
      <c r="B639" s="13" t="n"/>
      <c r="C639" s="13" t="n"/>
      <c r="D639" s="30" t="n"/>
      <c r="G639" s="9" t="n"/>
      <c r="J639" s="38" t="n"/>
    </row>
    <row r="640" ht="12.5" customHeight="1">
      <c r="A640" s="9" t="n"/>
      <c r="B640" s="13" t="n"/>
      <c r="C640" s="13" t="n"/>
      <c r="D640" s="30" t="n"/>
      <c r="G640" s="9" t="n"/>
      <c r="J640" s="38" t="n"/>
    </row>
    <row r="641" ht="12.5" customHeight="1">
      <c r="A641" s="9" t="n"/>
      <c r="B641" s="13" t="n"/>
      <c r="C641" s="13" t="n"/>
      <c r="D641" s="30" t="n"/>
      <c r="G641" s="9" t="n"/>
      <c r="J641" s="38" t="n"/>
    </row>
    <row r="642" ht="12.5" customHeight="1">
      <c r="A642" s="9" t="n"/>
      <c r="B642" s="13" t="n"/>
      <c r="C642" s="13" t="n"/>
      <c r="D642" s="30" t="n"/>
      <c r="G642" s="9" t="n"/>
      <c r="J642" s="38" t="n"/>
    </row>
    <row r="643" ht="12.5" customHeight="1">
      <c r="A643" s="9" t="n"/>
      <c r="B643" s="13" t="n"/>
      <c r="C643" s="13" t="n"/>
      <c r="D643" s="30" t="n"/>
      <c r="G643" s="9" t="n"/>
      <c r="J643" s="38" t="n"/>
    </row>
    <row r="644" ht="12.5" customHeight="1">
      <c r="A644" s="9" t="n"/>
      <c r="B644" s="13" t="n"/>
      <c r="C644" s="13" t="n"/>
      <c r="D644" s="30" t="n"/>
      <c r="G644" s="9" t="n"/>
      <c r="J644" s="38" t="n"/>
    </row>
    <row r="645" ht="12.5" customHeight="1">
      <c r="A645" s="9" t="n"/>
      <c r="B645" s="13" t="n"/>
      <c r="C645" s="13" t="n"/>
      <c r="D645" s="30" t="n"/>
      <c r="G645" s="9" t="n"/>
      <c r="J645" s="38" t="n"/>
    </row>
    <row r="646" ht="12.5" customHeight="1">
      <c r="A646" s="9" t="n"/>
      <c r="B646" s="13" t="n"/>
      <c r="C646" s="13" t="n"/>
      <c r="D646" s="30" t="n"/>
      <c r="G646" s="9" t="n"/>
      <c r="J646" s="38" t="n"/>
    </row>
    <row r="647" ht="12.5" customHeight="1">
      <c r="A647" s="9" t="n"/>
      <c r="B647" s="13" t="n"/>
      <c r="C647" s="13" t="n"/>
      <c r="D647" s="30" t="n"/>
      <c r="G647" s="9" t="n"/>
      <c r="J647" s="38" t="n"/>
    </row>
    <row r="648" ht="12.5" customHeight="1">
      <c r="A648" s="9" t="n"/>
      <c r="B648" s="13" t="n"/>
      <c r="C648" s="13" t="n"/>
      <c r="D648" s="30" t="n"/>
      <c r="G648" s="9" t="n"/>
      <c r="J648" s="38" t="n"/>
    </row>
    <row r="649" ht="12.5" customHeight="1">
      <c r="A649" s="9" t="n"/>
      <c r="B649" s="13" t="n"/>
      <c r="C649" s="13" t="n"/>
      <c r="D649" s="30" t="n"/>
      <c r="G649" s="9" t="n"/>
      <c r="J649" s="38" t="n"/>
    </row>
    <row r="650" ht="12.5" customHeight="1">
      <c r="A650" s="9" t="n"/>
      <c r="B650" s="13" t="n"/>
      <c r="C650" s="13" t="n"/>
      <c r="D650" s="30" t="n"/>
      <c r="G650" s="9" t="n"/>
      <c r="J650" s="38" t="n"/>
    </row>
    <row r="651" ht="12.5" customHeight="1">
      <c r="A651" s="9" t="n"/>
      <c r="B651" s="13" t="n"/>
      <c r="C651" s="13" t="n"/>
      <c r="D651" s="30" t="n"/>
      <c r="G651" s="9" t="n"/>
      <c r="J651" s="38" t="n"/>
    </row>
    <row r="652" ht="12.5" customHeight="1">
      <c r="A652" s="9" t="n"/>
      <c r="B652" s="13" t="n"/>
      <c r="C652" s="13" t="n"/>
      <c r="D652" s="30" t="n"/>
      <c r="G652" s="9" t="n"/>
      <c r="J652" s="38" t="n"/>
    </row>
    <row r="653" ht="12.5" customHeight="1">
      <c r="A653" s="9" t="n"/>
      <c r="B653" s="13" t="n"/>
      <c r="C653" s="13" t="n"/>
      <c r="D653" s="30" t="n"/>
      <c r="G653" s="9" t="n"/>
      <c r="J653" s="38" t="n"/>
    </row>
    <row r="654" ht="12.5" customHeight="1">
      <c r="A654" s="9" t="n"/>
      <c r="B654" s="13" t="n"/>
      <c r="C654" s="13" t="n"/>
      <c r="D654" s="30" t="n"/>
      <c r="G654" s="9" t="n"/>
      <c r="J654" s="38" t="n"/>
    </row>
    <row r="655" ht="12.5" customHeight="1">
      <c r="A655" s="9" t="n"/>
      <c r="B655" s="13" t="n"/>
      <c r="C655" s="13" t="n"/>
      <c r="D655" s="30" t="n"/>
      <c r="G655" s="9" t="n"/>
      <c r="J655" s="38" t="n"/>
    </row>
    <row r="656" ht="12.5" customHeight="1">
      <c r="A656" s="9" t="n"/>
      <c r="B656" s="13" t="n"/>
      <c r="C656" s="13" t="n"/>
      <c r="D656" s="30" t="n"/>
      <c r="G656" s="9" t="n"/>
      <c r="J656" s="38" t="n"/>
    </row>
    <row r="657" ht="12.5" customHeight="1">
      <c r="A657" s="9" t="n"/>
      <c r="B657" s="13" t="n"/>
      <c r="C657" s="13" t="n"/>
      <c r="D657" s="30" t="n"/>
      <c r="G657" s="9" t="n"/>
      <c r="J657" s="38" t="n"/>
    </row>
    <row r="658" ht="12.5" customHeight="1">
      <c r="A658" s="9" t="n"/>
      <c r="B658" s="13" t="n"/>
      <c r="C658" s="13" t="n"/>
      <c r="D658" s="30" t="n"/>
      <c r="G658" s="9" t="n"/>
      <c r="J658" s="38" t="n"/>
    </row>
    <row r="659" ht="12.5" customHeight="1">
      <c r="A659" s="9" t="n"/>
      <c r="B659" s="13" t="n"/>
      <c r="C659" s="13" t="n"/>
      <c r="D659" s="30" t="n"/>
      <c r="G659" s="9" t="n"/>
      <c r="J659" s="38" t="n"/>
    </row>
    <row r="660" ht="12.5" customHeight="1">
      <c r="A660" s="9" t="n"/>
      <c r="B660" s="13" t="n"/>
      <c r="C660" s="13" t="n"/>
      <c r="D660" s="30" t="n"/>
      <c r="G660" s="9" t="n"/>
      <c r="J660" s="38" t="n"/>
    </row>
    <row r="661" ht="12.5" customHeight="1">
      <c r="A661" s="9" t="n"/>
      <c r="B661" s="13" t="n"/>
      <c r="C661" s="13" t="n"/>
      <c r="D661" s="30" t="n"/>
      <c r="G661" s="9" t="n"/>
      <c r="J661" s="38" t="n"/>
    </row>
    <row r="662" ht="12.5" customHeight="1">
      <c r="A662" s="9" t="n"/>
      <c r="B662" s="13" t="n"/>
      <c r="C662" s="13" t="n"/>
      <c r="D662" s="30" t="n"/>
      <c r="G662" s="9" t="n"/>
      <c r="J662" s="38" t="n"/>
    </row>
    <row r="663" ht="12.5" customHeight="1">
      <c r="A663" s="9" t="n"/>
      <c r="B663" s="13" t="n"/>
      <c r="C663" s="13" t="n"/>
      <c r="D663" s="30" t="n"/>
      <c r="G663" s="9" t="n"/>
      <c r="J663" s="38" t="n"/>
    </row>
    <row r="664" ht="12.5" customHeight="1">
      <c r="A664" s="9" t="n"/>
      <c r="B664" s="13" t="n"/>
      <c r="C664" s="13" t="n"/>
      <c r="D664" s="30" t="n"/>
      <c r="G664" s="9" t="n"/>
      <c r="J664" s="38" t="n"/>
    </row>
    <row r="665" ht="12.5" customHeight="1">
      <c r="A665" s="9" t="n"/>
      <c r="B665" s="13" t="n"/>
      <c r="C665" s="13" t="n"/>
      <c r="D665" s="30" t="n"/>
      <c r="G665" s="9" t="n"/>
      <c r="J665" s="38" t="n"/>
    </row>
    <row r="666" ht="12.5" customHeight="1">
      <c r="A666" s="9" t="n"/>
      <c r="B666" s="13" t="n"/>
      <c r="C666" s="13" t="n"/>
      <c r="D666" s="30" t="n"/>
      <c r="G666" s="9" t="n"/>
      <c r="J666" s="38" t="n"/>
    </row>
    <row r="667" ht="12.5" customHeight="1">
      <c r="A667" s="9" t="n"/>
      <c r="B667" s="13" t="n"/>
      <c r="C667" s="13" t="n"/>
      <c r="D667" s="30" t="n"/>
      <c r="G667" s="9" t="n"/>
      <c r="J667" s="38" t="n"/>
    </row>
    <row r="668" ht="12.5" customHeight="1">
      <c r="A668" s="9" t="n"/>
      <c r="B668" s="13" t="n"/>
      <c r="C668" s="13" t="n"/>
      <c r="D668" s="30" t="n"/>
      <c r="G668" s="9" t="n"/>
      <c r="J668" s="38" t="n"/>
    </row>
    <row r="669" ht="12.5" customHeight="1">
      <c r="A669" s="9" t="n"/>
      <c r="B669" s="13" t="n"/>
      <c r="C669" s="13" t="n"/>
      <c r="D669" s="30" t="n"/>
      <c r="G669" s="9" t="n"/>
      <c r="J669" s="38" t="n"/>
    </row>
    <row r="670" ht="12.5" customHeight="1">
      <c r="A670" s="9" t="n"/>
      <c r="B670" s="13" t="n"/>
      <c r="C670" s="13" t="n"/>
      <c r="D670" s="30" t="n"/>
      <c r="G670" s="9" t="n"/>
      <c r="J670" s="38" t="n"/>
    </row>
    <row r="671" ht="12.5" customHeight="1">
      <c r="A671" s="9" t="n"/>
      <c r="B671" s="13" t="n"/>
      <c r="C671" s="13" t="n"/>
      <c r="D671" s="30" t="n"/>
      <c r="G671" s="9" t="n"/>
      <c r="J671" s="38" t="n"/>
    </row>
    <row r="672" ht="12.5" customHeight="1">
      <c r="A672" s="9" t="n"/>
      <c r="B672" s="13" t="n"/>
      <c r="C672" s="13" t="n"/>
      <c r="D672" s="30" t="n"/>
      <c r="G672" s="9" t="n"/>
      <c r="J672" s="38" t="n"/>
    </row>
    <row r="673" ht="12.5" customHeight="1">
      <c r="A673" s="9" t="n"/>
      <c r="B673" s="13" t="n"/>
      <c r="C673" s="13" t="n"/>
      <c r="D673" s="30" t="n"/>
      <c r="G673" s="9" t="n"/>
      <c r="J673" s="38" t="n"/>
    </row>
    <row r="674" ht="12.5" customHeight="1">
      <c r="A674" s="9" t="n"/>
      <c r="B674" s="13" t="n"/>
      <c r="C674" s="13" t="n"/>
      <c r="D674" s="30" t="n"/>
      <c r="G674" s="9" t="n"/>
      <c r="J674" s="38" t="n"/>
    </row>
    <row r="675" ht="12.5" customHeight="1">
      <c r="A675" s="9" t="n"/>
      <c r="B675" s="13" t="n"/>
      <c r="C675" s="13" t="n"/>
      <c r="D675" s="30" t="n"/>
      <c r="G675" s="9" t="n"/>
      <c r="J675" s="38" t="n"/>
    </row>
    <row r="676" ht="12.5" customHeight="1">
      <c r="A676" s="9" t="n"/>
      <c r="B676" s="13" t="n"/>
      <c r="C676" s="13" t="n"/>
      <c r="D676" s="30" t="n"/>
      <c r="G676" s="9" t="n"/>
      <c r="J676" s="38" t="n"/>
    </row>
    <row r="677" ht="12.5" customHeight="1">
      <c r="A677" s="9" t="n"/>
      <c r="B677" s="13" t="n"/>
      <c r="C677" s="13" t="n"/>
      <c r="D677" s="30" t="n"/>
      <c r="G677" s="9" t="n"/>
      <c r="J677" s="38" t="n"/>
    </row>
    <row r="678" ht="12.5" customHeight="1">
      <c r="A678" s="9" t="n"/>
      <c r="B678" s="13" t="n"/>
      <c r="C678" s="13" t="n"/>
      <c r="D678" s="30" t="n"/>
      <c r="G678" s="9" t="n"/>
      <c r="J678" s="38" t="n"/>
    </row>
    <row r="679" ht="12.5" customHeight="1">
      <c r="A679" s="9" t="n"/>
      <c r="B679" s="13" t="n"/>
      <c r="C679" s="13" t="n"/>
      <c r="D679" s="30" t="n"/>
      <c r="G679" s="9" t="n"/>
      <c r="J679" s="38" t="n"/>
    </row>
    <row r="680" ht="12.5" customHeight="1">
      <c r="A680" s="9" t="n"/>
      <c r="B680" s="13" t="n"/>
      <c r="C680" s="13" t="n"/>
      <c r="D680" s="30" t="n"/>
      <c r="G680" s="9" t="n"/>
      <c r="J680" s="38" t="n"/>
    </row>
    <row r="681" ht="12.5" customHeight="1">
      <c r="A681" s="9" t="n"/>
      <c r="B681" s="13" t="n"/>
      <c r="C681" s="13" t="n"/>
      <c r="D681" s="30" t="n"/>
      <c r="G681" s="9" t="n"/>
      <c r="J681" s="38" t="n"/>
    </row>
    <row r="682" ht="12.5" customHeight="1">
      <c r="A682" s="9" t="n"/>
      <c r="B682" s="13" t="n"/>
      <c r="C682" s="13" t="n"/>
      <c r="D682" s="30" t="n"/>
      <c r="G682" s="9" t="n"/>
      <c r="J682" s="38" t="n"/>
    </row>
    <row r="683" ht="12.5" customHeight="1">
      <c r="A683" s="9" t="n"/>
      <c r="B683" s="13" t="n"/>
      <c r="C683" s="13" t="n"/>
      <c r="D683" s="30" t="n"/>
      <c r="G683" s="9" t="n"/>
      <c r="J683" s="38" t="n"/>
    </row>
    <row r="684" ht="12.5" customHeight="1">
      <c r="A684" s="9" t="n"/>
      <c r="B684" s="13" t="n"/>
      <c r="C684" s="13" t="n"/>
      <c r="D684" s="30" t="n"/>
      <c r="G684" s="9" t="n"/>
      <c r="J684" s="38" t="n"/>
    </row>
    <row r="685" ht="12.5" customHeight="1">
      <c r="A685" s="9" t="n"/>
      <c r="B685" s="13" t="n"/>
      <c r="C685" s="13" t="n"/>
      <c r="D685" s="30" t="n"/>
      <c r="G685" s="9" t="n"/>
      <c r="J685" s="38" t="n"/>
    </row>
    <row r="686" ht="12.5" customHeight="1">
      <c r="A686" s="9" t="n"/>
      <c r="B686" s="13" t="n"/>
      <c r="C686" s="13" t="n"/>
      <c r="D686" s="30" t="n"/>
      <c r="G686" s="9" t="n"/>
      <c r="J686" s="38" t="n"/>
    </row>
    <row r="687" ht="12.5" customHeight="1">
      <c r="A687" s="9" t="n"/>
      <c r="B687" s="13" t="n"/>
      <c r="C687" s="13" t="n"/>
      <c r="D687" s="30" t="n"/>
      <c r="G687" s="9" t="n"/>
      <c r="J687" s="38" t="n"/>
    </row>
    <row r="688" ht="12.5" customHeight="1">
      <c r="A688" s="9" t="n"/>
      <c r="B688" s="13" t="n"/>
      <c r="C688" s="13" t="n"/>
      <c r="D688" s="30" t="n"/>
      <c r="G688" s="9" t="n"/>
      <c r="J688" s="38" t="n"/>
    </row>
    <row r="689" ht="12.5" customHeight="1">
      <c r="A689" s="9" t="n"/>
      <c r="B689" s="13" t="n"/>
      <c r="C689" s="13" t="n"/>
      <c r="D689" s="30" t="n"/>
      <c r="G689" s="9" t="n"/>
      <c r="J689" s="38" t="n"/>
    </row>
    <row r="690" ht="12.5" customHeight="1">
      <c r="A690" s="9" t="n"/>
      <c r="B690" s="13" t="n"/>
      <c r="C690" s="13" t="n"/>
      <c r="D690" s="30" t="n"/>
      <c r="G690" s="9" t="n"/>
      <c r="J690" s="38" t="n"/>
    </row>
    <row r="691" ht="12.5" customHeight="1">
      <c r="A691" s="9" t="n"/>
      <c r="B691" s="13" t="n"/>
      <c r="C691" s="13" t="n"/>
      <c r="D691" s="30" t="n"/>
      <c r="G691" s="9" t="n"/>
      <c r="J691" s="38" t="n"/>
    </row>
    <row r="692" ht="12.5" customHeight="1">
      <c r="A692" s="9" t="n"/>
      <c r="B692" s="13" t="n"/>
      <c r="C692" s="13" t="n"/>
      <c r="D692" s="30" t="n"/>
      <c r="G692" s="9" t="n"/>
      <c r="J692" s="38" t="n"/>
    </row>
    <row r="693" ht="12.5" customHeight="1">
      <c r="A693" s="9" t="n"/>
      <c r="B693" s="13" t="n"/>
      <c r="C693" s="13" t="n"/>
      <c r="D693" s="30" t="n"/>
      <c r="G693" s="9" t="n"/>
      <c r="J693" s="38" t="n"/>
    </row>
    <row r="694" ht="12.5" customHeight="1">
      <c r="A694" s="9" t="n"/>
      <c r="B694" s="13" t="n"/>
      <c r="C694" s="13" t="n"/>
      <c r="D694" s="30" t="n"/>
      <c r="G694" s="9" t="n"/>
      <c r="J694" s="38" t="n"/>
    </row>
    <row r="695" ht="12.5" customHeight="1">
      <c r="A695" s="9" t="n"/>
      <c r="B695" s="13" t="n"/>
      <c r="C695" s="13" t="n"/>
      <c r="D695" s="30" t="n"/>
      <c r="G695" s="9" t="n"/>
      <c r="J695" s="38" t="n"/>
    </row>
    <row r="696" ht="12.5" customHeight="1">
      <c r="A696" s="9" t="n"/>
      <c r="B696" s="13" t="n"/>
      <c r="C696" s="13" t="n"/>
      <c r="D696" s="30" t="n"/>
      <c r="G696" s="9" t="n"/>
      <c r="J696" s="38" t="n"/>
    </row>
    <row r="697" ht="12.5" customHeight="1">
      <c r="A697" s="9" t="n"/>
      <c r="B697" s="13" t="n"/>
      <c r="C697" s="13" t="n"/>
      <c r="D697" s="30" t="n"/>
      <c r="G697" s="9" t="n"/>
      <c r="J697" s="38" t="n"/>
    </row>
    <row r="698" ht="12.5" customHeight="1">
      <c r="A698" s="9" t="n"/>
      <c r="B698" s="13" t="n"/>
      <c r="C698" s="13" t="n"/>
      <c r="D698" s="30" t="n"/>
      <c r="G698" s="9" t="n"/>
      <c r="J698" s="38" t="n"/>
    </row>
    <row r="699" ht="12.5" customHeight="1">
      <c r="A699" s="9" t="n"/>
      <c r="B699" s="13" t="n"/>
      <c r="C699" s="13" t="n"/>
      <c r="D699" s="30" t="n"/>
      <c r="G699" s="9" t="n"/>
      <c r="J699" s="38" t="n"/>
    </row>
    <row r="700" ht="12.5" customHeight="1">
      <c r="A700" s="9" t="n"/>
      <c r="B700" s="13" t="n"/>
      <c r="C700" s="13" t="n"/>
      <c r="D700" s="30" t="n"/>
      <c r="G700" s="9" t="n"/>
      <c r="J700" s="38" t="n"/>
    </row>
    <row r="701" ht="12.5" customHeight="1">
      <c r="A701" s="9" t="n"/>
      <c r="B701" s="13" t="n"/>
      <c r="C701" s="13" t="n"/>
      <c r="D701" s="30" t="n"/>
      <c r="G701" s="9" t="n"/>
      <c r="J701" s="38" t="n"/>
    </row>
    <row r="702" ht="12.5" customHeight="1">
      <c r="A702" s="9" t="n"/>
      <c r="B702" s="13" t="n"/>
      <c r="C702" s="13" t="n"/>
      <c r="D702" s="30" t="n"/>
      <c r="G702" s="9" t="n"/>
      <c r="J702" s="38" t="n"/>
    </row>
    <row r="703" ht="12.5" customHeight="1">
      <c r="A703" s="9" t="n"/>
      <c r="B703" s="13" t="n"/>
      <c r="C703" s="13" t="n"/>
      <c r="D703" s="30" t="n"/>
      <c r="G703" s="9" t="n"/>
      <c r="J703" s="38" t="n"/>
    </row>
    <row r="704" ht="12.5" customHeight="1">
      <c r="A704" s="9" t="n"/>
      <c r="B704" s="13" t="n"/>
      <c r="C704" s="13" t="n"/>
      <c r="D704" s="30" t="n"/>
      <c r="G704" s="9" t="n"/>
      <c r="J704" s="38" t="n"/>
    </row>
    <row r="705" ht="12.5" customHeight="1">
      <c r="A705" s="9" t="n"/>
      <c r="B705" s="13" t="n"/>
      <c r="C705" s="13" t="n"/>
      <c r="D705" s="30" t="n"/>
      <c r="G705" s="9" t="n"/>
      <c r="J705" s="38" t="n"/>
    </row>
    <row r="706" ht="12.5" customHeight="1">
      <c r="A706" s="9" t="n"/>
      <c r="B706" s="13" t="n"/>
      <c r="C706" s="13" t="n"/>
      <c r="D706" s="30" t="n"/>
      <c r="G706" s="9" t="n"/>
      <c r="J706" s="38" t="n"/>
    </row>
    <row r="707" ht="12.5" customHeight="1">
      <c r="A707" s="9" t="n"/>
      <c r="B707" s="13" t="n"/>
      <c r="C707" s="13" t="n"/>
      <c r="D707" s="30" t="n"/>
      <c r="G707" s="9" t="n"/>
      <c r="J707" s="38" t="n"/>
    </row>
    <row r="708" ht="12.5" customHeight="1">
      <c r="A708" s="9" t="n"/>
      <c r="B708" s="13" t="n"/>
      <c r="C708" s="13" t="n"/>
      <c r="D708" s="30" t="n"/>
      <c r="G708" s="9" t="n"/>
      <c r="J708" s="38" t="n"/>
    </row>
    <row r="709" ht="12.5" customHeight="1">
      <c r="A709" s="9" t="n"/>
      <c r="B709" s="13" t="n"/>
      <c r="C709" s="13" t="n"/>
      <c r="D709" s="30" t="n"/>
      <c r="G709" s="9" t="n"/>
      <c r="J709" s="38" t="n"/>
    </row>
    <row r="710" ht="12.5" customHeight="1">
      <c r="A710" s="9" t="n"/>
      <c r="B710" s="13" t="n"/>
      <c r="C710" s="13" t="n"/>
      <c r="D710" s="30" t="n"/>
      <c r="G710" s="9" t="n"/>
      <c r="J710" s="38" t="n"/>
    </row>
    <row r="711" ht="12.5" customHeight="1">
      <c r="A711" s="9" t="n"/>
      <c r="B711" s="13" t="n"/>
      <c r="C711" s="13" t="n"/>
      <c r="D711" s="30" t="n"/>
      <c r="G711" s="9" t="n"/>
      <c r="J711" s="38" t="n"/>
    </row>
    <row r="712" ht="12.5" customHeight="1">
      <c r="A712" s="9" t="n"/>
      <c r="B712" s="13" t="n"/>
      <c r="C712" s="13" t="n"/>
      <c r="D712" s="30" t="n"/>
      <c r="G712" s="9" t="n"/>
      <c r="J712" s="38" t="n"/>
    </row>
    <row r="713" ht="12.5" customHeight="1">
      <c r="A713" s="9" t="n"/>
      <c r="B713" s="13" t="n"/>
      <c r="C713" s="13" t="n"/>
      <c r="D713" s="30" t="n"/>
      <c r="G713" s="9" t="n"/>
      <c r="J713" s="38" t="n"/>
    </row>
    <row r="714" ht="12.5" customHeight="1">
      <c r="A714" s="9" t="n"/>
      <c r="B714" s="13" t="n"/>
      <c r="C714" s="13" t="n"/>
      <c r="D714" s="30" t="n"/>
      <c r="G714" s="9" t="n"/>
      <c r="J714" s="38" t="n"/>
    </row>
    <row r="715" ht="12.5" customHeight="1">
      <c r="A715" s="9" t="n"/>
      <c r="B715" s="13" t="n"/>
      <c r="C715" s="13" t="n"/>
      <c r="D715" s="30" t="n"/>
      <c r="G715" s="9" t="n"/>
      <c r="J715" s="38" t="n"/>
    </row>
    <row r="716" ht="12.5" customHeight="1">
      <c r="A716" s="9" t="n"/>
      <c r="B716" s="13" t="n"/>
      <c r="C716" s="13" t="n"/>
      <c r="D716" s="30" t="n"/>
      <c r="G716" s="9" t="n"/>
      <c r="J716" s="38" t="n"/>
    </row>
    <row r="717" ht="12.5" customHeight="1">
      <c r="A717" s="9" t="n"/>
      <c r="B717" s="13" t="n"/>
      <c r="C717" s="13" t="n"/>
      <c r="D717" s="30" t="n"/>
      <c r="G717" s="9" t="n"/>
      <c r="J717" s="38" t="n"/>
    </row>
    <row r="718" ht="12.5" customHeight="1">
      <c r="A718" s="9" t="n"/>
      <c r="B718" s="13" t="n"/>
      <c r="C718" s="13" t="n"/>
      <c r="D718" s="30" t="n"/>
      <c r="G718" s="9" t="n"/>
      <c r="J718" s="38" t="n"/>
    </row>
    <row r="719" ht="12.5" customHeight="1">
      <c r="A719" s="9" t="n"/>
      <c r="B719" s="13" t="n"/>
      <c r="C719" s="13" t="n"/>
      <c r="D719" s="30" t="n"/>
      <c r="G719" s="9" t="n"/>
      <c r="J719" s="38" t="n"/>
    </row>
    <row r="720" ht="12.5" customHeight="1">
      <c r="A720" s="9" t="n"/>
      <c r="B720" s="13" t="n"/>
      <c r="C720" s="13" t="n"/>
      <c r="D720" s="30" t="n"/>
      <c r="G720" s="9" t="n"/>
      <c r="J720" s="38" t="n"/>
    </row>
    <row r="721" ht="12.5" customHeight="1">
      <c r="A721" s="9" t="n"/>
      <c r="B721" s="13" t="n"/>
      <c r="C721" s="13" t="n"/>
      <c r="D721" s="30" t="n"/>
      <c r="G721" s="9" t="n"/>
      <c r="J721" s="38" t="n"/>
    </row>
    <row r="722" ht="12.5" customHeight="1">
      <c r="A722" s="9" t="n"/>
      <c r="B722" s="13" t="n"/>
      <c r="C722" s="13" t="n"/>
      <c r="D722" s="30" t="n"/>
      <c r="G722" s="9" t="n"/>
      <c r="J722" s="38" t="n"/>
    </row>
    <row r="723" ht="12.5" customHeight="1">
      <c r="A723" s="9" t="n"/>
      <c r="B723" s="13" t="n"/>
      <c r="C723" s="13" t="n"/>
      <c r="D723" s="30" t="n"/>
      <c r="G723" s="9" t="n"/>
      <c r="J723" s="38" t="n"/>
    </row>
    <row r="724" ht="12.5" customHeight="1">
      <c r="A724" s="9" t="n"/>
      <c r="B724" s="13" t="n"/>
      <c r="C724" s="13" t="n"/>
      <c r="D724" s="30" t="n"/>
      <c r="G724" s="9" t="n"/>
      <c r="J724" s="38" t="n"/>
    </row>
    <row r="725" ht="12.5" customHeight="1">
      <c r="A725" s="9" t="n"/>
      <c r="B725" s="13" t="n"/>
      <c r="C725" s="13" t="n"/>
      <c r="D725" s="30" t="n"/>
      <c r="G725" s="9" t="n"/>
      <c r="J725" s="38" t="n"/>
    </row>
    <row r="726" ht="12.5" customHeight="1">
      <c r="A726" s="9" t="n"/>
      <c r="B726" s="13" t="n"/>
      <c r="C726" s="13" t="n"/>
      <c r="D726" s="30" t="n"/>
      <c r="G726" s="9" t="n"/>
      <c r="J726" s="38" t="n"/>
    </row>
    <row r="727" ht="12.5" customHeight="1">
      <c r="A727" s="9" t="n"/>
      <c r="B727" s="13" t="n"/>
      <c r="C727" s="13" t="n"/>
      <c r="D727" s="30" t="n"/>
      <c r="G727" s="9" t="n"/>
      <c r="J727" s="38" t="n"/>
    </row>
    <row r="728" ht="12.5" customHeight="1">
      <c r="A728" s="9" t="n"/>
      <c r="B728" s="13" t="n"/>
      <c r="C728" s="13" t="n"/>
      <c r="D728" s="30" t="n"/>
      <c r="G728" s="9" t="n"/>
      <c r="J728" s="38" t="n"/>
    </row>
    <row r="729" ht="12.5" customHeight="1">
      <c r="A729" s="9" t="n"/>
      <c r="B729" s="13" t="n"/>
      <c r="C729" s="13" t="n"/>
      <c r="D729" s="30" t="n"/>
      <c r="G729" s="9" t="n"/>
      <c r="J729" s="38" t="n"/>
    </row>
    <row r="730" ht="12.5" customHeight="1">
      <c r="A730" s="9" t="n"/>
      <c r="B730" s="13" t="n"/>
      <c r="C730" s="13" t="n"/>
      <c r="D730" s="30" t="n"/>
      <c r="G730" s="9" t="n"/>
      <c r="J730" s="38" t="n"/>
    </row>
    <row r="731" ht="12.5" customHeight="1">
      <c r="A731" s="9" t="n"/>
      <c r="B731" s="13" t="n"/>
      <c r="C731" s="13" t="n"/>
      <c r="D731" s="30" t="n"/>
      <c r="G731" s="9" t="n"/>
      <c r="J731" s="38" t="n"/>
    </row>
    <row r="732" ht="12.5" customHeight="1">
      <c r="A732" s="9" t="n"/>
      <c r="B732" s="13" t="n"/>
      <c r="C732" s="13" t="n"/>
      <c r="D732" s="30" t="n"/>
      <c r="G732" s="9" t="n"/>
      <c r="J732" s="38" t="n"/>
    </row>
    <row r="733" ht="12.5" customHeight="1">
      <c r="A733" s="9" t="n"/>
      <c r="B733" s="13" t="n"/>
      <c r="C733" s="13" t="n"/>
      <c r="D733" s="30" t="n"/>
      <c r="G733" s="9" t="n"/>
      <c r="J733" s="38" t="n"/>
    </row>
    <row r="734" ht="12.5" customHeight="1">
      <c r="A734" s="9" t="n"/>
      <c r="B734" s="13" t="n"/>
      <c r="C734" s="13" t="n"/>
      <c r="D734" s="30" t="n"/>
      <c r="G734" s="9" t="n"/>
      <c r="J734" s="38" t="n"/>
    </row>
    <row r="735" ht="12.5" customHeight="1">
      <c r="A735" s="9" t="n"/>
      <c r="B735" s="13" t="n"/>
      <c r="C735" s="13" t="n"/>
      <c r="D735" s="30" t="n"/>
      <c r="G735" s="9" t="n"/>
      <c r="J735" s="38" t="n"/>
    </row>
    <row r="736" ht="12.5" customHeight="1">
      <c r="A736" s="9" t="n"/>
      <c r="B736" s="13" t="n"/>
      <c r="C736" s="13" t="n"/>
      <c r="D736" s="30" t="n"/>
      <c r="G736" s="9" t="n"/>
      <c r="J736" s="38" t="n"/>
    </row>
    <row r="737" ht="12.5" customHeight="1">
      <c r="A737" s="9" t="n"/>
      <c r="B737" s="13" t="n"/>
      <c r="C737" s="13" t="n"/>
      <c r="D737" s="30" t="n"/>
      <c r="G737" s="9" t="n"/>
      <c r="J737" s="38" t="n"/>
    </row>
    <row r="738" ht="12.5" customHeight="1">
      <c r="A738" s="9" t="n"/>
      <c r="B738" s="13" t="n"/>
      <c r="C738" s="13" t="n"/>
      <c r="D738" s="30" t="n"/>
      <c r="G738" s="9" t="n"/>
      <c r="J738" s="38" t="n"/>
    </row>
    <row r="739" ht="12.5" customHeight="1">
      <c r="A739" s="9" t="n"/>
      <c r="B739" s="13" t="n"/>
      <c r="C739" s="13" t="n"/>
      <c r="D739" s="30" t="n"/>
      <c r="G739" s="9" t="n"/>
      <c r="J739" s="38" t="n"/>
    </row>
    <row r="740" ht="12.5" customHeight="1">
      <c r="A740" s="9" t="n"/>
      <c r="B740" s="13" t="n"/>
      <c r="C740" s="13" t="n"/>
      <c r="D740" s="30" t="n"/>
      <c r="G740" s="9" t="n"/>
      <c r="J740" s="38" t="n"/>
    </row>
    <row r="741" ht="12.5" customHeight="1">
      <c r="A741" s="9" t="n"/>
      <c r="B741" s="13" t="n"/>
      <c r="C741" s="13" t="n"/>
      <c r="D741" s="30" t="n"/>
      <c r="G741" s="9" t="n"/>
      <c r="J741" s="38" t="n"/>
    </row>
    <row r="742" ht="12.5" customHeight="1">
      <c r="A742" s="9" t="n"/>
      <c r="B742" s="13" t="n"/>
      <c r="C742" s="13" t="n"/>
      <c r="D742" s="30" t="n"/>
      <c r="G742" s="9" t="n"/>
      <c r="J742" s="38" t="n"/>
    </row>
    <row r="743" ht="12.5" customHeight="1">
      <c r="A743" s="9" t="n"/>
      <c r="B743" s="13" t="n"/>
      <c r="C743" s="13" t="n"/>
      <c r="D743" s="30" t="n"/>
      <c r="G743" s="9" t="n"/>
      <c r="J743" s="38" t="n"/>
    </row>
    <row r="744" ht="12.5" customHeight="1">
      <c r="A744" s="9" t="n"/>
      <c r="B744" s="13" t="n"/>
      <c r="C744" s="13" t="n"/>
      <c r="D744" s="30" t="n"/>
      <c r="G744" s="9" t="n"/>
      <c r="J744" s="38" t="n"/>
    </row>
    <row r="745" ht="12.5" customHeight="1">
      <c r="A745" s="9" t="n"/>
      <c r="B745" s="13" t="n"/>
      <c r="C745" s="13" t="n"/>
      <c r="D745" s="30" t="n"/>
      <c r="G745" s="9" t="n"/>
      <c r="J745" s="38" t="n"/>
    </row>
    <row r="746" ht="12.5" customHeight="1">
      <c r="A746" s="9" t="n"/>
      <c r="B746" s="13" t="n"/>
      <c r="C746" s="13" t="n"/>
      <c r="D746" s="30" t="n"/>
      <c r="G746" s="9" t="n"/>
      <c r="J746" s="38" t="n"/>
    </row>
    <row r="747" ht="12.5" customHeight="1">
      <c r="A747" s="9" t="n"/>
      <c r="B747" s="13" t="n"/>
      <c r="C747" s="13" t="n"/>
      <c r="D747" s="30" t="n"/>
      <c r="G747" s="9" t="n"/>
      <c r="J747" s="38" t="n"/>
    </row>
    <row r="748" ht="12.5" customHeight="1">
      <c r="A748" s="9" t="n"/>
      <c r="B748" s="13" t="n"/>
      <c r="C748" s="13" t="n"/>
      <c r="D748" s="30" t="n"/>
      <c r="G748" s="9" t="n"/>
      <c r="J748" s="38" t="n"/>
    </row>
    <row r="749" ht="12.5" customHeight="1">
      <c r="A749" s="9" t="n"/>
      <c r="B749" s="13" t="n"/>
      <c r="C749" s="13" t="n"/>
      <c r="D749" s="30" t="n"/>
      <c r="G749" s="9" t="n"/>
      <c r="J749" s="38" t="n"/>
    </row>
    <row r="750" ht="12.5" customHeight="1">
      <c r="A750" s="9" t="n"/>
      <c r="B750" s="13" t="n"/>
      <c r="C750" s="13" t="n"/>
      <c r="D750" s="30" t="n"/>
      <c r="G750" s="9" t="n"/>
      <c r="J750" s="38" t="n"/>
    </row>
    <row r="751" ht="12.5" customHeight="1">
      <c r="A751" s="9" t="n"/>
      <c r="B751" s="13" t="n"/>
      <c r="C751" s="13" t="n"/>
      <c r="D751" s="30" t="n"/>
      <c r="G751" s="9" t="n"/>
      <c r="J751" s="38" t="n"/>
    </row>
    <row r="752" ht="12.5" customHeight="1">
      <c r="A752" s="9" t="n"/>
      <c r="B752" s="13" t="n"/>
      <c r="C752" s="13" t="n"/>
      <c r="D752" s="30" t="n"/>
      <c r="G752" s="9" t="n"/>
      <c r="J752" s="38" t="n"/>
    </row>
    <row r="753" ht="12.5" customHeight="1">
      <c r="A753" s="9" t="n"/>
      <c r="B753" s="13" t="n"/>
      <c r="C753" s="13" t="n"/>
      <c r="D753" s="30" t="n"/>
      <c r="G753" s="9" t="n"/>
      <c r="J753" s="38" t="n"/>
    </row>
    <row r="754" ht="12.5" customHeight="1">
      <c r="A754" s="9" t="n"/>
      <c r="B754" s="13" t="n"/>
      <c r="C754" s="13" t="n"/>
      <c r="D754" s="30" t="n"/>
      <c r="G754" s="9" t="n"/>
      <c r="J754" s="38" t="n"/>
    </row>
    <row r="755" ht="12.5" customHeight="1">
      <c r="A755" s="9" t="n"/>
      <c r="B755" s="13" t="n"/>
      <c r="C755" s="13" t="n"/>
      <c r="D755" s="30" t="n"/>
      <c r="G755" s="9" t="n"/>
      <c r="J755" s="38" t="n"/>
    </row>
    <row r="756" ht="12.5" customHeight="1">
      <c r="A756" s="9" t="n"/>
      <c r="B756" s="13" t="n"/>
      <c r="C756" s="13" t="n"/>
      <c r="D756" s="30" t="n"/>
      <c r="G756" s="9" t="n"/>
      <c r="J756" s="38" t="n"/>
    </row>
    <row r="757" ht="12.5" customHeight="1">
      <c r="A757" s="9" t="n"/>
      <c r="B757" s="13" t="n"/>
      <c r="C757" s="13" t="n"/>
      <c r="D757" s="30" t="n"/>
      <c r="G757" s="9" t="n"/>
      <c r="J757" s="38" t="n"/>
    </row>
    <row r="758" ht="12.5" customHeight="1">
      <c r="A758" s="9" t="n"/>
      <c r="B758" s="13" t="n"/>
      <c r="C758" s="13" t="n"/>
      <c r="D758" s="30" t="n"/>
      <c r="G758" s="9" t="n"/>
      <c r="J758" s="38" t="n"/>
    </row>
    <row r="759" ht="12.5" customHeight="1">
      <c r="A759" s="9" t="n"/>
      <c r="B759" s="13" t="n"/>
      <c r="C759" s="13" t="n"/>
      <c r="D759" s="30" t="n"/>
      <c r="G759" s="9" t="n"/>
      <c r="J759" s="38" t="n"/>
    </row>
    <row r="760" ht="12.5" customHeight="1">
      <c r="A760" s="9" t="n"/>
      <c r="B760" s="13" t="n"/>
      <c r="C760" s="13" t="n"/>
      <c r="D760" s="30" t="n"/>
      <c r="G760" s="9" t="n"/>
      <c r="J760" s="38" t="n"/>
    </row>
    <row r="761" ht="12.5" customHeight="1">
      <c r="A761" s="9" t="n"/>
      <c r="B761" s="13" t="n"/>
      <c r="C761" s="13" t="n"/>
      <c r="D761" s="30" t="n"/>
      <c r="G761" s="9" t="n"/>
      <c r="J761" s="38" t="n"/>
    </row>
    <row r="762" ht="12.5" customHeight="1">
      <c r="A762" s="9" t="n"/>
      <c r="B762" s="13" t="n"/>
      <c r="C762" s="13" t="n"/>
      <c r="D762" s="30" t="n"/>
      <c r="G762" s="9" t="n"/>
      <c r="J762" s="38" t="n"/>
    </row>
    <row r="763" ht="12.5" customHeight="1">
      <c r="A763" s="9" t="n"/>
      <c r="B763" s="13" t="n"/>
      <c r="C763" s="13" t="n"/>
      <c r="D763" s="30" t="n"/>
      <c r="G763" s="9" t="n"/>
      <c r="J763" s="38" t="n"/>
    </row>
    <row r="764" ht="12.5" customHeight="1">
      <c r="A764" s="9" t="n"/>
      <c r="B764" s="13" t="n"/>
      <c r="C764" s="13" t="n"/>
      <c r="D764" s="30" t="n"/>
      <c r="G764" s="9" t="n"/>
      <c r="J764" s="38" t="n"/>
    </row>
    <row r="765" ht="12.5" customHeight="1">
      <c r="A765" s="9" t="n"/>
      <c r="B765" s="13" t="n"/>
      <c r="C765" s="13" t="n"/>
      <c r="D765" s="30" t="n"/>
      <c r="G765" s="9" t="n"/>
      <c r="J765" s="38" t="n"/>
    </row>
    <row r="766" ht="12.5" customHeight="1">
      <c r="A766" s="9" t="n"/>
      <c r="B766" s="13" t="n"/>
      <c r="C766" s="13" t="n"/>
      <c r="D766" s="30" t="n"/>
      <c r="G766" s="9" t="n"/>
      <c r="J766" s="38" t="n"/>
    </row>
    <row r="767" ht="12.5" customHeight="1">
      <c r="A767" s="9" t="n"/>
      <c r="B767" s="13" t="n"/>
      <c r="C767" s="13" t="n"/>
      <c r="D767" s="30" t="n"/>
      <c r="G767" s="9" t="n"/>
      <c r="J767" s="38" t="n"/>
    </row>
    <row r="768" ht="12.5" customHeight="1">
      <c r="A768" s="9" t="n"/>
      <c r="B768" s="13" t="n"/>
      <c r="C768" s="13" t="n"/>
      <c r="D768" s="30" t="n"/>
      <c r="G768" s="9" t="n"/>
      <c r="J768" s="38" t="n"/>
    </row>
    <row r="769" ht="12.5" customHeight="1">
      <c r="A769" s="9" t="n"/>
      <c r="B769" s="13" t="n"/>
      <c r="C769" s="13" t="n"/>
      <c r="D769" s="30" t="n"/>
      <c r="G769" s="9" t="n"/>
      <c r="J769" s="38" t="n"/>
    </row>
    <row r="770" ht="12.5" customHeight="1">
      <c r="A770" s="9" t="n"/>
      <c r="B770" s="13" t="n"/>
      <c r="C770" s="13" t="n"/>
      <c r="D770" s="30" t="n"/>
      <c r="G770" s="9" t="n"/>
      <c r="J770" s="38" t="n"/>
    </row>
    <row r="771" ht="12.5" customHeight="1">
      <c r="A771" s="9" t="n"/>
      <c r="B771" s="13" t="n"/>
      <c r="C771" s="13" t="n"/>
      <c r="D771" s="30" t="n"/>
      <c r="G771" s="9" t="n"/>
      <c r="J771" s="38" t="n"/>
    </row>
    <row r="772" ht="12.5" customHeight="1">
      <c r="A772" s="9" t="n"/>
      <c r="B772" s="13" t="n"/>
      <c r="C772" s="13" t="n"/>
      <c r="D772" s="30" t="n"/>
      <c r="G772" s="9" t="n"/>
      <c r="J772" s="38" t="n"/>
    </row>
    <row r="773" ht="12.5" customHeight="1">
      <c r="A773" s="9" t="n"/>
      <c r="B773" s="13" t="n"/>
      <c r="C773" s="13" t="n"/>
      <c r="D773" s="30" t="n"/>
      <c r="G773" s="9" t="n"/>
      <c r="J773" s="38" t="n"/>
    </row>
    <row r="774" ht="12.5" customHeight="1">
      <c r="A774" s="9" t="n"/>
      <c r="B774" s="13" t="n"/>
      <c r="C774" s="13" t="n"/>
      <c r="D774" s="30" t="n"/>
      <c r="G774" s="9" t="n"/>
      <c r="J774" s="38" t="n"/>
    </row>
    <row r="775" ht="12.5" customHeight="1">
      <c r="A775" s="9" t="n"/>
      <c r="B775" s="13" t="n"/>
      <c r="C775" s="13" t="n"/>
      <c r="D775" s="30" t="n"/>
      <c r="G775" s="9" t="n"/>
      <c r="J775" s="38" t="n"/>
    </row>
    <row r="776" ht="12.5" customHeight="1">
      <c r="A776" s="9" t="n"/>
      <c r="B776" s="13" t="n"/>
      <c r="C776" s="13" t="n"/>
      <c r="D776" s="30" t="n"/>
      <c r="G776" s="9" t="n"/>
      <c r="J776" s="38" t="n"/>
    </row>
    <row r="777" ht="12.5" customHeight="1">
      <c r="A777" s="9" t="n"/>
      <c r="B777" s="13" t="n"/>
      <c r="C777" s="13" t="n"/>
      <c r="D777" s="30" t="n"/>
      <c r="G777" s="9" t="n"/>
      <c r="J777" s="38" t="n"/>
    </row>
    <row r="778" ht="12.5" customHeight="1">
      <c r="A778" s="9" t="n"/>
      <c r="B778" s="13" t="n"/>
      <c r="C778" s="13" t="n"/>
      <c r="D778" s="30" t="n"/>
      <c r="G778" s="9" t="n"/>
      <c r="J778" s="38" t="n"/>
    </row>
    <row r="779" ht="12.5" customHeight="1">
      <c r="A779" s="9" t="n"/>
      <c r="B779" s="13" t="n"/>
      <c r="C779" s="13" t="n"/>
      <c r="D779" s="30" t="n"/>
      <c r="G779" s="9" t="n"/>
      <c r="J779" s="38" t="n"/>
    </row>
    <row r="780" ht="12.5" customHeight="1">
      <c r="A780" s="9" t="n"/>
      <c r="B780" s="13" t="n"/>
      <c r="C780" s="13" t="n"/>
      <c r="D780" s="30" t="n"/>
      <c r="G780" s="9" t="n"/>
      <c r="J780" s="38" t="n"/>
    </row>
    <row r="781" ht="12.5" customHeight="1">
      <c r="A781" s="9" t="n"/>
      <c r="B781" s="13" t="n"/>
      <c r="C781" s="13" t="n"/>
      <c r="D781" s="30" t="n"/>
      <c r="G781" s="9" t="n"/>
      <c r="J781" s="38" t="n"/>
    </row>
    <row r="782" ht="12.5" customHeight="1">
      <c r="A782" s="9" t="n"/>
      <c r="B782" s="13" t="n"/>
      <c r="C782" s="13" t="n"/>
      <c r="D782" s="30" t="n"/>
      <c r="G782" s="9" t="n"/>
      <c r="J782" s="38" t="n"/>
    </row>
    <row r="783" ht="12.5" customHeight="1">
      <c r="A783" s="9" t="n"/>
      <c r="B783" s="13" t="n"/>
      <c r="C783" s="13" t="n"/>
      <c r="D783" s="30" t="n"/>
      <c r="G783" s="9" t="n"/>
      <c r="J783" s="38" t="n"/>
    </row>
    <row r="784" ht="12.5" customHeight="1">
      <c r="A784" s="9" t="n"/>
      <c r="B784" s="13" t="n"/>
      <c r="C784" s="13" t="n"/>
      <c r="D784" s="30" t="n"/>
      <c r="G784" s="9" t="n"/>
      <c r="J784" s="38" t="n"/>
    </row>
    <row r="785" ht="12.5" customHeight="1">
      <c r="A785" s="9" t="n"/>
      <c r="B785" s="13" t="n"/>
      <c r="C785" s="13" t="n"/>
      <c r="D785" s="30" t="n"/>
      <c r="G785" s="9" t="n"/>
      <c r="J785" s="38" t="n"/>
    </row>
    <row r="786" ht="12.5" customHeight="1">
      <c r="A786" s="9" t="n"/>
      <c r="B786" s="13" t="n"/>
      <c r="C786" s="13" t="n"/>
      <c r="D786" s="30" t="n"/>
      <c r="G786" s="9" t="n"/>
      <c r="J786" s="38" t="n"/>
    </row>
    <row r="787" ht="12.5" customHeight="1">
      <c r="A787" s="9" t="n"/>
      <c r="B787" s="13" t="n"/>
      <c r="C787" s="13" t="n"/>
      <c r="D787" s="30" t="n"/>
      <c r="G787" s="9" t="n"/>
      <c r="J787" s="38" t="n"/>
    </row>
    <row r="788" ht="12.5" customHeight="1">
      <c r="A788" s="9" t="n"/>
      <c r="B788" s="13" t="n"/>
      <c r="C788" s="13" t="n"/>
      <c r="D788" s="30" t="n"/>
      <c r="G788" s="9" t="n"/>
      <c r="J788" s="38" t="n"/>
    </row>
    <row r="789" ht="12.5" customHeight="1">
      <c r="A789" s="9" t="n"/>
      <c r="B789" s="13" t="n"/>
      <c r="C789" s="13" t="n"/>
      <c r="D789" s="30" t="n"/>
      <c r="G789" s="9" t="n"/>
      <c r="J789" s="38" t="n"/>
    </row>
    <row r="790" ht="12.5" customHeight="1">
      <c r="A790" s="9" t="n"/>
      <c r="B790" s="13" t="n"/>
      <c r="C790" s="13" t="n"/>
      <c r="D790" s="30" t="n"/>
      <c r="G790" s="9" t="n"/>
      <c r="J790" s="38" t="n"/>
    </row>
    <row r="791" ht="12.5" customHeight="1">
      <c r="A791" s="9" t="n"/>
      <c r="B791" s="13" t="n"/>
      <c r="C791" s="13" t="n"/>
      <c r="D791" s="30" t="n"/>
      <c r="G791" s="9" t="n"/>
      <c r="J791" s="38" t="n"/>
    </row>
    <row r="792" ht="12.5" customHeight="1">
      <c r="A792" s="9" t="n"/>
      <c r="B792" s="13" t="n"/>
      <c r="C792" s="13" t="n"/>
      <c r="D792" s="30" t="n"/>
      <c r="G792" s="9" t="n"/>
      <c r="J792" s="38" t="n"/>
    </row>
    <row r="793" ht="12.5" customHeight="1">
      <c r="A793" s="9" t="n"/>
      <c r="B793" s="13" t="n"/>
      <c r="C793" s="13" t="n"/>
      <c r="D793" s="30" t="n"/>
      <c r="G793" s="9" t="n"/>
      <c r="J793" s="38" t="n"/>
    </row>
    <row r="794" ht="12.5" customHeight="1">
      <c r="A794" s="9" t="n"/>
      <c r="B794" s="13" t="n"/>
      <c r="C794" s="13" t="n"/>
      <c r="D794" s="30" t="n"/>
      <c r="G794" s="9" t="n"/>
      <c r="J794" s="38" t="n"/>
    </row>
    <row r="795" ht="12.5" customHeight="1">
      <c r="A795" s="9" t="n"/>
      <c r="B795" s="13" t="n"/>
      <c r="C795" s="13" t="n"/>
      <c r="D795" s="30" t="n"/>
      <c r="G795" s="9" t="n"/>
      <c r="J795" s="38" t="n"/>
    </row>
    <row r="796" ht="12.5" customHeight="1">
      <c r="A796" s="9" t="n"/>
      <c r="B796" s="13" t="n"/>
      <c r="C796" s="13" t="n"/>
      <c r="D796" s="30" t="n"/>
      <c r="G796" s="9" t="n"/>
      <c r="J796" s="38" t="n"/>
    </row>
    <row r="797" ht="12.5" customHeight="1">
      <c r="A797" s="9" t="n"/>
      <c r="B797" s="13" t="n"/>
      <c r="C797" s="13" t="n"/>
      <c r="D797" s="30" t="n"/>
      <c r="G797" s="9" t="n"/>
      <c r="J797" s="38" t="n"/>
    </row>
    <row r="798" ht="12.5" customHeight="1">
      <c r="A798" s="9" t="n"/>
      <c r="B798" s="13" t="n"/>
      <c r="C798" s="13" t="n"/>
      <c r="D798" s="30" t="n"/>
      <c r="G798" s="9" t="n"/>
      <c r="J798" s="38" t="n"/>
    </row>
    <row r="799" ht="12.5" customHeight="1">
      <c r="A799" s="9" t="n"/>
      <c r="B799" s="13" t="n"/>
      <c r="C799" s="13" t="n"/>
      <c r="D799" s="30" t="n"/>
      <c r="G799" s="9" t="n"/>
      <c r="J799" s="38" t="n"/>
    </row>
    <row r="800" ht="12.5" customHeight="1">
      <c r="A800" s="9" t="n"/>
      <c r="B800" s="13" t="n"/>
      <c r="C800" s="13" t="n"/>
      <c r="D800" s="30" t="n"/>
      <c r="G800" s="9" t="n"/>
      <c r="J800" s="38" t="n"/>
    </row>
    <row r="801" ht="12.5" customHeight="1">
      <c r="A801" s="9" t="n"/>
      <c r="B801" s="13" t="n"/>
      <c r="C801" s="13" t="n"/>
      <c r="D801" s="30" t="n"/>
      <c r="G801" s="9" t="n"/>
      <c r="J801" s="38" t="n"/>
    </row>
    <row r="802" ht="12.5" customHeight="1">
      <c r="A802" s="9" t="n"/>
      <c r="B802" s="13" t="n"/>
      <c r="C802" s="13" t="n"/>
      <c r="D802" s="30" t="n"/>
      <c r="G802" s="9" t="n"/>
      <c r="J802" s="38" t="n"/>
    </row>
    <row r="803" ht="12.5" customHeight="1">
      <c r="A803" s="9" t="n"/>
      <c r="B803" s="13" t="n"/>
      <c r="C803" s="13" t="n"/>
      <c r="D803" s="30" t="n"/>
      <c r="G803" s="9" t="n"/>
      <c r="J803" s="38" t="n"/>
    </row>
    <row r="804" ht="12.5" customHeight="1">
      <c r="A804" s="9" t="n"/>
      <c r="B804" s="13" t="n"/>
      <c r="C804" s="13" t="n"/>
      <c r="D804" s="30" t="n"/>
      <c r="G804" s="9" t="n"/>
      <c r="J804" s="38" t="n"/>
    </row>
    <row r="805" ht="12.5" customHeight="1">
      <c r="A805" s="9" t="n"/>
      <c r="B805" s="13" t="n"/>
      <c r="C805" s="13" t="n"/>
      <c r="D805" s="30" t="n"/>
      <c r="G805" s="9" t="n"/>
      <c r="J805" s="38" t="n"/>
    </row>
    <row r="806" ht="12.5" customHeight="1">
      <c r="A806" s="9" t="n"/>
      <c r="B806" s="13" t="n"/>
      <c r="C806" s="13" t="n"/>
      <c r="D806" s="30" t="n"/>
      <c r="G806" s="9" t="n"/>
      <c r="J806" s="38" t="n"/>
    </row>
    <row r="807" ht="12.5" customHeight="1">
      <c r="A807" s="9" t="n"/>
      <c r="B807" s="13" t="n"/>
      <c r="C807" s="13" t="n"/>
      <c r="D807" s="30" t="n"/>
      <c r="G807" s="9" t="n"/>
      <c r="J807" s="38" t="n"/>
    </row>
    <row r="808" ht="12.5" customHeight="1">
      <c r="A808" s="9" t="n"/>
      <c r="B808" s="13" t="n"/>
      <c r="C808" s="13" t="n"/>
      <c r="D808" s="30" t="n"/>
      <c r="G808" s="9" t="n"/>
      <c r="J808" s="38" t="n"/>
    </row>
    <row r="809" ht="12.5" customHeight="1">
      <c r="A809" s="9" t="n"/>
      <c r="B809" s="13" t="n"/>
      <c r="C809" s="13" t="n"/>
      <c r="D809" s="30" t="n"/>
      <c r="G809" s="9" t="n"/>
      <c r="J809" s="38" t="n"/>
    </row>
    <row r="810" ht="12.5" customHeight="1">
      <c r="A810" s="9" t="n"/>
      <c r="B810" s="13" t="n"/>
      <c r="C810" s="13" t="n"/>
      <c r="D810" s="30" t="n"/>
      <c r="G810" s="9" t="n"/>
      <c r="J810" s="38" t="n"/>
    </row>
    <row r="811" ht="12.5" customHeight="1">
      <c r="A811" s="9" t="n"/>
      <c r="B811" s="13" t="n"/>
      <c r="C811" s="13" t="n"/>
      <c r="D811" s="30" t="n"/>
      <c r="G811" s="9" t="n"/>
      <c r="J811" s="38" t="n"/>
    </row>
    <row r="812" ht="12.5" customHeight="1">
      <c r="A812" s="9" t="n"/>
      <c r="B812" s="13" t="n"/>
      <c r="C812" s="13" t="n"/>
      <c r="D812" s="30" t="n"/>
      <c r="G812" s="9" t="n"/>
      <c r="J812" s="38" t="n"/>
    </row>
    <row r="813" ht="12.5" customHeight="1">
      <c r="A813" s="9" t="n"/>
      <c r="B813" s="13" t="n"/>
      <c r="C813" s="13" t="n"/>
      <c r="D813" s="30" t="n"/>
      <c r="G813" s="9" t="n"/>
      <c r="J813" s="38" t="n"/>
    </row>
    <row r="814" ht="12.5" customHeight="1">
      <c r="A814" s="9" t="n"/>
      <c r="B814" s="13" t="n"/>
      <c r="C814" s="13" t="n"/>
      <c r="D814" s="30" t="n"/>
      <c r="G814" s="9" t="n"/>
      <c r="J814" s="38" t="n"/>
    </row>
    <row r="815" ht="12.5" customHeight="1">
      <c r="A815" s="9" t="n"/>
      <c r="B815" s="13" t="n"/>
      <c r="C815" s="13" t="n"/>
      <c r="D815" s="30" t="n"/>
      <c r="G815" s="9" t="n"/>
      <c r="J815" s="38" t="n"/>
    </row>
    <row r="816" ht="12.5" customHeight="1">
      <c r="A816" s="9" t="n"/>
      <c r="B816" s="13" t="n"/>
      <c r="C816" s="13" t="n"/>
      <c r="D816" s="30" t="n"/>
      <c r="G816" s="9" t="n"/>
      <c r="J816" s="38" t="n"/>
    </row>
    <row r="817" ht="12.5" customHeight="1">
      <c r="A817" s="9" t="n"/>
      <c r="B817" s="13" t="n"/>
      <c r="C817" s="13" t="n"/>
      <c r="D817" s="30" t="n"/>
      <c r="G817" s="9" t="n"/>
      <c r="J817" s="38" t="n"/>
    </row>
    <row r="818" ht="12.5" customHeight="1">
      <c r="A818" s="9" t="n"/>
      <c r="B818" s="13" t="n"/>
      <c r="C818" s="13" t="n"/>
      <c r="D818" s="30" t="n"/>
      <c r="G818" s="9" t="n"/>
      <c r="J818" s="38" t="n"/>
    </row>
    <row r="819" ht="12.5" customHeight="1">
      <c r="A819" s="9" t="n"/>
      <c r="B819" s="13" t="n"/>
      <c r="C819" s="13" t="n"/>
      <c r="D819" s="30" t="n"/>
      <c r="G819" s="9" t="n"/>
      <c r="J819" s="38" t="n"/>
    </row>
    <row r="820" ht="12.5" customHeight="1">
      <c r="A820" s="9" t="n"/>
      <c r="B820" s="13" t="n"/>
      <c r="C820" s="13" t="n"/>
      <c r="D820" s="30" t="n"/>
      <c r="G820" s="9" t="n"/>
      <c r="J820" s="38" t="n"/>
    </row>
    <row r="821" ht="12.5" customHeight="1">
      <c r="A821" s="9" t="n"/>
      <c r="B821" s="13" t="n"/>
      <c r="C821" s="13" t="n"/>
      <c r="D821" s="30" t="n"/>
      <c r="G821" s="9" t="n"/>
      <c r="J821" s="38" t="n"/>
    </row>
    <row r="822" ht="12.5" customHeight="1">
      <c r="A822" s="9" t="n"/>
      <c r="B822" s="13" t="n"/>
      <c r="C822" s="13" t="n"/>
      <c r="D822" s="30" t="n"/>
      <c r="G822" s="9" t="n"/>
      <c r="J822" s="38" t="n"/>
    </row>
    <row r="823" ht="12.5" customHeight="1">
      <c r="A823" s="9" t="n"/>
      <c r="B823" s="13" t="n"/>
      <c r="C823" s="13" t="n"/>
      <c r="D823" s="30" t="n"/>
      <c r="G823" s="9" t="n"/>
      <c r="J823" s="38" t="n"/>
    </row>
    <row r="824" ht="12.5" customHeight="1">
      <c r="A824" s="9" t="n"/>
      <c r="B824" s="13" t="n"/>
      <c r="C824" s="13" t="n"/>
      <c r="D824" s="30" t="n"/>
      <c r="G824" s="9" t="n"/>
      <c r="J824" s="38" t="n"/>
    </row>
    <row r="825" ht="12.5" customHeight="1">
      <c r="A825" s="9" t="n"/>
      <c r="B825" s="13" t="n"/>
      <c r="C825" s="13" t="n"/>
      <c r="D825" s="30" t="n"/>
      <c r="G825" s="9" t="n"/>
      <c r="J825" s="38" t="n"/>
    </row>
    <row r="826" ht="12.5" customHeight="1">
      <c r="A826" s="9" t="n"/>
      <c r="B826" s="13" t="n"/>
      <c r="C826" s="13" t="n"/>
      <c r="D826" s="30" t="n"/>
      <c r="G826" s="9" t="n"/>
      <c r="J826" s="38" t="n"/>
    </row>
    <row r="827" ht="12.5" customHeight="1">
      <c r="A827" s="9" t="n"/>
      <c r="B827" s="13" t="n"/>
      <c r="C827" s="13" t="n"/>
      <c r="D827" s="30" t="n"/>
      <c r="G827" s="9" t="n"/>
      <c r="J827" s="38" t="n"/>
    </row>
    <row r="828" ht="12.5" customHeight="1">
      <c r="A828" s="9" t="n"/>
      <c r="B828" s="13" t="n"/>
      <c r="C828" s="13" t="n"/>
      <c r="D828" s="30" t="n"/>
      <c r="G828" s="9" t="n"/>
      <c r="J828" s="38" t="n"/>
    </row>
    <row r="829" ht="12.5" customHeight="1">
      <c r="A829" s="9" t="n"/>
      <c r="B829" s="13" t="n"/>
      <c r="C829" s="13" t="n"/>
      <c r="D829" s="30" t="n"/>
      <c r="G829" s="9" t="n"/>
      <c r="J829" s="38" t="n"/>
    </row>
    <row r="830" ht="12.5" customHeight="1">
      <c r="A830" s="9" t="n"/>
      <c r="B830" s="13" t="n"/>
      <c r="C830" s="13" t="n"/>
      <c r="D830" s="30" t="n"/>
      <c r="G830" s="9" t="n"/>
      <c r="J830" s="38" t="n"/>
    </row>
    <row r="831" ht="12.5" customHeight="1">
      <c r="A831" s="9" t="n"/>
      <c r="B831" s="13" t="n"/>
      <c r="C831" s="13" t="n"/>
      <c r="D831" s="30" t="n"/>
      <c r="G831" s="9" t="n"/>
      <c r="J831" s="38" t="n"/>
    </row>
    <row r="832" ht="12.5" customHeight="1">
      <c r="A832" s="9" t="n"/>
      <c r="B832" s="13" t="n"/>
      <c r="C832" s="13" t="n"/>
      <c r="D832" s="30" t="n"/>
      <c r="G832" s="9" t="n"/>
      <c r="J832" s="38" t="n"/>
    </row>
    <row r="833" ht="12.5" customHeight="1">
      <c r="A833" s="9" t="n"/>
      <c r="B833" s="13" t="n"/>
      <c r="C833" s="13" t="n"/>
      <c r="D833" s="30" t="n"/>
      <c r="G833" s="9" t="n"/>
      <c r="J833" s="38" t="n"/>
    </row>
    <row r="834" ht="12.5" customHeight="1">
      <c r="A834" s="9" t="n"/>
      <c r="B834" s="13" t="n"/>
      <c r="C834" s="13" t="n"/>
      <c r="D834" s="30" t="n"/>
      <c r="G834" s="9" t="n"/>
      <c r="J834" s="38" t="n"/>
    </row>
    <row r="835" ht="12.5" customHeight="1">
      <c r="A835" s="9" t="n"/>
      <c r="B835" s="13" t="n"/>
      <c r="C835" s="13" t="n"/>
      <c r="D835" s="30" t="n"/>
      <c r="G835" s="9" t="n"/>
      <c r="J835" s="38" t="n"/>
    </row>
    <row r="836" ht="12.5" customHeight="1">
      <c r="A836" s="9" t="n"/>
      <c r="B836" s="13" t="n"/>
      <c r="C836" s="13" t="n"/>
      <c r="D836" s="30" t="n"/>
      <c r="G836" s="9" t="n"/>
      <c r="J836" s="38" t="n"/>
    </row>
    <row r="837" ht="12.5" customHeight="1">
      <c r="A837" s="9" t="n"/>
      <c r="B837" s="13" t="n"/>
      <c r="C837" s="13" t="n"/>
      <c r="D837" s="30" t="n"/>
      <c r="G837" s="9" t="n"/>
      <c r="J837" s="38" t="n"/>
    </row>
    <row r="838" ht="12.5" customHeight="1">
      <c r="A838" s="9" t="n"/>
      <c r="B838" s="13" t="n"/>
      <c r="C838" s="13" t="n"/>
      <c r="D838" s="30" t="n"/>
      <c r="G838" s="9" t="n"/>
      <c r="J838" s="38" t="n"/>
    </row>
    <row r="839" ht="12.5" customHeight="1">
      <c r="A839" s="9" t="n"/>
      <c r="B839" s="13" t="n"/>
      <c r="C839" s="13" t="n"/>
      <c r="D839" s="30" t="n"/>
      <c r="G839" s="9" t="n"/>
      <c r="J839" s="38" t="n"/>
    </row>
    <row r="840" ht="12.5" customHeight="1">
      <c r="A840" s="9" t="n"/>
      <c r="B840" s="13" t="n"/>
      <c r="C840" s="13" t="n"/>
      <c r="D840" s="30" t="n"/>
      <c r="G840" s="9" t="n"/>
      <c r="J840" s="38" t="n"/>
    </row>
    <row r="841" ht="12.5" customHeight="1">
      <c r="A841" s="9" t="n"/>
      <c r="B841" s="13" t="n"/>
      <c r="C841" s="13" t="n"/>
      <c r="D841" s="30" t="n"/>
      <c r="G841" s="9" t="n"/>
      <c r="J841" s="38" t="n"/>
    </row>
    <row r="842" ht="12.5" customHeight="1">
      <c r="A842" s="9" t="n"/>
      <c r="B842" s="13" t="n"/>
      <c r="C842" s="13" t="n"/>
      <c r="D842" s="30" t="n"/>
      <c r="G842" s="9" t="n"/>
      <c r="J842" s="38" t="n"/>
    </row>
    <row r="843" ht="12.5" customHeight="1">
      <c r="A843" s="9" t="n"/>
      <c r="B843" s="13" t="n"/>
      <c r="C843" s="13" t="n"/>
      <c r="D843" s="30" t="n"/>
      <c r="G843" s="9" t="n"/>
      <c r="J843" s="38" t="n"/>
    </row>
    <row r="844" ht="12.5" customHeight="1">
      <c r="A844" s="9" t="n"/>
      <c r="B844" s="13" t="n"/>
      <c r="C844" s="13" t="n"/>
      <c r="D844" s="30" t="n"/>
      <c r="G844" s="9" t="n"/>
      <c r="J844" s="38" t="n"/>
    </row>
    <row r="845" ht="12.5" customHeight="1">
      <c r="A845" s="9" t="n"/>
      <c r="B845" s="13" t="n"/>
      <c r="C845" s="13" t="n"/>
      <c r="D845" s="30" t="n"/>
      <c r="G845" s="9" t="n"/>
      <c r="J845" s="38" t="n"/>
    </row>
    <row r="846" ht="12.5" customHeight="1">
      <c r="A846" s="9" t="n"/>
      <c r="B846" s="13" t="n"/>
      <c r="C846" s="13" t="n"/>
      <c r="D846" s="30" t="n"/>
      <c r="G846" s="9" t="n"/>
      <c r="J846" s="38" t="n"/>
    </row>
    <row r="847" ht="12.5" customHeight="1">
      <c r="A847" s="9" t="n"/>
      <c r="B847" s="13" t="n"/>
      <c r="C847" s="13" t="n"/>
      <c r="D847" s="30" t="n"/>
      <c r="G847" s="9" t="n"/>
      <c r="J847" s="38" t="n"/>
    </row>
    <row r="848" ht="12.5" customHeight="1">
      <c r="A848" s="9" t="n"/>
      <c r="B848" s="13" t="n"/>
      <c r="C848" s="13" t="n"/>
      <c r="D848" s="30" t="n"/>
      <c r="G848" s="9" t="n"/>
      <c r="J848" s="38" t="n"/>
    </row>
    <row r="849" ht="12.5" customHeight="1">
      <c r="A849" s="9" t="n"/>
      <c r="B849" s="13" t="n"/>
      <c r="C849" s="13" t="n"/>
      <c r="D849" s="30" t="n"/>
      <c r="G849" s="9" t="n"/>
      <c r="J849" s="38" t="n"/>
    </row>
    <row r="850" ht="12.5" customHeight="1">
      <c r="A850" s="9" t="n"/>
      <c r="B850" s="13" t="n"/>
      <c r="C850" s="13" t="n"/>
      <c r="D850" s="30" t="n"/>
      <c r="G850" s="9" t="n"/>
      <c r="J850" s="38" t="n"/>
    </row>
    <row r="851" ht="12.5" customHeight="1">
      <c r="A851" s="9" t="n"/>
      <c r="B851" s="13" t="n"/>
      <c r="C851" s="13" t="n"/>
      <c r="D851" s="30" t="n"/>
      <c r="G851" s="9" t="n"/>
      <c r="J851" s="38" t="n"/>
    </row>
    <row r="852" ht="12.5" customHeight="1">
      <c r="A852" s="9" t="n"/>
      <c r="B852" s="13" t="n"/>
      <c r="C852" s="13" t="n"/>
      <c r="D852" s="30" t="n"/>
      <c r="G852" s="9" t="n"/>
      <c r="J852" s="38" t="n"/>
    </row>
    <row r="853" ht="12.5" customHeight="1">
      <c r="A853" s="9" t="n"/>
      <c r="B853" s="13" t="n"/>
      <c r="C853" s="13" t="n"/>
      <c r="D853" s="30" t="n"/>
      <c r="G853" s="9" t="n"/>
      <c r="J853" s="38" t="n"/>
    </row>
    <row r="854" ht="12.5" customHeight="1">
      <c r="A854" s="9" t="n"/>
      <c r="B854" s="13" t="n"/>
      <c r="C854" s="13" t="n"/>
      <c r="D854" s="30" t="n"/>
      <c r="G854" s="9" t="n"/>
      <c r="J854" s="38" t="n"/>
    </row>
    <row r="855" ht="12.5" customHeight="1">
      <c r="A855" s="9" t="n"/>
      <c r="B855" s="13" t="n"/>
      <c r="C855" s="13" t="n"/>
      <c r="D855" s="30" t="n"/>
      <c r="G855" s="9" t="n"/>
      <c r="J855" s="38" t="n"/>
    </row>
    <row r="856" ht="12.5" customHeight="1">
      <c r="A856" s="9" t="n"/>
      <c r="B856" s="13" t="n"/>
      <c r="C856" s="13" t="n"/>
      <c r="D856" s="30" t="n"/>
      <c r="G856" s="9" t="n"/>
      <c r="J856" s="38" t="n"/>
    </row>
    <row r="857" ht="12.5" customHeight="1">
      <c r="A857" s="9" t="n"/>
      <c r="B857" s="13" t="n"/>
      <c r="C857" s="13" t="n"/>
      <c r="D857" s="30" t="n"/>
      <c r="G857" s="9" t="n"/>
      <c r="J857" s="38" t="n"/>
    </row>
    <row r="858" ht="12.5" customHeight="1">
      <c r="A858" s="9" t="n"/>
      <c r="B858" s="13" t="n"/>
      <c r="C858" s="13" t="n"/>
      <c r="D858" s="30" t="n"/>
      <c r="G858" s="9" t="n"/>
      <c r="J858" s="38" t="n"/>
    </row>
    <row r="859" ht="12.5" customHeight="1">
      <c r="A859" s="9" t="n"/>
      <c r="B859" s="13" t="n"/>
      <c r="C859" s="13" t="n"/>
      <c r="D859" s="30" t="n"/>
      <c r="G859" s="9" t="n"/>
      <c r="J859" s="38" t="n"/>
    </row>
    <row r="860" ht="12.5" customHeight="1">
      <c r="A860" s="9" t="n"/>
      <c r="B860" s="13" t="n"/>
      <c r="C860" s="13" t="n"/>
      <c r="D860" s="30" t="n"/>
      <c r="G860" s="9" t="n"/>
      <c r="J860" s="38" t="n"/>
    </row>
    <row r="861" ht="12.5" customHeight="1">
      <c r="A861" s="9" t="n"/>
      <c r="B861" s="13" t="n"/>
      <c r="C861" s="13" t="n"/>
      <c r="D861" s="30" t="n"/>
      <c r="G861" s="9" t="n"/>
      <c r="J861" s="38" t="n"/>
    </row>
    <row r="862" ht="12.5" customHeight="1">
      <c r="A862" s="9" t="n"/>
      <c r="B862" s="13" t="n"/>
      <c r="C862" s="13" t="n"/>
      <c r="D862" s="30" t="n"/>
      <c r="G862" s="9" t="n"/>
      <c r="J862" s="38" t="n"/>
    </row>
    <row r="863" ht="12.5" customHeight="1">
      <c r="A863" s="9" t="n"/>
      <c r="B863" s="13" t="n"/>
      <c r="C863" s="13" t="n"/>
      <c r="D863" s="30" t="n"/>
      <c r="G863" s="9" t="n"/>
      <c r="J863" s="38" t="n"/>
    </row>
    <row r="864" ht="12.5" customHeight="1">
      <c r="A864" s="9" t="n"/>
      <c r="B864" s="13" t="n"/>
      <c r="C864" s="13" t="n"/>
      <c r="D864" s="30" t="n"/>
      <c r="G864" s="9" t="n"/>
      <c r="J864" s="38" t="n"/>
    </row>
    <row r="865" ht="12.5" customHeight="1">
      <c r="A865" s="9" t="n"/>
      <c r="B865" s="13" t="n"/>
      <c r="C865" s="13" t="n"/>
      <c r="D865" s="30" t="n"/>
      <c r="G865" s="9" t="n"/>
      <c r="J865" s="38" t="n"/>
    </row>
    <row r="866" ht="12.5" customHeight="1">
      <c r="A866" s="9" t="n"/>
      <c r="B866" s="13" t="n"/>
      <c r="C866" s="13" t="n"/>
      <c r="D866" s="30" t="n"/>
      <c r="G866" s="9" t="n"/>
      <c r="J866" s="38" t="n"/>
    </row>
    <row r="867" ht="12.5" customHeight="1">
      <c r="A867" s="9" t="n"/>
      <c r="B867" s="13" t="n"/>
      <c r="C867" s="13" t="n"/>
      <c r="D867" s="30" t="n"/>
      <c r="G867" s="9" t="n"/>
      <c r="J867" s="38" t="n"/>
    </row>
    <row r="868" ht="12.5" customHeight="1">
      <c r="A868" s="9" t="n"/>
      <c r="B868" s="13" t="n"/>
      <c r="C868" s="13" t="n"/>
      <c r="D868" s="30" t="n"/>
      <c r="G868" s="9" t="n"/>
      <c r="J868" s="38" t="n"/>
    </row>
    <row r="869" ht="12.5" customHeight="1">
      <c r="A869" s="9" t="n"/>
      <c r="B869" s="13" t="n"/>
      <c r="C869" s="13" t="n"/>
      <c r="D869" s="30" t="n"/>
      <c r="G869" s="9" t="n"/>
      <c r="J869" s="38" t="n"/>
    </row>
    <row r="870" ht="12.5" customHeight="1">
      <c r="A870" s="9" t="n"/>
      <c r="B870" s="13" t="n"/>
      <c r="C870" s="13" t="n"/>
      <c r="D870" s="30" t="n"/>
      <c r="G870" s="9" t="n"/>
      <c r="J870" s="38" t="n"/>
    </row>
    <row r="871" ht="12.5" customHeight="1">
      <c r="A871" s="9" t="n"/>
      <c r="B871" s="13" t="n"/>
      <c r="C871" s="13" t="n"/>
      <c r="D871" s="30" t="n"/>
      <c r="G871" s="9" t="n"/>
      <c r="J871" s="38" t="n"/>
    </row>
    <row r="872" ht="12.5" customHeight="1">
      <c r="A872" s="9" t="n"/>
      <c r="B872" s="13" t="n"/>
      <c r="C872" s="13" t="n"/>
      <c r="D872" s="30" t="n"/>
      <c r="G872" s="9" t="n"/>
      <c r="J872" s="38" t="n"/>
    </row>
    <row r="873" ht="12.5" customHeight="1">
      <c r="A873" s="9" t="n"/>
      <c r="B873" s="13" t="n"/>
      <c r="C873" s="13" t="n"/>
      <c r="D873" s="30" t="n"/>
      <c r="G873" s="9" t="n"/>
      <c r="J873" s="38" t="n"/>
    </row>
    <row r="874" ht="12.5" customHeight="1">
      <c r="A874" s="9" t="n"/>
      <c r="B874" s="13" t="n"/>
      <c r="C874" s="13" t="n"/>
      <c r="D874" s="30" t="n"/>
      <c r="G874" s="9" t="n"/>
      <c r="J874" s="38" t="n"/>
    </row>
    <row r="875" ht="12.5" customHeight="1">
      <c r="A875" s="9" t="n"/>
      <c r="B875" s="13" t="n"/>
      <c r="C875" s="13" t="n"/>
      <c r="D875" s="30" t="n"/>
      <c r="G875" s="9" t="n"/>
      <c r="J875" s="38" t="n"/>
    </row>
    <row r="876" ht="12.5" customHeight="1">
      <c r="A876" s="9" t="n"/>
      <c r="B876" s="13" t="n"/>
      <c r="C876" s="13" t="n"/>
      <c r="D876" s="30" t="n"/>
      <c r="G876" s="9" t="n"/>
      <c r="J876" s="38" t="n"/>
    </row>
    <row r="877" ht="12.5" customHeight="1">
      <c r="A877" s="9" t="n"/>
      <c r="B877" s="13" t="n"/>
      <c r="C877" s="13" t="n"/>
      <c r="D877" s="30" t="n"/>
      <c r="G877" s="9" t="n"/>
      <c r="J877" s="38" t="n"/>
    </row>
    <row r="878" ht="12.5" customHeight="1">
      <c r="A878" s="9" t="n"/>
      <c r="B878" s="13" t="n"/>
      <c r="C878" s="13" t="n"/>
      <c r="D878" s="30" t="n"/>
      <c r="G878" s="9" t="n"/>
      <c r="J878" s="38" t="n"/>
    </row>
    <row r="879" ht="12.5" customHeight="1">
      <c r="A879" s="9" t="n"/>
      <c r="B879" s="13" t="n"/>
      <c r="C879" s="13" t="n"/>
      <c r="D879" s="30" t="n"/>
      <c r="G879" s="9" t="n"/>
      <c r="J879" s="38" t="n"/>
    </row>
    <row r="880" ht="12.5" customHeight="1">
      <c r="A880" s="9" t="n"/>
      <c r="B880" s="13" t="n"/>
      <c r="C880" s="13" t="n"/>
      <c r="D880" s="30" t="n"/>
      <c r="G880" s="9" t="n"/>
      <c r="J880" s="38" t="n"/>
    </row>
    <row r="881" ht="12.5" customHeight="1">
      <c r="A881" s="9" t="n"/>
      <c r="B881" s="13" t="n"/>
      <c r="C881" s="13" t="n"/>
      <c r="D881" s="30" t="n"/>
      <c r="G881" s="9" t="n"/>
      <c r="J881" s="38" t="n"/>
    </row>
    <row r="882" ht="12.5" customHeight="1">
      <c r="A882" s="9" t="n"/>
      <c r="B882" s="13" t="n"/>
      <c r="C882" s="13" t="n"/>
      <c r="D882" s="30" t="n"/>
      <c r="G882" s="9" t="n"/>
      <c r="J882" s="38" t="n"/>
    </row>
    <row r="883" ht="12.5" customHeight="1">
      <c r="A883" s="9" t="n"/>
      <c r="B883" s="13" t="n"/>
      <c r="C883" s="13" t="n"/>
      <c r="D883" s="30" t="n"/>
      <c r="G883" s="9" t="n"/>
      <c r="J883" s="38" t="n"/>
    </row>
    <row r="884" ht="12.5" customHeight="1">
      <c r="A884" s="9" t="n"/>
      <c r="B884" s="13" t="n"/>
      <c r="C884" s="13" t="n"/>
      <c r="D884" s="30" t="n"/>
      <c r="G884" s="9" t="n"/>
      <c r="J884" s="38" t="n"/>
    </row>
    <row r="885" ht="12.5" customHeight="1">
      <c r="A885" s="9" t="n"/>
      <c r="B885" s="13" t="n"/>
      <c r="C885" s="13" t="n"/>
      <c r="D885" s="30" t="n"/>
      <c r="G885" s="9" t="n"/>
      <c r="J885" s="38" t="n"/>
    </row>
    <row r="886" ht="12.5" customHeight="1">
      <c r="A886" s="9" t="n"/>
      <c r="B886" s="13" t="n"/>
      <c r="C886" s="13" t="n"/>
      <c r="D886" s="30" t="n"/>
      <c r="G886" s="9" t="n"/>
      <c r="J886" s="38" t="n"/>
    </row>
    <row r="887" ht="12.5" customHeight="1">
      <c r="A887" s="9" t="n"/>
      <c r="B887" s="13" t="n"/>
      <c r="C887" s="13" t="n"/>
      <c r="D887" s="30" t="n"/>
      <c r="G887" s="9" t="n"/>
      <c r="J887" s="38" t="n"/>
    </row>
    <row r="888" ht="12.5" customHeight="1">
      <c r="A888" s="9" t="n"/>
      <c r="B888" s="13" t="n"/>
      <c r="C888" s="13" t="n"/>
      <c r="D888" s="30" t="n"/>
      <c r="G888" s="9" t="n"/>
      <c r="J888" s="38" t="n"/>
    </row>
    <row r="889" ht="12.5" customHeight="1">
      <c r="A889" s="9" t="n"/>
      <c r="B889" s="13" t="n"/>
      <c r="C889" s="13" t="n"/>
      <c r="D889" s="30" t="n"/>
      <c r="G889" s="9" t="n"/>
      <c r="J889" s="38" t="n"/>
    </row>
    <row r="890" ht="12.5" customHeight="1">
      <c r="A890" s="9" t="n"/>
      <c r="B890" s="13" t="n"/>
      <c r="C890" s="13" t="n"/>
      <c r="D890" s="30" t="n"/>
      <c r="G890" s="9" t="n"/>
      <c r="J890" s="38" t="n"/>
    </row>
    <row r="891" ht="12.5" customHeight="1">
      <c r="A891" s="9" t="n"/>
      <c r="B891" s="13" t="n"/>
      <c r="C891" s="13" t="n"/>
      <c r="D891" s="30" t="n"/>
      <c r="G891" s="9" t="n"/>
      <c r="J891" s="38" t="n"/>
    </row>
    <row r="892" ht="12.5" customHeight="1">
      <c r="A892" s="9" t="n"/>
      <c r="B892" s="13" t="n"/>
      <c r="C892" s="13" t="n"/>
      <c r="D892" s="30" t="n"/>
      <c r="G892" s="9" t="n"/>
      <c r="J892" s="38" t="n"/>
    </row>
    <row r="893" ht="12.5" customHeight="1">
      <c r="A893" s="9" t="n"/>
      <c r="B893" s="13" t="n"/>
      <c r="C893" s="13" t="n"/>
      <c r="D893" s="30" t="n"/>
      <c r="G893" s="9" t="n"/>
      <c r="J893" s="38" t="n"/>
    </row>
    <row r="894" ht="12.5" customHeight="1">
      <c r="A894" s="9" t="n"/>
      <c r="B894" s="13" t="n"/>
      <c r="C894" s="13" t="n"/>
      <c r="D894" s="30" t="n"/>
      <c r="G894" s="9" t="n"/>
      <c r="J894" s="38" t="n"/>
    </row>
    <row r="895" ht="12.5" customHeight="1">
      <c r="A895" s="9" t="n"/>
      <c r="B895" s="13" t="n"/>
      <c r="C895" s="13" t="n"/>
      <c r="D895" s="30" t="n"/>
      <c r="G895" s="9" t="n"/>
      <c r="J895" s="38" t="n"/>
    </row>
    <row r="896" ht="12.5" customHeight="1">
      <c r="A896" s="9" t="n"/>
      <c r="B896" s="13" t="n"/>
      <c r="C896" s="13" t="n"/>
      <c r="D896" s="30" t="n"/>
      <c r="G896" s="9" t="n"/>
      <c r="J896" s="38" t="n"/>
    </row>
    <row r="897" ht="12.5" customHeight="1">
      <c r="A897" s="9" t="n"/>
      <c r="B897" s="13" t="n"/>
      <c r="C897" s="13" t="n"/>
      <c r="D897" s="30" t="n"/>
      <c r="G897" s="9" t="n"/>
      <c r="J897" s="38" t="n"/>
    </row>
    <row r="898" ht="12.5" customHeight="1">
      <c r="A898" s="9" t="n"/>
      <c r="B898" s="13" t="n"/>
      <c r="C898" s="13" t="n"/>
      <c r="D898" s="30" t="n"/>
      <c r="G898" s="9" t="n"/>
      <c r="J898" s="38" t="n"/>
    </row>
    <row r="899" ht="12.5" customHeight="1">
      <c r="A899" s="9" t="n"/>
      <c r="B899" s="13" t="n"/>
      <c r="C899" s="13" t="n"/>
      <c r="D899" s="30" t="n"/>
      <c r="G899" s="9" t="n"/>
      <c r="J899" s="38" t="n"/>
    </row>
    <row r="900" ht="12.5" customHeight="1">
      <c r="A900" s="9" t="n"/>
      <c r="B900" s="13" t="n"/>
      <c r="C900" s="13" t="n"/>
      <c r="D900" s="30" t="n"/>
      <c r="G900" s="9" t="n"/>
      <c r="J900" s="38" t="n"/>
    </row>
    <row r="901" ht="12.5" customHeight="1">
      <c r="A901" s="9" t="n"/>
      <c r="B901" s="13" t="n"/>
      <c r="C901" s="13" t="n"/>
      <c r="D901" s="30" t="n"/>
      <c r="G901" s="9" t="n"/>
      <c r="J901" s="38" t="n"/>
    </row>
    <row r="902" ht="12.5" customHeight="1">
      <c r="A902" s="9" t="n"/>
      <c r="B902" s="13" t="n"/>
      <c r="C902" s="13" t="n"/>
      <c r="D902" s="30" t="n"/>
      <c r="G902" s="9" t="n"/>
      <c r="J902" s="38" t="n"/>
    </row>
    <row r="903" ht="12.5" customHeight="1">
      <c r="A903" s="9" t="n"/>
      <c r="B903" s="13" t="n"/>
      <c r="C903" s="13" t="n"/>
      <c r="D903" s="30" t="n"/>
      <c r="G903" s="9" t="n"/>
      <c r="J903" s="38" t="n"/>
    </row>
    <row r="904" ht="12.5" customHeight="1">
      <c r="A904" s="9" t="n"/>
      <c r="B904" s="13" t="n"/>
      <c r="C904" s="13" t="n"/>
      <c r="D904" s="30" t="n"/>
      <c r="G904" s="9" t="n"/>
      <c r="J904" s="38" t="n"/>
    </row>
    <row r="905" ht="12.5" customHeight="1">
      <c r="A905" s="9" t="n"/>
      <c r="B905" s="13" t="n"/>
      <c r="C905" s="13" t="n"/>
      <c r="D905" s="30" t="n"/>
      <c r="G905" s="9" t="n"/>
      <c r="J905" s="38" t="n"/>
    </row>
    <row r="906" ht="12.5" customHeight="1">
      <c r="A906" s="9" t="n"/>
      <c r="B906" s="13" t="n"/>
      <c r="C906" s="13" t="n"/>
      <c r="D906" s="30" t="n"/>
      <c r="G906" s="9" t="n"/>
      <c r="J906" s="38" t="n"/>
    </row>
    <row r="907" ht="12.5" customHeight="1">
      <c r="A907" s="9" t="n"/>
      <c r="B907" s="13" t="n"/>
      <c r="C907" s="13" t="n"/>
      <c r="D907" s="30" t="n"/>
      <c r="G907" s="9" t="n"/>
      <c r="J907" s="38" t="n"/>
    </row>
    <row r="908" ht="12.5" customHeight="1">
      <c r="A908" s="9" t="n"/>
      <c r="B908" s="13" t="n"/>
      <c r="C908" s="13" t="n"/>
      <c r="D908" s="30" t="n"/>
      <c r="G908" s="9" t="n"/>
      <c r="J908" s="38" t="n"/>
    </row>
    <row r="909" ht="12.5" customHeight="1">
      <c r="A909" s="9" t="n"/>
      <c r="B909" s="13" t="n"/>
      <c r="C909" s="13" t="n"/>
      <c r="D909" s="30" t="n"/>
      <c r="G909" s="9" t="n"/>
      <c r="J909" s="38" t="n"/>
    </row>
    <row r="910" ht="12.5" customHeight="1">
      <c r="A910" s="9" t="n"/>
      <c r="B910" s="13" t="n"/>
      <c r="C910" s="13" t="n"/>
      <c r="D910" s="30" t="n"/>
      <c r="G910" s="9" t="n"/>
      <c r="J910" s="38" t="n"/>
    </row>
    <row r="911" ht="12.5" customHeight="1">
      <c r="A911" s="9" t="n"/>
      <c r="B911" s="13" t="n"/>
      <c r="C911" s="13" t="n"/>
      <c r="D911" s="30" t="n"/>
      <c r="G911" s="9" t="n"/>
      <c r="J911" s="38" t="n"/>
    </row>
    <row r="912" ht="12.5" customHeight="1">
      <c r="A912" s="9" t="n"/>
      <c r="B912" s="13" t="n"/>
      <c r="C912" s="13" t="n"/>
      <c r="D912" s="30" t="n"/>
      <c r="G912" s="9" t="n"/>
      <c r="J912" s="38" t="n"/>
    </row>
    <row r="913" ht="12.5" customHeight="1">
      <c r="A913" s="9" t="n"/>
      <c r="B913" s="13" t="n"/>
      <c r="C913" s="13" t="n"/>
      <c r="D913" s="30" t="n"/>
      <c r="G913" s="9" t="n"/>
      <c r="J913" s="38" t="n"/>
    </row>
    <row r="914" ht="12.5" customHeight="1">
      <c r="A914" s="9" t="n"/>
      <c r="B914" s="13" t="n"/>
      <c r="C914" s="13" t="n"/>
      <c r="D914" s="30" t="n"/>
      <c r="G914" s="9" t="n"/>
      <c r="J914" s="38" t="n"/>
    </row>
    <row r="915" ht="12.5" customHeight="1">
      <c r="A915" s="9" t="n"/>
      <c r="B915" s="13" t="n"/>
      <c r="C915" s="13" t="n"/>
      <c r="D915" s="30" t="n"/>
      <c r="G915" s="9" t="n"/>
      <c r="J915" s="38" t="n"/>
    </row>
    <row r="916" ht="12.5" customHeight="1">
      <c r="A916" s="9" t="n"/>
      <c r="B916" s="13" t="n"/>
      <c r="C916" s="13" t="n"/>
      <c r="D916" s="30" t="n"/>
      <c r="G916" s="9" t="n"/>
      <c r="J916" s="38" t="n"/>
    </row>
    <row r="917" ht="12.5" customHeight="1">
      <c r="A917" s="9" t="n"/>
      <c r="B917" s="13" t="n"/>
      <c r="C917" s="13" t="n"/>
      <c r="D917" s="30" t="n"/>
      <c r="G917" s="9" t="n"/>
      <c r="J917" s="38" t="n"/>
    </row>
    <row r="918" ht="12.5" customHeight="1">
      <c r="A918" s="9" t="n"/>
      <c r="B918" s="13" t="n"/>
      <c r="C918" s="13" t="n"/>
      <c r="D918" s="30" t="n"/>
      <c r="G918" s="9" t="n"/>
      <c r="J918" s="38" t="n"/>
    </row>
    <row r="919" ht="12.5" customHeight="1">
      <c r="A919" s="9" t="n"/>
      <c r="B919" s="13" t="n"/>
      <c r="C919" s="13" t="n"/>
      <c r="D919" s="30" t="n"/>
      <c r="G919" s="9" t="n"/>
      <c r="J919" s="38" t="n"/>
    </row>
    <row r="920" ht="12.5" customHeight="1">
      <c r="A920" s="9" t="n"/>
      <c r="B920" s="13" t="n"/>
      <c r="C920" s="13" t="n"/>
      <c r="D920" s="30" t="n"/>
      <c r="G920" s="9" t="n"/>
      <c r="J920" s="38" t="n"/>
    </row>
    <row r="921" ht="12.5" customHeight="1">
      <c r="A921" s="9" t="n"/>
      <c r="B921" s="13" t="n"/>
      <c r="C921" s="13" t="n"/>
      <c r="D921" s="30" t="n"/>
      <c r="G921" s="9" t="n"/>
      <c r="J921" s="38" t="n"/>
    </row>
    <row r="922" ht="12.5" customHeight="1">
      <c r="A922" s="9" t="n"/>
      <c r="B922" s="13" t="n"/>
      <c r="C922" s="13" t="n"/>
      <c r="D922" s="30" t="n"/>
      <c r="G922" s="9" t="n"/>
      <c r="J922" s="38" t="n"/>
    </row>
    <row r="923" ht="12.5" customHeight="1">
      <c r="A923" s="9" t="n"/>
      <c r="B923" s="13" t="n"/>
      <c r="C923" s="13" t="n"/>
      <c r="D923" s="30" t="n"/>
      <c r="G923" s="9" t="n"/>
      <c r="J923" s="38" t="n"/>
    </row>
    <row r="924" ht="12.5" customHeight="1">
      <c r="A924" s="9" t="n"/>
      <c r="B924" s="13" t="n"/>
      <c r="C924" s="13" t="n"/>
      <c r="D924" s="30" t="n"/>
      <c r="G924" s="9" t="n"/>
      <c r="J924" s="38" t="n"/>
    </row>
    <row r="925" ht="12.5" customHeight="1">
      <c r="A925" s="9" t="n"/>
      <c r="B925" s="13" t="n"/>
      <c r="C925" s="13" t="n"/>
      <c r="D925" s="30" t="n"/>
      <c r="G925" s="9" t="n"/>
      <c r="J925" s="38" t="n"/>
    </row>
    <row r="926" ht="12.5" customHeight="1">
      <c r="A926" s="9" t="n"/>
      <c r="B926" s="13" t="n"/>
      <c r="C926" s="13" t="n"/>
      <c r="D926" s="30" t="n"/>
      <c r="G926" s="9" t="n"/>
      <c r="J926" s="38" t="n"/>
    </row>
    <row r="927" ht="12.5" customHeight="1">
      <c r="A927" s="9" t="n"/>
      <c r="B927" s="13" t="n"/>
      <c r="C927" s="13" t="n"/>
      <c r="D927" s="30" t="n"/>
      <c r="G927" s="9" t="n"/>
      <c r="J927" s="38" t="n"/>
    </row>
    <row r="928" ht="12.5" customHeight="1">
      <c r="A928" s="9" t="n"/>
      <c r="B928" s="13" t="n"/>
      <c r="C928" s="13" t="n"/>
      <c r="D928" s="30" t="n"/>
      <c r="G928" s="9" t="n"/>
      <c r="J928" s="38" t="n"/>
    </row>
    <row r="929" ht="12.5" customHeight="1">
      <c r="A929" s="9" t="n"/>
      <c r="B929" s="13" t="n"/>
      <c r="C929" s="13" t="n"/>
      <c r="D929" s="30" t="n"/>
      <c r="G929" s="9" t="n"/>
      <c r="J929" s="38" t="n"/>
    </row>
    <row r="930" ht="12.5" customHeight="1">
      <c r="A930" s="9" t="n"/>
      <c r="B930" s="13" t="n"/>
      <c r="C930" s="13" t="n"/>
      <c r="D930" s="30" t="n"/>
      <c r="G930" s="9" t="n"/>
      <c r="J930" s="38" t="n"/>
    </row>
    <row r="931" ht="12.5" customHeight="1">
      <c r="A931" s="9" t="n"/>
      <c r="B931" s="13" t="n"/>
      <c r="C931" s="13" t="n"/>
      <c r="D931" s="30" t="n"/>
      <c r="G931" s="9" t="n"/>
      <c r="J931" s="38" t="n"/>
    </row>
    <row r="932" ht="12.5" customHeight="1">
      <c r="A932" s="9" t="n"/>
      <c r="B932" s="13" t="n"/>
      <c r="C932" s="13" t="n"/>
      <c r="D932" s="30" t="n"/>
      <c r="G932" s="9" t="n"/>
      <c r="J932" s="38" t="n"/>
    </row>
    <row r="933" ht="12.5" customHeight="1">
      <c r="A933" s="9" t="n"/>
      <c r="B933" s="13" t="n"/>
      <c r="C933" s="13" t="n"/>
      <c r="D933" s="30" t="n"/>
      <c r="G933" s="9" t="n"/>
      <c r="J933" s="38" t="n"/>
    </row>
    <row r="934" ht="12.5" customHeight="1">
      <c r="A934" s="9" t="n"/>
      <c r="B934" s="13" t="n"/>
      <c r="C934" s="13" t="n"/>
      <c r="D934" s="30" t="n"/>
      <c r="G934" s="9" t="n"/>
      <c r="J934" s="38" t="n"/>
    </row>
    <row r="935" ht="12.5" customHeight="1">
      <c r="A935" s="9" t="n"/>
      <c r="B935" s="13" t="n"/>
      <c r="C935" s="13" t="n"/>
      <c r="D935" s="30" t="n"/>
      <c r="G935" s="9" t="n"/>
      <c r="J935" s="38" t="n"/>
    </row>
    <row r="936" ht="12.5" customHeight="1">
      <c r="A936" s="9" t="n"/>
      <c r="B936" s="13" t="n"/>
      <c r="C936" s="13" t="n"/>
      <c r="D936" s="30" t="n"/>
      <c r="G936" s="9" t="n"/>
      <c r="J936" s="38" t="n"/>
    </row>
    <row r="937" ht="12.5" customHeight="1">
      <c r="A937" s="9" t="n"/>
      <c r="B937" s="13" t="n"/>
      <c r="C937" s="13" t="n"/>
      <c r="D937" s="30" t="n"/>
      <c r="G937" s="9" t="n"/>
      <c r="J937" s="38" t="n"/>
    </row>
    <row r="938" ht="12.5" customHeight="1">
      <c r="A938" s="9" t="n"/>
      <c r="B938" s="13" t="n"/>
      <c r="C938" s="13" t="n"/>
      <c r="D938" s="30" t="n"/>
      <c r="G938" s="9" t="n"/>
      <c r="J938" s="38" t="n"/>
    </row>
    <row r="939" ht="12.5" customHeight="1">
      <c r="A939" s="9" t="n"/>
      <c r="B939" s="13" t="n"/>
      <c r="C939" s="13" t="n"/>
      <c r="D939" s="30" t="n"/>
      <c r="G939" s="9" t="n"/>
      <c r="J939" s="38" t="n"/>
    </row>
    <row r="940" ht="12.5" customHeight="1">
      <c r="A940" s="9" t="n"/>
      <c r="B940" s="13" t="n"/>
      <c r="C940" s="13" t="n"/>
      <c r="D940" s="30" t="n"/>
      <c r="G940" s="9" t="n"/>
      <c r="J940" s="38" t="n"/>
    </row>
    <row r="941" ht="12.5" customHeight="1">
      <c r="A941" s="9" t="n"/>
      <c r="B941" s="13" t="n"/>
      <c r="C941" s="13" t="n"/>
      <c r="D941" s="30" t="n"/>
      <c r="G941" s="9" t="n"/>
      <c r="J941" s="38" t="n"/>
    </row>
    <row r="942" ht="12.5" customHeight="1">
      <c r="A942" s="9" t="n"/>
      <c r="B942" s="13" t="n"/>
      <c r="C942" s="13" t="n"/>
      <c r="D942" s="30" t="n"/>
      <c r="G942" s="9" t="n"/>
      <c r="J942" s="38" t="n"/>
    </row>
    <row r="943" ht="12.5" customHeight="1">
      <c r="A943" s="9" t="n"/>
      <c r="B943" s="13" t="n"/>
      <c r="C943" s="13" t="n"/>
      <c r="D943" s="30" t="n"/>
      <c r="G943" s="9" t="n"/>
      <c r="J943" s="38" t="n"/>
    </row>
    <row r="944" ht="12.5" customHeight="1">
      <c r="A944" s="9" t="n"/>
      <c r="B944" s="13" t="n"/>
      <c r="C944" s="13" t="n"/>
      <c r="D944" s="30" t="n"/>
      <c r="G944" s="9" t="n"/>
      <c r="J944" s="38" t="n"/>
    </row>
    <row r="945" ht="12.5" customHeight="1">
      <c r="A945" s="9" t="n"/>
      <c r="B945" s="13" t="n"/>
      <c r="C945" s="13" t="n"/>
      <c r="D945" s="30" t="n"/>
      <c r="G945" s="9" t="n"/>
      <c r="J945" s="38" t="n"/>
    </row>
    <row r="946" ht="12.5" customHeight="1">
      <c r="A946" s="9" t="n"/>
      <c r="B946" s="13" t="n"/>
      <c r="C946" s="13" t="n"/>
      <c r="D946" s="30" t="n"/>
      <c r="G946" s="9" t="n"/>
      <c r="J946" s="38" t="n"/>
    </row>
    <row r="947" ht="12.5" customHeight="1">
      <c r="A947" s="9" t="n"/>
      <c r="B947" s="13" t="n"/>
      <c r="C947" s="13" t="n"/>
      <c r="D947" s="30" t="n"/>
      <c r="G947" s="9" t="n"/>
      <c r="J947" s="38" t="n"/>
    </row>
    <row r="948" ht="12.5" customHeight="1">
      <c r="A948" s="9" t="n"/>
      <c r="B948" s="13" t="n"/>
      <c r="C948" s="13" t="n"/>
      <c r="D948" s="30" t="n"/>
      <c r="G948" s="9" t="n"/>
      <c r="J948" s="38" t="n"/>
    </row>
    <row r="949" ht="12.5" customHeight="1">
      <c r="A949" s="9" t="n"/>
      <c r="B949" s="13" t="n"/>
      <c r="C949" s="13" t="n"/>
      <c r="D949" s="30" t="n"/>
      <c r="G949" s="9" t="n"/>
      <c r="J949" s="38" t="n"/>
    </row>
    <row r="950" ht="12.5" customHeight="1">
      <c r="A950" s="9" t="n"/>
      <c r="B950" s="13" t="n"/>
      <c r="C950" s="13" t="n"/>
      <c r="D950" s="30" t="n"/>
      <c r="G950" s="9" t="n"/>
      <c r="J950" s="38" t="n"/>
    </row>
    <row r="951" ht="12.5" customHeight="1">
      <c r="A951" s="9" t="n"/>
      <c r="B951" s="13" t="n"/>
      <c r="C951" s="13" t="n"/>
      <c r="D951" s="30" t="n"/>
      <c r="G951" s="9" t="n"/>
      <c r="J951" s="38" t="n"/>
    </row>
    <row r="952" ht="12.5" customHeight="1">
      <c r="A952" s="9" t="n"/>
      <c r="B952" s="13" t="n"/>
      <c r="C952" s="13" t="n"/>
      <c r="D952" s="30" t="n"/>
      <c r="G952" s="9" t="n"/>
      <c r="J952" s="38" t="n"/>
    </row>
    <row r="953" ht="12.5" customHeight="1">
      <c r="A953" s="9" t="n"/>
      <c r="B953" s="13" t="n"/>
      <c r="C953" s="13" t="n"/>
      <c r="D953" s="30" t="n"/>
      <c r="G953" s="9" t="n"/>
      <c r="J953" s="38" t="n"/>
    </row>
    <row r="954" ht="12.5" customHeight="1">
      <c r="A954" s="9" t="n"/>
      <c r="B954" s="13" t="n"/>
      <c r="C954" s="13" t="n"/>
      <c r="D954" s="30" t="n"/>
      <c r="G954" s="9" t="n"/>
      <c r="J954" s="38" t="n"/>
    </row>
    <row r="955" ht="12.5" customHeight="1">
      <c r="A955" s="9" t="n"/>
      <c r="B955" s="13" t="n"/>
      <c r="C955" s="13" t="n"/>
      <c r="D955" s="30" t="n"/>
      <c r="G955" s="9" t="n"/>
      <c r="J955" s="38" t="n"/>
    </row>
    <row r="956" ht="12.5" customHeight="1">
      <c r="A956" s="9" t="n"/>
      <c r="B956" s="13" t="n"/>
      <c r="C956" s="13" t="n"/>
      <c r="D956" s="30" t="n"/>
      <c r="G956" s="9" t="n"/>
      <c r="J956" s="38" t="n"/>
    </row>
    <row r="957" ht="12.5" customHeight="1">
      <c r="A957" s="9" t="n"/>
      <c r="B957" s="13" t="n"/>
      <c r="C957" s="13" t="n"/>
      <c r="D957" s="30" t="n"/>
      <c r="G957" s="9" t="n"/>
      <c r="J957" s="38" t="n"/>
    </row>
    <row r="958" ht="12.5" customHeight="1">
      <c r="A958" s="9" t="n"/>
      <c r="B958" s="13" t="n"/>
      <c r="C958" s="13" t="n"/>
      <c r="D958" s="30" t="n"/>
      <c r="G958" s="9" t="n"/>
      <c r="J958" s="38" t="n"/>
    </row>
    <row r="959" ht="12.5" customHeight="1">
      <c r="A959" s="9" t="n"/>
      <c r="B959" s="13" t="n"/>
      <c r="C959" s="13" t="n"/>
      <c r="D959" s="30" t="n"/>
      <c r="G959" s="9" t="n"/>
      <c r="J959" s="38" t="n"/>
    </row>
    <row r="960" ht="12.5" customHeight="1">
      <c r="A960" s="9" t="n"/>
      <c r="B960" s="13" t="n"/>
      <c r="C960" s="13" t="n"/>
      <c r="D960" s="30" t="n"/>
      <c r="G960" s="9" t="n"/>
      <c r="J960" s="38" t="n"/>
    </row>
    <row r="961" ht="12.5" customHeight="1">
      <c r="A961" s="9" t="n"/>
      <c r="B961" s="13" t="n"/>
      <c r="C961" s="13" t="n"/>
      <c r="D961" s="30" t="n"/>
      <c r="G961" s="9" t="n"/>
      <c r="J961" s="38" t="n"/>
    </row>
    <row r="962" ht="12.5" customHeight="1">
      <c r="A962" s="9" t="n"/>
      <c r="B962" s="13" t="n"/>
      <c r="C962" s="13" t="n"/>
      <c r="D962" s="30" t="n"/>
      <c r="G962" s="9" t="n"/>
      <c r="J962" s="38" t="n"/>
    </row>
    <row r="963" ht="12.5" customHeight="1">
      <c r="A963" s="9" t="n"/>
      <c r="B963" s="13" t="n"/>
      <c r="C963" s="13" t="n"/>
      <c r="D963" s="30" t="n"/>
      <c r="G963" s="9" t="n"/>
      <c r="J963" s="38" t="n"/>
    </row>
    <row r="964" ht="12.5" customHeight="1">
      <c r="A964" s="9" t="n"/>
      <c r="B964" s="13" t="n"/>
      <c r="C964" s="13" t="n"/>
      <c r="D964" s="30" t="n"/>
      <c r="G964" s="9" t="n"/>
      <c r="J964" s="38" t="n"/>
    </row>
    <row r="965" ht="12.5" customHeight="1">
      <c r="A965" s="9" t="n"/>
      <c r="B965" s="13" t="n"/>
      <c r="C965" s="13" t="n"/>
      <c r="D965" s="30" t="n"/>
      <c r="G965" s="9" t="n"/>
      <c r="J965" s="38" t="n"/>
    </row>
    <row r="966" ht="12.5" customHeight="1">
      <c r="A966" s="9" t="n"/>
      <c r="B966" s="13" t="n"/>
      <c r="C966" s="13" t="n"/>
      <c r="D966" s="30" t="n"/>
      <c r="G966" s="9" t="n"/>
      <c r="J966" s="38" t="n"/>
    </row>
    <row r="967" ht="12.5" customHeight="1">
      <c r="A967" s="9" t="n"/>
      <c r="B967" s="13" t="n"/>
      <c r="C967" s="13" t="n"/>
      <c r="D967" s="30" t="n"/>
      <c r="G967" s="9" t="n"/>
      <c r="J967" s="38" t="n"/>
    </row>
    <row r="968" ht="12.5" customHeight="1">
      <c r="A968" s="9" t="n"/>
      <c r="B968" s="13" t="n"/>
      <c r="C968" s="13" t="n"/>
      <c r="D968" s="30" t="n"/>
      <c r="G968" s="9" t="n"/>
      <c r="J968" s="38" t="n"/>
    </row>
    <row r="969" ht="12.5" customHeight="1">
      <c r="A969" s="9" t="n"/>
      <c r="B969" s="13" t="n"/>
      <c r="C969" s="13" t="n"/>
      <c r="D969" s="30" t="n"/>
      <c r="G969" s="9" t="n"/>
      <c r="J969" s="38" t="n"/>
    </row>
    <row r="970" ht="12.5" customHeight="1">
      <c r="A970" s="9" t="n"/>
      <c r="B970" s="13" t="n"/>
      <c r="C970" s="13" t="n"/>
      <c r="D970" s="30" t="n"/>
      <c r="G970" s="9" t="n"/>
      <c r="J970" s="38" t="n"/>
    </row>
    <row r="971" ht="12.5" customHeight="1">
      <c r="A971" s="9" t="n"/>
      <c r="B971" s="13" t="n"/>
      <c r="C971" s="13" t="n"/>
      <c r="D971" s="30" t="n"/>
      <c r="G971" s="9" t="n"/>
      <c r="J971" s="38" t="n"/>
    </row>
    <row r="972" ht="12.5" customHeight="1">
      <c r="A972" s="9" t="n"/>
      <c r="B972" s="13" t="n"/>
      <c r="C972" s="13" t="n"/>
      <c r="D972" s="30" t="n"/>
      <c r="G972" s="9" t="n"/>
      <c r="J972" s="38" t="n"/>
    </row>
    <row r="973" ht="12.5" customHeight="1">
      <c r="A973" s="9" t="n"/>
      <c r="B973" s="13" t="n"/>
      <c r="C973" s="13" t="n"/>
      <c r="D973" s="30" t="n"/>
      <c r="G973" s="9" t="n"/>
      <c r="J973" s="38" t="n"/>
    </row>
    <row r="974" ht="12.5" customHeight="1">
      <c r="A974" s="9" t="n"/>
      <c r="B974" s="13" t="n"/>
      <c r="C974" s="13" t="n"/>
      <c r="D974" s="30" t="n"/>
      <c r="G974" s="9" t="n"/>
      <c r="J974" s="38" t="n"/>
    </row>
    <row r="975" ht="12.5" customHeight="1">
      <c r="A975" s="9" t="n"/>
      <c r="B975" s="13" t="n"/>
      <c r="C975" s="13" t="n"/>
      <c r="D975" s="30" t="n"/>
      <c r="G975" s="9" t="n"/>
      <c r="J975" s="38" t="n"/>
    </row>
    <row r="976" ht="12.5" customHeight="1">
      <c r="A976" s="9" t="n"/>
      <c r="B976" s="13" t="n"/>
      <c r="C976" s="13" t="n"/>
      <c r="D976" s="30" t="n"/>
      <c r="G976" s="9" t="n"/>
      <c r="J976" s="38" t="n"/>
    </row>
    <row r="977" ht="12.5" customHeight="1">
      <c r="A977" s="9" t="n"/>
      <c r="B977" s="13" t="n"/>
      <c r="C977" s="13" t="n"/>
      <c r="D977" s="30" t="n"/>
      <c r="G977" s="9" t="n"/>
      <c r="J977" s="38" t="n"/>
    </row>
    <row r="978" ht="12.5" customHeight="1">
      <c r="A978" s="9" t="n"/>
      <c r="B978" s="13" t="n"/>
      <c r="C978" s="13" t="n"/>
      <c r="D978" s="30" t="n"/>
      <c r="G978" s="9" t="n"/>
      <c r="J978" s="38" t="n"/>
    </row>
    <row r="979" ht="12.5" customHeight="1">
      <c r="A979" s="9" t="n"/>
      <c r="B979" s="13" t="n"/>
      <c r="C979" s="13" t="n"/>
      <c r="D979" s="30" t="n"/>
      <c r="G979" s="9" t="n"/>
      <c r="J979" s="38" t="n"/>
    </row>
    <row r="980" ht="12.5" customHeight="1">
      <c r="A980" s="9" t="n"/>
      <c r="B980" s="13" t="n"/>
      <c r="C980" s="13" t="n"/>
      <c r="D980" s="30" t="n"/>
      <c r="G980" s="9" t="n"/>
      <c r="J980" s="38" t="n"/>
    </row>
    <row r="981" ht="12.5" customHeight="1">
      <c r="A981" s="9" t="n"/>
      <c r="B981" s="13" t="n"/>
      <c r="C981" s="13" t="n"/>
      <c r="D981" s="30" t="n"/>
      <c r="G981" s="9" t="n"/>
      <c r="J981" s="38" t="n"/>
    </row>
    <row r="982" ht="12.5" customHeight="1">
      <c r="A982" s="9" t="n"/>
      <c r="B982" s="13" t="n"/>
      <c r="C982" s="13" t="n"/>
      <c r="D982" s="30" t="n"/>
      <c r="G982" s="9" t="n"/>
      <c r="J982" s="38" t="n"/>
    </row>
    <row r="983" ht="12.5" customHeight="1">
      <c r="A983" s="9" t="n"/>
      <c r="B983" s="13" t="n"/>
      <c r="C983" s="13" t="n"/>
      <c r="D983" s="30" t="n"/>
      <c r="G983" s="9" t="n"/>
      <c r="J983" s="38" t="n"/>
    </row>
    <row r="984" ht="12.5" customHeight="1">
      <c r="A984" s="9" t="n"/>
      <c r="B984" s="13" t="n"/>
      <c r="C984" s="13" t="n"/>
      <c r="D984" s="30" t="n"/>
      <c r="G984" s="9" t="n"/>
      <c r="J984" s="38" t="n"/>
    </row>
    <row r="985" ht="12.5" customHeight="1">
      <c r="A985" s="9" t="n"/>
      <c r="B985" s="13" t="n"/>
      <c r="C985" s="13" t="n"/>
      <c r="D985" s="30" t="n"/>
      <c r="G985" s="9" t="n"/>
      <c r="J985" s="38" t="n"/>
    </row>
    <row r="986" ht="12.5" customHeight="1">
      <c r="A986" s="9" t="n"/>
      <c r="B986" s="13" t="n"/>
      <c r="C986" s="13" t="n"/>
      <c r="D986" s="30" t="n"/>
      <c r="G986" s="9" t="n"/>
      <c r="J986" s="38" t="n"/>
    </row>
    <row r="987" ht="12.5" customHeight="1">
      <c r="A987" s="9" t="n"/>
      <c r="B987" s="13" t="n"/>
      <c r="C987" s="13" t="n"/>
      <c r="D987" s="30" t="n"/>
      <c r="G987" s="9" t="n"/>
      <c r="J987" s="38" t="n"/>
    </row>
    <row r="988" ht="12.5" customHeight="1">
      <c r="A988" s="9" t="n"/>
      <c r="B988" s="13" t="n"/>
      <c r="C988" s="13" t="n"/>
      <c r="D988" s="30" t="n"/>
      <c r="G988" s="9" t="n"/>
      <c r="J988" s="38" t="n"/>
    </row>
    <row r="989" ht="12.5" customHeight="1">
      <c r="A989" s="9" t="n"/>
      <c r="B989" s="13" t="n"/>
      <c r="C989" s="13" t="n"/>
      <c r="D989" s="30" t="n"/>
      <c r="G989" s="9" t="n"/>
      <c r="J989" s="38" t="n"/>
    </row>
    <row r="990" ht="12.5" customHeight="1">
      <c r="A990" s="9" t="n"/>
      <c r="B990" s="13" t="n"/>
      <c r="C990" s="13" t="n"/>
      <c r="D990" s="30" t="n"/>
      <c r="G990" s="9" t="n"/>
      <c r="J990" s="38" t="n"/>
    </row>
    <row r="991" ht="12.5" customHeight="1">
      <c r="A991" s="9" t="n"/>
      <c r="B991" s="13" t="n"/>
      <c r="C991" s="13" t="n"/>
      <c r="D991" s="30" t="n"/>
      <c r="G991" s="9" t="n"/>
      <c r="J991" s="38" t="n"/>
    </row>
    <row r="992" ht="12.5" customHeight="1">
      <c r="A992" s="9" t="n"/>
      <c r="B992" s="13" t="n"/>
      <c r="C992" s="13" t="n"/>
      <c r="D992" s="30" t="n"/>
      <c r="G992" s="9" t="n"/>
      <c r="J992" s="38" t="n"/>
    </row>
    <row r="993" ht="12.5" customHeight="1">
      <c r="A993" s="9" t="n"/>
      <c r="B993" s="13" t="n"/>
      <c r="C993" s="13" t="n"/>
      <c r="D993" s="30" t="n"/>
      <c r="G993" s="9" t="n"/>
      <c r="J993" s="38" t="n"/>
    </row>
    <row r="994" ht="12.5" customHeight="1">
      <c r="A994" s="9" t="n"/>
      <c r="B994" s="13" t="n"/>
      <c r="C994" s="13" t="n"/>
      <c r="D994" s="30" t="n"/>
      <c r="G994" s="9" t="n"/>
      <c r="J994" s="38" t="n"/>
    </row>
    <row r="995" ht="12.5" customHeight="1">
      <c r="A995" s="9" t="n"/>
      <c r="B995" s="13" t="n"/>
      <c r="C995" s="13" t="n"/>
      <c r="D995" s="30" t="n"/>
      <c r="G995" s="9" t="n"/>
      <c r="J995" s="38" t="n"/>
    </row>
    <row r="996" ht="12.5" customHeight="1">
      <c r="A996" s="9" t="n"/>
      <c r="B996" s="13" t="n"/>
      <c r="C996" s="13" t="n"/>
      <c r="D996" s="30" t="n"/>
      <c r="G996" s="9" t="n"/>
      <c r="J996" s="38" t="n"/>
    </row>
    <row r="997" ht="12.5" customHeight="1">
      <c r="A997" s="9" t="n"/>
      <c r="B997" s="13" t="n"/>
      <c r="C997" s="13" t="n"/>
      <c r="D997" s="30" t="n"/>
      <c r="G997" s="9" t="n"/>
      <c r="J997" s="38" t="n"/>
    </row>
    <row r="998" ht="12.5" customHeight="1">
      <c r="A998" s="9" t="n"/>
      <c r="B998" s="13" t="n"/>
      <c r="C998" s="13" t="n"/>
      <c r="D998" s="30" t="n"/>
      <c r="G998" s="9" t="n"/>
      <c r="J998" s="38" t="n"/>
    </row>
    <row r="999" ht="12.5" customHeight="1">
      <c r="A999" s="9" t="n"/>
      <c r="B999" s="13" t="n"/>
      <c r="C999" s="13" t="n"/>
      <c r="D999" s="30" t="n"/>
      <c r="G999" s="9" t="n"/>
      <c r="J999" s="38" t="n"/>
    </row>
    <row r="1000" ht="12.5" customHeight="1">
      <c r="A1000" s="9" t="n"/>
      <c r="B1000" s="13" t="n"/>
      <c r="C1000" s="13" t="n"/>
      <c r="D1000" s="30" t="n"/>
      <c r="G1000" s="9" t="n"/>
      <c r="J1000" s="38" t="n"/>
    </row>
    <row r="1001" ht="12.5" customHeight="1">
      <c r="A1001" s="9" t="n"/>
      <c r="B1001" s="13" t="n"/>
      <c r="C1001" s="13" t="n"/>
      <c r="D1001" s="30" t="n"/>
      <c r="G1001" s="9" t="n"/>
      <c r="J1001" s="38" t="n"/>
    </row>
  </sheetData>
  <pageMargins left="0.7" right="0.7" top="0.75" bottom="0.75" header="0.3" footer="0.3"/>
</worksheet>
</file>

<file path=xl/worksheets/sheet9.xml><?xml version="1.0" encoding="utf-8"?>
<worksheet xmlns="http://schemas.openxmlformats.org/spreadsheetml/2006/main">
  <sheetPr>
    <outlinePr summaryBelow="0" summaryRight="0"/>
    <pageSetUpPr/>
  </sheetPr>
  <dimension ref="A1:C118"/>
  <sheetViews>
    <sheetView workbookViewId="0">
      <selection activeCell="A1" sqref="A1"/>
    </sheetView>
  </sheetViews>
  <sheetFormatPr baseColWidth="8" defaultColWidth="12.6328125" defaultRowHeight="15.75" customHeight="1"/>
  <cols>
    <col width="16" customWidth="1" min="2" max="2"/>
  </cols>
  <sheetData>
    <row r="1" ht="15.75" customHeight="1">
      <c r="A1" s="34" t="inlineStr">
        <is>
          <t>ID</t>
        </is>
      </c>
      <c r="B1" s="34" t="inlineStr">
        <is>
          <t>Name</t>
        </is>
      </c>
      <c r="C1" s="34" t="inlineStr">
        <is>
          <t>Embeded Link</t>
        </is>
      </c>
    </row>
    <row r="2" ht="15.75" customHeight="1">
      <c r="A2" s="34" t="n">
        <v>1</v>
      </c>
      <c r="B2" s="34" t="inlineStr">
        <is>
          <t>Vijay Murugan</t>
        </is>
      </c>
      <c r="C2" s="34" t="inlineStr">
        <is>
          <t>&lt;iframe src="https://www.facebook.com/plugins/post.php?href=https%3A%2F%2Fwww.facebook.com%2Frosaryplanthouse%2Fposts%2F108360117579021&amp;show_text=true&amp;width=500" width="500" height="393" style="border:none;overflow:hidden" scrolling="no" frameborder="0" allowfullscreen="true" allow="autoplay; clipboard-write; encrypted-media; picture-in-picture; web-share"&gt;&lt;/iframe&gt;</t>
        </is>
      </c>
    </row>
    <row r="3" ht="15.75" customHeight="1">
      <c r="A3" s="34" t="n">
        <v>2</v>
      </c>
      <c r="B3" s="34" t="inlineStr">
        <is>
          <t>Aparna Dileep</t>
        </is>
      </c>
      <c r="C3" s="34" t="inlineStr">
        <is>
          <t>&lt;iframe src="https://www.facebook.com/plugins/post.php?href=https%3A%2F%2Fwww.facebook.com%2Frosaryplanthouse%2Fposts%2F110367237378309&amp;show_text=true&amp;width=500" width="500" height="609" style="border:none;overflow:hidden" scrolling="no" frameborder="0" allowfullscreen="true" allow="autoplay; clipboard-write; encrypted-media; picture-in-picture; web-share"&gt;&lt;/iframe&gt;</t>
        </is>
      </c>
    </row>
    <row r="4" ht="15.75" customHeight="1">
      <c r="A4" s="34" t="n">
        <v>3</v>
      </c>
      <c r="B4" s="34" t="inlineStr">
        <is>
          <t>Shivakumar Barbare</t>
        </is>
      </c>
      <c r="C4" s="34" t="inlineStr">
        <is>
          <t>&lt;iframe src="https://www.facebook.com/plugins/post.php?href=https%3A%2F%2Fwww.facebook.com%2Frosaryplanthouse%2Fposts%2F112971113784588&amp;show_text=true&amp;width=500" width="500" height="589" style="border:none;overflow:hidden" scrolling="no" frameborder="0" allowfullscreen="true" allow="autoplay; clipboard-write; encrypted-media; picture-in-picture; web-share"&gt;&lt;/iframe&gt;</t>
        </is>
      </c>
    </row>
    <row r="5" ht="15.75" customHeight="1">
      <c r="A5" s="34" t="n">
        <v>4</v>
      </c>
      <c r="B5" s="34" t="inlineStr">
        <is>
          <t>Stella Shaji</t>
        </is>
      </c>
      <c r="C5" s="34" t="inlineStr">
        <is>
          <t>&lt;iframe src="https://www.facebook.com/plugins/post.php?href=https%3A%2F%2Fwww.facebook.com%2Frosaryplanthouse%2Fposts%2F119906553091044&amp;show_text=true&amp;width=500" width="500" height="578" style="border:none;overflow:hidden" scrolling="no" frameborder="0" allowfullscreen="true" allow="autoplay; clipboard-write; encrypted-media; picture-in-picture; web-share"&gt;&lt;/iframe&gt;</t>
        </is>
      </c>
    </row>
    <row r="6" ht="14" customHeight="1">
      <c r="A6" s="34" t="n">
        <v>5</v>
      </c>
      <c r="B6" s="61" t="inlineStr">
        <is>
          <t>Kalpana Joshi Vaishnav</t>
        </is>
      </c>
      <c r="C6" s="34" t="inlineStr">
        <is>
          <t>&lt;iframe src="https://www.facebook.com/plugins/post.php?href=https%3A%2F%2Fwww.facebook.com%2Frosaryplanthouse%2Fposts%2F124321852649514&amp;show_text=true&amp;width=500" width="500" height="609" style="border:none;overflow:hidden" scrolling="no" frameborder="0" allowfullscreen="true" allow="autoplay; clipboard-write; encrypted-media; picture-in-picture; web-share"&gt;&lt;/iframe&gt;</t>
        </is>
      </c>
    </row>
    <row r="7" ht="14" customHeight="1">
      <c r="A7" s="34" t="n">
        <v>6</v>
      </c>
      <c r="B7" s="62" t="inlineStr">
        <is>
          <t>Chandni R Rao</t>
        </is>
      </c>
      <c r="C7" s="34" t="inlineStr">
        <is>
          <t>&lt;iframe src="https://www.facebook.com/plugins/post.php?href=https%3A%2F%2Fwww.facebook.com%2Frosaryplanthouse%2Fposts%2F128834728864893&amp;show_text=true&amp;width=500" width="500" height="435" style="border:none;overflow:hidden" scrolling="no" frameborder="0" allowfullscreen="true" allow="autoplay; clipboard-write; encrypted-media; picture-in-picture; web-share"&gt;&lt;/iframe&gt;</t>
        </is>
      </c>
    </row>
    <row r="8" ht="14" customHeight="1">
      <c r="A8" s="34" t="n">
        <v>7</v>
      </c>
      <c r="B8" s="62" t="inlineStr">
        <is>
          <t>Sita Soman</t>
        </is>
      </c>
      <c r="C8" s="34" t="inlineStr">
        <is>
          <t>&lt;iframe src="https://www.facebook.com/plugins/post.php?href=https%3A%2F%2Fwww.facebook.com%2Frosaryplanthouse%2Fposts%2F128900542191645&amp;show_text=true&amp;width=500" width="500" height="246" style="border:none;overflow:hidden" scrolling="no" frameborder="0" allowfullscreen="true" allow="autoplay; clipboard-write; encrypted-media; picture-in-picture; web-share"&gt;&lt;/iframe&gt;</t>
        </is>
      </c>
    </row>
    <row r="9" ht="15.75" customHeight="1">
      <c r="A9" s="34" t="n">
        <v>8</v>
      </c>
      <c r="B9" s="34" t="inlineStr">
        <is>
          <t>Jaya Singh</t>
        </is>
      </c>
      <c r="C9" s="34" t="inlineStr">
        <is>
          <t>&lt;iframe src="https://www.facebook.com/plugins/post.php?href=https%3A%2F%2Fwww.facebook.com%2Frosaryplanthouse%2Fposts%2F142811234133909&amp;show_text=true&amp;width=500" width="500" height="628" style="border:none;overflow:hidden" scrolling="no" frameborder="0" allowfullscreen="true" allow="autoplay; clipboard-write; encrypted-media; picture-in-picture; web-share"&gt;&lt;/iframe&gt;</t>
        </is>
      </c>
    </row>
    <row r="10" ht="15.75" customHeight="1">
      <c r="A10" s="34" t="n">
        <v>9</v>
      </c>
      <c r="B10" s="34" t="inlineStr">
        <is>
          <t>Jaya Singh</t>
        </is>
      </c>
      <c r="C10" s="34" t="inlineStr">
        <is>
          <t>&lt;iframe src="https://www.facebook.com/plugins/post.php?href=https%3A%2F%2Fwww.facebook.com%2Frosaryplanthouse%2Fposts%2F142813040800395&amp;show_text=true&amp;width=500" width="500" height="361" style="border:none;overflow:hidden" scrolling="no" frameborder="0" allowfullscreen="true" allow="autoplay; clipboard-write; encrypted-media; picture-in-picture; web-share"&gt;&lt;/iframe&gt;</t>
        </is>
      </c>
    </row>
    <row r="11" ht="15.75" customHeight="1">
      <c r="A11" s="34" t="n">
        <v>10</v>
      </c>
      <c r="B11" s="34" t="inlineStr">
        <is>
          <t>Jaya Singh</t>
        </is>
      </c>
      <c r="C11" s="34" t="inlineStr">
        <is>
          <t>&lt;iframe src="https://www.facebook.com/plugins/post.php?href=https%3A%2F%2Fwww.facebook.com%2Frosaryplanthouse%2Fposts%2F142814814133551&amp;show_text=true&amp;width=500" width="500" height="645" style="border:none;overflow:hidden" scrolling="no" frameborder="0" allowfullscreen="true" allow="autoplay; clipboard-write; encrypted-media; picture-in-picture; web-share"&gt;&lt;/iframe&gt;</t>
        </is>
      </c>
    </row>
    <row r="12" ht="15.75" customHeight="1">
      <c r="A12" s="34" t="n">
        <v>11</v>
      </c>
      <c r="B12" s="34" t="inlineStr">
        <is>
          <t>Adeline Stewad</t>
        </is>
      </c>
      <c r="C12" s="34" t="inlineStr">
        <is>
          <t>&lt;iframe src="https://www.facebook.com/plugins/post.php?href=https%3A%2F%2Fwww.facebook.com%2Frosaryplanthouse%2Fposts%2F142828834132149&amp;show_text=true&amp;width=500" width="500" height="800" style="border:none;overflow:hidden" scrolling="no" frameborder="0" allowfullscreen="true" allow="autoplay; clipboard-write; encrypted-media; picture-in-picture; web-share"&gt;&lt;/iframe&gt;</t>
        </is>
      </c>
    </row>
    <row r="13" ht="15.75" customHeight="1">
      <c r="A13" s="34" t="n">
        <v>12</v>
      </c>
      <c r="B13" s="34" t="inlineStr">
        <is>
          <t>Gayatri Juvekar</t>
        </is>
      </c>
      <c r="C13" s="34" t="inlineStr">
        <is>
          <t>&lt;iframe src="https://www.facebook.com/plugins/post.php?href=https%3A%2F%2Fwww.facebook.com%2Frosaryplanthouse%2Fposts%2F143126730769026&amp;show_text=true&amp;width=500" width="500" height="474" style="border:none;overflow:hidden" scrolling="no" frameborder="0" allowfullscreen="true" allow="autoplay; clipboard-write; encrypted-media; picture-in-picture; web-share"&gt;&lt;/iframe&gt;</t>
        </is>
      </c>
    </row>
    <row r="14" ht="15.75" customHeight="1">
      <c r="A14" s="34" t="n">
        <v>13</v>
      </c>
      <c r="B14" s="34" t="inlineStr">
        <is>
          <t>Jayashree Nair</t>
        </is>
      </c>
      <c r="C14" s="34" t="inlineStr">
        <is>
          <t>&lt;iframe src="https://www.facebook.com/plugins/post.php?href=https%3A%2F%2Fwww.facebook.com%2Frosaryplanthouse%2Fposts%2F143442300737469&amp;show_text=true&amp;width=500" width="500" height="590" style="border:none;overflow:hidden" scrolling="no" frameborder="0" allowfullscreen="true" allow="autoplay; clipboard-write; encrypted-media; picture-in-picture; web-share"&gt;&lt;/iframe&gt;</t>
        </is>
      </c>
    </row>
    <row r="15" ht="15.75" customHeight="1">
      <c r="A15" s="34" t="n">
        <v>14</v>
      </c>
      <c r="B15" s="34" t="inlineStr">
        <is>
          <t>Jereney Johnson</t>
        </is>
      </c>
      <c r="C15" s="34" t="inlineStr">
        <is>
          <t>&lt;iframe src="https://www.facebook.com/plugins/post.php?href=https%3A%2F%2Fwww.facebook.com%2Frosaryplanthouse%2Fposts%2F144030604011972&amp;show_text=true&amp;width=500" width="500" height="608" style="border:none;overflow:hidden" scrolling="no" frameborder="0" allowfullscreen="true" allow="autoplay; clipboard-write; encrypted-media; picture-in-picture; web-share"&gt;&lt;/iframe&gt;</t>
        </is>
      </c>
    </row>
    <row r="16" ht="15.75" customHeight="1">
      <c r="A16" s="34" t="n">
        <v>15</v>
      </c>
      <c r="B16" s="34" t="inlineStr">
        <is>
          <t>Jowin Wilson</t>
        </is>
      </c>
      <c r="C16" s="34" t="inlineStr">
        <is>
          <t>&lt;iframe src="https://www.facebook.com/plugins/post.php?href=https%3A%2F%2Fwww.facebook.com%2Frosaryplanthouse%2Fposts%2F146016927146673&amp;show_text=true&amp;width=500" width="500" height="575" style="border:none;overflow:hidden" scrolling="no" frameborder="0" allowfullscreen="true" allow="autoplay; clipboard-write; encrypted-media; picture-in-picture; web-share"&gt;&lt;/iframe&gt;</t>
        </is>
      </c>
    </row>
    <row r="17" ht="15.75" customHeight="1">
      <c r="A17" s="34" t="n">
        <v>16</v>
      </c>
      <c r="B17" s="34" t="inlineStr">
        <is>
          <t>Dhanu Mathew</t>
        </is>
      </c>
      <c r="C17" s="34" t="inlineStr">
        <is>
          <t>&lt;iframe src="https://www.facebook.com/plugins/post.php?href=https%3A%2F%2Fwww.facebook.com%2Frosaryplanthouse%2Fposts%2F148764336871932&amp;show_text=true&amp;width=500" width="500" height="610" style="border:none;overflow:hidden" scrolling="no" frameborder="0" allowfullscreen="true" allow="autoplay; clipboard-write; encrypted-media; picture-in-picture; web-share"&gt;&lt;/iframe&gt;</t>
        </is>
      </c>
    </row>
    <row r="18" ht="15.75" customHeight="1">
      <c r="A18" s="34" t="n">
        <v>17</v>
      </c>
      <c r="B18" s="34" t="inlineStr">
        <is>
          <t>Akhila Bhat</t>
        </is>
      </c>
      <c r="C18" s="34" t="inlineStr">
        <is>
          <t>&lt;iframe src="https://www.facebook.com/plugins/post.php?href=https%3A%2F%2Fwww.facebook.com%2Frosaryplanthouse%2Fposts%2F150850849996614&amp;show_text=true&amp;width=500" width="500" height="448" style="border:none;overflow:hidden" scrolling="no" frameborder="0" allowfullscreen="true" allow="autoplay; clipboard-write; encrypted-media; picture-in-picture; web-share"&gt;&lt;/iframe&gt;</t>
        </is>
      </c>
    </row>
    <row r="19" ht="15.75" customHeight="1">
      <c r="A19" s="34" t="n">
        <v>18</v>
      </c>
      <c r="B19" s="34" t="inlineStr">
        <is>
          <t>Jason Lenox</t>
        </is>
      </c>
      <c r="C19" s="34" t="inlineStr">
        <is>
          <t>&lt;iframe src="https://www.facebook.com/plugins/post.php?href=https%3A%2F%2Fwww.facebook.com%2Frosaryplanthouse%2Fposts%2F151945689887130&amp;show_text=true&amp;width=500" width="500" height="590" style="border:none;overflow:hidden" scrolling="no" frameborder="0" allowfullscreen="true" allow="autoplay; clipboard-write; encrypted-media; picture-in-picture; web-share"&gt;&lt;/iframe&gt;</t>
        </is>
      </c>
    </row>
    <row r="20" ht="15.75" customHeight="1">
      <c r="A20" s="34" t="n">
        <v>19</v>
      </c>
      <c r="B20" s="34" t="inlineStr">
        <is>
          <t>Maria Jenifer</t>
        </is>
      </c>
      <c r="C20" s="34" t="inlineStr">
        <is>
          <t>&lt;iframe src="https://www.facebook.com/plugins/post.php?href=https%3A%2F%2Fwww.facebook.com%2Frosaryplanthouse%2Fposts%2F152457723169260&amp;show_text=true&amp;width=500" width="500" height="498" style="border:none;overflow:hidden" scrolling="no" frameborder="0" allowfullscreen="true" allow="autoplay; clipboard-write; encrypted-media; picture-in-picture; web-share"&gt;&lt;/iframe&gt;</t>
        </is>
      </c>
    </row>
    <row r="21" ht="15.75" customHeight="1">
      <c r="A21" s="34" t="n">
        <v>20</v>
      </c>
      <c r="B21" s="34" t="inlineStr">
        <is>
          <t>Sajida Khan</t>
        </is>
      </c>
      <c r="C21" s="34" t="inlineStr">
        <is>
          <t>&lt;iframe src="https://www.facebook.com/plugins/post.php?href=https%3A%2F%2Fwww.facebook.com%2Frosaryplanthouse%2Fposts%2F152458816502484&amp;show_text=true&amp;width=500" width="500" height="610" style="border:none;overflow:hidden" scrolling="no" frameborder="0" allowfullscreen="true" allow="autoplay; clipboard-write; encrypted-media; picture-in-picture; web-share"&gt;&lt;/iframe&gt;</t>
        </is>
      </c>
    </row>
    <row r="22" ht="15.75" customHeight="1">
      <c r="A22" s="34" t="n">
        <v>21</v>
      </c>
      <c r="B22" s="34" t="inlineStr">
        <is>
          <t>John Uthup</t>
        </is>
      </c>
      <c r="C22" s="34" t="inlineStr">
        <is>
          <t>&lt;iframe src="https://www.facebook.com/plugins/post.php?href=https%3A%2F%2Fwww.facebook.com%2Frosaryplanthouse%2Fposts%2F152905856457780&amp;show_text=true&amp;width=500" width="500" height="214" style="border:none;overflow:hidden" scrolling="no" frameborder="0" allowfullscreen="true" allow="autoplay; clipboard-write; encrypted-media; picture-in-picture; web-share"&gt;&lt;/iframe&gt;</t>
        </is>
      </c>
    </row>
    <row r="23" ht="15.75" customHeight="1">
      <c r="A23" s="34" t="n">
        <v>22</v>
      </c>
      <c r="B23" s="34" t="inlineStr">
        <is>
          <t>Dicel Molo</t>
        </is>
      </c>
      <c r="C23" s="34" t="inlineStr">
        <is>
          <t>&lt;iframe src="https://www.facebook.com/plugins/post.php?href=https%3A%2F%2Fwww.facebook.com%2Frosaryplanthouse%2Fposts%2F153149263100106&amp;show_text=true&amp;width=500" width="500" height="486" style="border:none;overflow:hidden" scrolling="no" frameborder="0" allowfullscreen="true" allow="autoplay; clipboard-write; encrypted-media; picture-in-picture; web-share"&gt;&lt;/iframe&gt;</t>
        </is>
      </c>
    </row>
    <row r="24" ht="15.75" customHeight="1">
      <c r="A24" s="34" t="n">
        <v>23</v>
      </c>
      <c r="B24" s="34" t="inlineStr">
        <is>
          <t>Priyanka Dey Pandit</t>
        </is>
      </c>
      <c r="C24" s="34" t="inlineStr">
        <is>
          <t>&lt;iframe src="https://www.facebook.com/plugins/post.php?href=https%3A%2F%2Fwww.facebook.com%2Frosaryplanthouse%2Fposts%2F153423989739300&amp;show_text=true&amp;width=500" width="500" height="629" style="border:none;overflow:hidden" scrolling="no" frameborder="0" allowfullscreen="true" allow="autoplay; clipboard-write; encrypted-media; picture-in-picture; web-share"&gt;&lt;/iframe&gt;</t>
        </is>
      </c>
    </row>
    <row r="25" ht="15.75" customHeight="1">
      <c r="A25" s="34" t="n">
        <v>24</v>
      </c>
      <c r="B25" s="34" t="inlineStr">
        <is>
          <t>Gisha Pappachen</t>
        </is>
      </c>
      <c r="C25" s="34" t="inlineStr">
        <is>
          <t>&lt;iframe src="https://www.facebook.com/plugins/post.php?href=https%3A%2F%2Fwww.facebook.com%2Frosaryplanthouse%2Fposts%2F153836223031410&amp;show_text=true&amp;width=500" width="500" height="549" style="border:none;overflow:hidden" scrolling="no" frameborder="0" allowfullscreen="true" allow="autoplay; clipboard-write; encrypted-media; picture-in-picture; web-share"&gt;&lt;/iframe&gt;</t>
        </is>
      </c>
    </row>
    <row r="26" ht="15.75" customHeight="1">
      <c r="A26" s="34" t="n">
        <v>25</v>
      </c>
      <c r="B26" s="34" t="inlineStr">
        <is>
          <t>Saheera Maheen</t>
        </is>
      </c>
      <c r="C26" s="34" t="inlineStr">
        <is>
          <t>&lt;iframe src="https://www.facebook.com/plugins/post.php?href=https%3A%2F%2Fwww.facebook.com%2Frosaryplanthouse%2Fposts%2F156542952760737&amp;show_text=true&amp;width=500" width="500" height="589" style="border:none;overflow:hidden" scrolling="no" frameborder="0" allowfullscreen="true" allow="autoplay; clipboard-write; encrypted-media; picture-in-picture; web-share"&gt;&lt;/iframe&gt;</t>
        </is>
      </c>
    </row>
    <row r="27" ht="15.75" customHeight="1">
      <c r="A27" s="34" t="n">
        <v>26</v>
      </c>
      <c r="B27" s="34" t="inlineStr">
        <is>
          <t>Arshiya Ashok</t>
        </is>
      </c>
      <c r="C27" s="34" t="inlineStr">
        <is>
          <t>&lt;iframe src="https://www.facebook.com/plugins/post.php?href=https%3A%2F%2Fwww.facebook.com%2Frosaryplanthouse%2Fposts%2F156811629400536&amp;show_text=true&amp;width=500" width="500" height="665" style="border:none;overflow:hidden" scrolling="no" frameborder="0" allowfullscreen="true" allow="autoplay; clipboard-write; encrypted-media; picture-in-picture; web-share"&gt;&lt;/iframe&gt;</t>
        </is>
      </c>
    </row>
    <row r="28" ht="15.75" customHeight="1">
      <c r="A28" s="34" t="n">
        <v>27</v>
      </c>
      <c r="B28" s="34" t="inlineStr">
        <is>
          <t>Chinna Malipedu</t>
        </is>
      </c>
      <c r="C28" s="34" t="inlineStr">
        <is>
          <t>&lt;iframe src="https://www.facebook.com/plugins/post.php?href=https%3A%2F%2Fwww.facebook.com%2Frosaryplanthouse%2Fposts%2F163860305362335&amp;show_text=true&amp;width=500" width="500" height="416" style="border:none;overflow:hidden" scrolling="no" frameborder="0" allowfullscreen="true" allow="autoplay; clipboard-write; encrypted-media; picture-in-picture; web-share"&gt;&lt;/iframe&gt;</t>
        </is>
      </c>
    </row>
    <row r="29" ht="15.75" customHeight="1">
      <c r="A29" s="34" t="n">
        <v>28</v>
      </c>
      <c r="B29" s="34" t="inlineStr">
        <is>
          <t>Nandini Brahmavar</t>
        </is>
      </c>
      <c r="C29" s="34" t="inlineStr">
        <is>
          <t>&lt;iframe src="https://www.facebook.com/plugins/post.php?href=https%3A%2F%2Fwww.facebook.com%2Frosaryplanthouse%2Fposts%2F164084498673249&amp;show_text=true&amp;width=500" width="500" height="582" style="border:none;overflow:hidden" scrolling="no" frameborder="0" allowfullscreen="true" allow="autoplay; clipboard-write; encrypted-media; picture-in-picture; web-share"&gt;&lt;/iframe&gt;</t>
        </is>
      </c>
    </row>
    <row r="30" ht="15.75" customHeight="1">
      <c r="A30" s="34" t="n">
        <v>29</v>
      </c>
      <c r="B30" s="34" t="inlineStr">
        <is>
          <t>Ramya Kaza</t>
        </is>
      </c>
      <c r="C30" s="34" t="inlineStr">
        <is>
          <t>&lt;iframe src="https://www.facebook.com/plugins/post.php?href=https%3A%2F%2Fwww.facebook.com%2Frosaryplanthouse%2Fposts%2F164145828667116&amp;show_text=true&amp;width=500" width="500" height="665" style="border:none;overflow:hidden" scrolling="no" frameborder="0" allowfullscreen="true" allow="autoplay; clipboard-write; encrypted-media; picture-in-picture; web-share"&gt;&lt;/iframe&gt;</t>
        </is>
      </c>
    </row>
    <row r="31" ht="15.75" customHeight="1">
      <c r="A31" s="34" t="n">
        <v>30</v>
      </c>
      <c r="B31" s="34" t="inlineStr">
        <is>
          <t>Anil Kumar</t>
        </is>
      </c>
      <c r="C31" s="34" t="inlineStr">
        <is>
          <t>&lt;iframe src="https://www.facebook.com/plugins/post.php?href=https%3A%2F%2Fwww.facebook.com%2Frosaryplanthouse%2Fposts%2F164242018657497&amp;show_text=true&amp;width=500" width="500" height="665" style="border:none;overflow:hidden" scrolling="no" frameborder="0" allowfullscreen="true" allow="autoplay; clipboard-write; encrypted-media; picture-in-picture; web-share"&gt;&lt;/iframe&gt;</t>
        </is>
      </c>
    </row>
    <row r="32" ht="15.75" customHeight="1">
      <c r="A32" s="34" t="n">
        <v>31</v>
      </c>
      <c r="B32" s="34" t="inlineStr">
        <is>
          <t>Nivit Mathew</t>
        </is>
      </c>
      <c r="C32" s="34" t="inlineStr">
        <is>
          <t>&lt;iframe src="https://www.facebook.com/plugins/post.php?href=https%3A%2F%2Fwww.facebook.com%2Frosaryplanthouse%2Fposts%2F164244571990575&amp;show_text=true&amp;width=500" width="500" height="647" style="border:none;overflow:hidden" scrolling="no" frameborder="0" allowfullscreen="true" allow="autoplay; clipboard-write; encrypted-media; picture-in-picture; web-share"&gt;&lt;/iframe&gt;</t>
        </is>
      </c>
    </row>
    <row r="33" ht="15.75" customHeight="1">
      <c r="A33" s="34" t="n">
        <v>32</v>
      </c>
      <c r="B33" s="34" t="inlineStr">
        <is>
          <t>Meghna Butani</t>
        </is>
      </c>
      <c r="C33" s="34" t="inlineStr">
        <is>
          <t>&lt;iframe src="https://www.facebook.com/plugins/post.php?href=https%3A%2F%2Fwww.facebook.com%2Frosaryplanthouse%2Fposts%2F164249321990100&amp;show_text=true&amp;width=500" width="500" height="703" style="border:none;overflow:hidden" scrolling="no" frameborder="0" allowfullscreen="true" allow="autoplay; clipboard-write; encrypted-media; picture-in-picture; web-share"&gt;&lt;/iframe&gt;</t>
        </is>
      </c>
    </row>
    <row r="34" ht="15.75" customHeight="1">
      <c r="A34" s="34" t="n">
        <v>33</v>
      </c>
      <c r="B34" s="34" t="inlineStr">
        <is>
          <t>Shashi Bhat</t>
        </is>
      </c>
      <c r="C34" s="34" t="inlineStr">
        <is>
          <t>&lt;iframe src="https://www.facebook.com/plugins/post.php?href=https%3A%2F%2Fwww.facebook.com%2Frosaryplanthouse%2Fposts%2F164520031963029&amp;show_text=true&amp;width=500" width="500" height="665" style="border:none;overflow:hidden" scrolling="no" frameborder="0" allowfullscreen="true" allow="autoplay; clipboard-write; encrypted-media; picture-in-picture; web-share"&gt;&lt;/iframe&gt;</t>
        </is>
      </c>
    </row>
    <row r="35" ht="15.75" customHeight="1">
      <c r="A35" s="34" t="n">
        <v>34</v>
      </c>
      <c r="B35" s="34" t="inlineStr">
        <is>
          <t>Ramya Kaza</t>
        </is>
      </c>
      <c r="C35" s="34" t="inlineStr">
        <is>
          <t>&lt;iframe src="https://www.facebook.com/plugins/post.php?href=https%3A%2F%2Fwww.facebook.com%2Frosaryplanthouse%2Fposts%2F164718005276565&amp;show_text=true&amp;width=500" width="500" height="487" style="border:none;overflow:hidden" scrolling="no" frameborder="0" allowfullscreen="true" allow="autoplay; clipboard-write; encrypted-media; picture-in-picture; web-share"&gt;&lt;/iframe&gt;</t>
        </is>
      </c>
    </row>
    <row r="36" ht="15.75" customHeight="1">
      <c r="A36" s="34" t="n">
        <v>35</v>
      </c>
      <c r="B36" s="34" t="inlineStr">
        <is>
          <t>Riya Pachange</t>
        </is>
      </c>
      <c r="C36" s="34" t="inlineStr">
        <is>
          <t>&lt;iframe src="https://www.facebook.com/plugins/post.php?href=https%3A%2F%2Fwww.facebook.com%2Frosaryplanthouse%2Fposts%2F164864035261962&amp;show_text=true&amp;width=500" width="500" height="487" style="border:none;overflow:hidden" scrolling="no" frameborder="0" allowfullscreen="true" allow="autoplay; clipboard-write; encrypted-media; picture-in-picture; web-share"&gt;&lt;/iframe&gt;</t>
        </is>
      </c>
    </row>
    <row r="37" ht="12.5" customHeight="1">
      <c r="A37" s="34" t="n">
        <v>36</v>
      </c>
      <c r="B37" s="34" t="inlineStr">
        <is>
          <t>Akshata Mirji</t>
        </is>
      </c>
      <c r="C37" s="34" t="inlineStr">
        <is>
          <t>&lt;iframe src="https://www.facebook.com/plugins/post.php?href=https%3A%2F%2Fwww.facebook.com%2Frosaryplanthouse%2Fposts%2F165348438546855&amp;show_text=true&amp;width=500" width="500" height="628" style="border:none;overflow:hidden" scrolling="no" frameborder="0" allowfullscreen="true" allow="autoplay; clipboard-write; encrypted-media; picture-in-picture; web-share"&gt;&lt;/iframe&gt;</t>
        </is>
      </c>
    </row>
    <row r="38" ht="12.5" customHeight="1">
      <c r="A38" s="34" t="n">
        <v>37</v>
      </c>
      <c r="B38" s="34" t="inlineStr">
        <is>
          <t>Varsha Vijay</t>
        </is>
      </c>
      <c r="C38" s="34" t="inlineStr">
        <is>
          <t>&lt;iframe src="https://www.facebook.com/plugins/post.php?href=https%3A%2F%2Fwww.facebook.com%2Frosaryplanthouse%2Fposts%2F168229894925376&amp;show_text=true&amp;width=500" width="500" height="486" style="border:none;overflow:hidden" scrolling="no" frameborder="0" allowfullscreen="true" allow="autoplay; clipboard-write; encrypted-media; picture-in-picture; web-share"&gt;&lt;/iframe&gt;</t>
        </is>
      </c>
    </row>
    <row r="39" ht="12.5" customHeight="1">
      <c r="A39" s="34" t="n">
        <v>38</v>
      </c>
      <c r="B39" s="34" t="inlineStr">
        <is>
          <t>Arjun Lokesh</t>
        </is>
      </c>
      <c r="C39" s="34" t="inlineStr">
        <is>
          <t>&lt;iframe src="https://www.facebook.com/plugins/post.php?href=https%3A%2F%2Fwww.facebook.com%2Frosaryplanthouse%2Fposts%2F170563644692001&amp;show_text=true&amp;width=500" width="500" height="601" style="border:none;overflow:hidden" scrolling="no" frameborder="0" allowfullscreen="true" allow="autoplay; clipboard-write; encrypted-media; picture-in-picture; web-share"&gt;&lt;/iframe&gt;</t>
        </is>
      </c>
    </row>
    <row r="40" ht="12.5" customHeight="1">
      <c r="A40" s="34" t="n">
        <v>39</v>
      </c>
      <c r="B40" s="34" t="inlineStr">
        <is>
          <t>Gopu Sujitha Reddy</t>
        </is>
      </c>
      <c r="C40" s="34" t="inlineStr">
        <is>
          <t>&lt;iframe src="https://www.facebook.com/plugins/post.php?href=https%3A%2F%2Fwww.facebook.com%2Frosaryplanthouse%2Fposts%2F173142144434151&amp;show_text=true&amp;width=500" width="500" height="169" style="border:none;overflow:hidden" scrolling="no" frameborder="0" allowfullscreen="true" allow="autoplay; clipboard-write; encrypted-media; picture-in-picture; web-share"&gt;&lt;/iframe&gt;</t>
        </is>
      </c>
    </row>
    <row r="41" ht="12.5" customHeight="1">
      <c r="A41" s="34" t="n">
        <v>40</v>
      </c>
      <c r="B41" s="34" t="inlineStr">
        <is>
          <t>Rakesh ShSr</t>
        </is>
      </c>
      <c r="C41" s="34" t="inlineStr">
        <is>
          <t>&lt;iframe src="https://www.facebook.com/plugins/post.php?href=https%3A%2F%2Fwww.facebook.com%2Frosaryplanthouse%2Fposts%2F174057127675986&amp;show_text=true&amp;width=500" width="500" height="227" style="border:none;overflow:hidden" scrolling="no" frameborder="0" allowfullscreen="true" allow="autoplay; clipboard-write; encrypted-media; picture-in-picture; web-share"&gt;&lt;/iframe&gt;</t>
        </is>
      </c>
    </row>
    <row r="42" ht="12.5" customHeight="1">
      <c r="A42" s="34" t="n">
        <v>41</v>
      </c>
      <c r="B42" s="34" t="inlineStr">
        <is>
          <t>Krishnaveni Muthuraman</t>
        </is>
      </c>
      <c r="C42" s="34" t="inlineStr">
        <is>
          <t>&lt;iframe src="https://www.facebook.com/plugins/post.php?href=https%3A%2F%2Fwww.facebook.com%2Frosaryplanthouse%2Fposts%2F175079267573772&amp;show_text=true&amp;width=500" width="500" height="188" style="border:none;overflow:hidden" scrolling="no" frameborder="0" allowfullscreen="true" allow="autoplay; clipboard-write; encrypted-media; picture-in-picture; web-share"&gt;&lt;/iframe&gt;</t>
        </is>
      </c>
    </row>
    <row r="43" ht="12.5" customHeight="1">
      <c r="A43" s="34" t="n">
        <v>42</v>
      </c>
      <c r="B43" s="34" t="inlineStr">
        <is>
          <t>Pugazenthi BP</t>
        </is>
      </c>
      <c r="C43" s="34" t="inlineStr">
        <is>
          <t>&lt;iframe src="https://www.facebook.com/plugins/post.php?href=https%3A%2F%2Fwww.facebook.com%2Frosaryplanthouse%2Fposts%2F177145470700485&amp;show_text=true&amp;width=500" width="500" height="601" style="border:none;overflow:hidden" scrolling="no" frameborder="0" allowfullscreen="true" allow="autoplay; clipboard-write; encrypted-media; picture-in-picture; web-share"&gt;&lt;/iframe&gt;</t>
        </is>
      </c>
    </row>
    <row r="44" ht="12.5" customHeight="1">
      <c r="A44" s="34" t="n">
        <v>43</v>
      </c>
      <c r="B44" s="34" t="inlineStr">
        <is>
          <t>Pearline Paulraj</t>
        </is>
      </c>
      <c r="C44" s="34" t="inlineStr">
        <is>
          <t>&lt;iframe src="https://www.facebook.com/plugins/post.php?href=https%3A%2F%2Fwww.facebook.com%2Frosaryplanthouse%2Fposts%2F180415450373487&amp;show_text=true&amp;width=500" width="500" height="610" style="border:none;overflow:hidden" scrolling="no" frameborder="0" allowfullscreen="true" allow="autoplay; clipboard-write; encrypted-media; picture-in-picture; web-share"&gt;&lt;/iframe&gt;</t>
        </is>
      </c>
    </row>
    <row r="45" ht="12.5" customHeight="1">
      <c r="A45" s="34" t="n">
        <v>44</v>
      </c>
      <c r="B45" s="34" t="inlineStr">
        <is>
          <t>Nisha Aravind</t>
        </is>
      </c>
      <c r="C45" s="34" t="inlineStr">
        <is>
          <t>&lt;iframe src="https://www.facebook.com/plugins/post.php?href=https%3A%2F%2Fwww.facebook.com%2Frosaryplanthouse%2Fposts%2F188091886272510&amp;show_text=true&amp;width=500" width="500" height="594" style="border:none;overflow:hidden" scrolling="no" frameborder="0" allowfullscreen="true" allow="autoplay; clipboard-write; encrypted-media; picture-in-picture; web-share"&gt;&lt;/iframe&gt;</t>
        </is>
      </c>
    </row>
    <row r="46" ht="12.5" customHeight="1">
      <c r="A46" s="34" t="n">
        <v>45</v>
      </c>
      <c r="B46" s="34" t="inlineStr">
        <is>
          <t>Karthiga Mukanchan</t>
        </is>
      </c>
      <c r="C46" s="34" t="inlineStr">
        <is>
          <t>&lt;iframe src="https://www.facebook.com/plugins/post.php?href=https%3A%2F%2Fwww.facebook.com%2Frosaryplanthouse%2Fposts%2F188124349602597&amp;show_text=true&amp;width=500" width="500" height="610" style="border:none;overflow:hidden" scrolling="no" frameborder="0" allowfullscreen="true" allow="autoplay; clipboard-write; encrypted-media; picture-in-picture; web-share"&gt;&lt;/iframe&gt;</t>
        </is>
      </c>
    </row>
    <row r="47" ht="12.5" customHeight="1">
      <c r="A47" s="34" t="n">
        <v>46</v>
      </c>
      <c r="B47" s="34" t="inlineStr">
        <is>
          <t>Dominik Sampaje</t>
        </is>
      </c>
      <c r="C47" s="34" t="inlineStr">
        <is>
          <t>&lt;iframe src="https://www.facebook.com/plugins/post.php?href=https%3A%2F%2Fwww.facebook.com%2Frosaryplanthouse%2Fposts%2F188293802918985&amp;show_text=true&amp;width=500" width="500" height="609" style="border:none;overflow:hidden" scrolling="no" frameborder="0" allowfullscreen="true" allow="autoplay; clipboard-write; encrypted-media; picture-in-picture; web-share"&gt;&lt;/iframe&gt;</t>
        </is>
      </c>
    </row>
    <row r="48" ht="12.5" customHeight="1">
      <c r="A48" s="34" t="n">
        <v>47</v>
      </c>
      <c r="B48" s="34" t="inlineStr">
        <is>
          <t>Pugazenthi BP</t>
        </is>
      </c>
      <c r="C48" s="34" t="inlineStr">
        <is>
          <t>&lt;iframe src="https://www.facebook.com/plugins/post.php?href=https%3A%2F%2Fwww.facebook.com%2Frosaryplanthouse%2Fposts%2F194587635622935&amp;show_text=true&amp;width=500" width="500" height="645" style="border:none;overflow:hidden" scrolling="no" frameborder="0" allowfullscreen="true" allow="autoplay; clipboard-write; encrypted-media; picture-in-picture; web-share"&gt;&lt;/iframe&gt;</t>
        </is>
      </c>
    </row>
    <row r="49" ht="12.5" customHeight="1">
      <c r="A49" s="34" t="n">
        <v>48</v>
      </c>
      <c r="B49" s="34" t="inlineStr">
        <is>
          <t>Pooja Sirohi</t>
        </is>
      </c>
      <c r="C49" s="34" t="inlineStr">
        <is>
          <t>&lt;iframe src="https://www.facebook.com/plugins/post.php?href=https%3A%2F%2Fwww.facebook.com%2Frosaryplanthouse%2Fposts%2F196139075467791&amp;show_text=true&amp;width=500" width="500" height="610" style="border:none;overflow:hidden" scrolling="no" frameborder="0" allowfullscreen="true" allow="autoplay; clipboard-write; encrypted-media; picture-in-picture; web-share"&gt;&lt;/iframe&gt;</t>
        </is>
      </c>
    </row>
    <row r="50" ht="12.5" customHeight="1">
      <c r="A50" s="34" t="n">
        <v>49</v>
      </c>
      <c r="B50" s="34" t="inlineStr">
        <is>
          <t>Nitha Deepak</t>
        </is>
      </c>
      <c r="C50" s="34" t="inlineStr">
        <is>
          <t>&lt;iframe src="https://www.facebook.com/plugins/post.php?href=https%3A%2F%2Fwww.facebook.com%2Frosaryplanthouse%2Fposts%2F197063015375397&amp;show_text=true&amp;width=500" width="500" height="601" style="border:none;overflow:hidden" scrolling="no" frameborder="0" allowfullscreen="true" allow="autoplay; clipboard-write; encrypted-media; picture-in-picture; web-share"&gt;&lt;/iframe&gt;</t>
        </is>
      </c>
    </row>
    <row r="51" ht="12.5" customHeight="1">
      <c r="A51" s="34" t="n">
        <v>50</v>
      </c>
      <c r="B51" s="34" t="inlineStr">
        <is>
          <t>Shakira Amanath</t>
        </is>
      </c>
      <c r="C51" s="34" t="inlineStr">
        <is>
          <t>&lt;iframe src="https://www.facebook.com/plugins/post.php?href=https%3A%2F%2Fwww.facebook.com%2Frosaryplanthouse%2Fposts%2F197545465327152&amp;show_text=true&amp;width=500" width="500" height="590" style="border:none;overflow:hidden" scrolling="no" frameborder="0" allowfullscreen="true" allow="autoplay; clipboard-write; encrypted-media; picture-in-picture; web-share"&gt;&lt;/iframe&gt;</t>
        </is>
      </c>
    </row>
    <row r="52" ht="12.5" customHeight="1">
      <c r="A52" s="34" t="n">
        <v>51</v>
      </c>
      <c r="B52" s="34" t="inlineStr">
        <is>
          <t>Mousumi Hazarika</t>
        </is>
      </c>
      <c r="C52" s="34" t="inlineStr">
        <is>
          <t>&lt;iframe src="https://www.facebook.com/plugins/post.php?href=https%3A%2F%2Fwww.facebook.com%2Frosaryplanthouse%2Fposts%2F200724431675922&amp;show_text=true&amp;width=500" width="500" height="505" style="border:none;overflow:hidden" scrolling="no" frameborder="0" allowfullscreen="true" allow="autoplay; clipboard-write; encrypted-media; picture-in-picture; web-share"&gt;&lt;/iframe&gt;</t>
        </is>
      </c>
    </row>
    <row r="53" ht="12.5" customHeight="1">
      <c r="A53" s="34" t="n">
        <v>52</v>
      </c>
      <c r="B53" s="34" t="inlineStr">
        <is>
          <t>Jipsa Arjun</t>
        </is>
      </c>
      <c r="C53" s="34" t="inlineStr">
        <is>
          <t>&lt;iframe src="https://www.facebook.com/plugins/post.php?href=https%3A%2F%2Fwww.facebook.com%2Frosaryplanthouse%2Fposts%2F201517851596580&amp;show_text=true&amp;width=500" width="500" height="188" style="border:none;overflow:hidden" scrolling="no" frameborder="0" allowfullscreen="true" allow="autoplay; clipboard-write; encrypted-media; picture-in-picture; web-share"&gt;&lt;/iframe&gt;</t>
        </is>
      </c>
    </row>
    <row r="54" ht="12.5" customHeight="1">
      <c r="A54" s="34" t="n">
        <v>53</v>
      </c>
      <c r="B54" s="34" t="inlineStr">
        <is>
          <t>Prerana Polekar</t>
        </is>
      </c>
      <c r="C54" s="34" t="inlineStr">
        <is>
          <t>&lt;iframe src="https://www.facebook.com/plugins/post.php?href=https%3A%2F%2Fwww.facebook.com%2Frosaryplanthouse%2Fposts%2F201737704907928&amp;show_text=true&amp;width=500" width="500" height="665" style="border:none;overflow:hidden" scrolling="no" frameborder="0" allowfullscreen="true" allow="autoplay; clipboard-write; encrypted-media; picture-in-picture; web-share"&gt;&lt;/iframe&gt;</t>
        </is>
      </c>
    </row>
    <row r="55" ht="12.5" customHeight="1">
      <c r="A55" s="34" t="n">
        <v>54</v>
      </c>
      <c r="B55" s="34" t="inlineStr">
        <is>
          <t>Sairindhree Sarkar</t>
        </is>
      </c>
      <c r="C55" s="34" t="inlineStr">
        <is>
          <t>&lt;iframe src="https://www.facebook.com/plugins/post.php?href=https%3A%2F%2Fwww.facebook.com%2Frosaryplanthouse%2Fposts%2F207950684286630&amp;show_text=true&amp;width=500" width="500" height="486" style="border:none;overflow:hidden" scrolling="no" frameborder="0" allowfullscreen="true" allow="autoplay; clipboard-write; encrypted-media; picture-in-picture; web-share"&gt;&lt;/iframe&gt;</t>
        </is>
      </c>
    </row>
    <row r="56" ht="12.5" customHeight="1">
      <c r="A56" s="34" t="n">
        <v>55</v>
      </c>
      <c r="B56" s="34" t="inlineStr">
        <is>
          <t>Salma Jamal</t>
        </is>
      </c>
      <c r="C56" s="34" t="inlineStr">
        <is>
          <t>&lt;iframe src="https://www.facebook.com/plugins/post.php?href=https%3A%2F%2Fwww.facebook.com%2Frosaryplanthouse%2Fposts%2F207968517618180&amp;show_text=true&amp;width=500" width="500" height="503" style="border:none;overflow:hidden" scrolling="no" frameborder="0" allowfullscreen="true" allow="autoplay; clipboard-write; encrypted-media; picture-in-picture; web-share"&gt;&lt;/iframe&gt;</t>
        </is>
      </c>
    </row>
    <row r="57" ht="12.5" customHeight="1">
      <c r="A57" s="34" t="n">
        <v>56</v>
      </c>
      <c r="B57" s="34" t="inlineStr">
        <is>
          <t>Mary Theresa</t>
        </is>
      </c>
      <c r="C57" s="34" t="inlineStr">
        <is>
          <t>&lt;iframe src="https://www.facebook.com/plugins/post.php?href=https%3A%2F%2Fwww.facebook.com%2Frosaryplanthouse%2Fposts%2F228521875562844&amp;show_text=true&amp;width=500" width="500" height="350" style="border:none;overflow:hidden" scrolling="no" frameborder="0" allowfullscreen="true" allow="autoplay; clipboard-write; encrypted-media; picture-in-picture; web-share"&gt;&lt;/iframe&gt;</t>
        </is>
      </c>
    </row>
    <row r="58" ht="12.5" customHeight="1">
      <c r="A58" s="34" t="n">
        <v>57</v>
      </c>
      <c r="B58" s="34" t="inlineStr">
        <is>
          <t>Pugazenthi BP</t>
        </is>
      </c>
      <c r="C58" s="34" t="inlineStr">
        <is>
          <t>&lt;iframe src="https://www.facebook.com/plugins/post.php?href=https%3A%2F%2Fwww.facebook.com%2Frosaryplanthouse%2Fposts%2F228764952205203&amp;show_text=true&amp;width=500" width="500" height="645" style="border:none;overflow:hidden" scrolling="no" frameborder="0" allowfullscreen="true" allow="autoplay; clipboard-write; encrypted-media; picture-in-picture; web-share"&gt;&lt;/iframe&gt;</t>
        </is>
      </c>
    </row>
    <row r="59" ht="12.5" customHeight="1">
      <c r="A59" s="34" t="n">
        <v>58</v>
      </c>
      <c r="B59" s="34" t="inlineStr">
        <is>
          <t>Sathya Ajay</t>
        </is>
      </c>
      <c r="C59" s="34" t="inlineStr">
        <is>
          <t>&lt;iframe src="https://www.facebook.com/plugins/post.php?href=https%3A%2F%2Fwww.facebook.com%2Frosaryplanthouse%2Fposts%2F233515978396767&amp;show_text=true&amp;width=500" width="500" height="464" style="border:none;overflow:hidden" scrolling="no" frameborder="0" allowfullscreen="true" allow="autoplay; clipboard-write; encrypted-media; picture-in-picture; web-share"&gt;&lt;/iframe&gt;</t>
        </is>
      </c>
    </row>
    <row r="60" ht="12.5" customHeight="1">
      <c r="A60" s="34" t="n">
        <v>59</v>
      </c>
      <c r="B60" s="34" t="inlineStr">
        <is>
          <t>Lopamudra Talukdar</t>
        </is>
      </c>
      <c r="C60" s="34" t="inlineStr">
        <is>
          <t>&lt;iframe src="https://www.facebook.com/plugins/post.php?href=https%3A%2F%2Fwww.facebook.com%2Frosaryplanthouse%2Fposts%2F233880601693638&amp;show_text=true&amp;width=500" width="500" height="665" style="border:none;overflow:hidden" scrolling="no" frameborder="0" allowfullscreen="true" allow="autoplay; clipboard-write; encrypted-media; picture-in-picture; web-share"&gt;&lt;/iframe&gt;</t>
        </is>
      </c>
    </row>
    <row r="61" ht="12.5" customHeight="1">
      <c r="A61" s="34" t="n">
        <v>60</v>
      </c>
      <c r="B61" s="34" t="inlineStr">
        <is>
          <t>Prerana Polekar</t>
        </is>
      </c>
      <c r="C61" s="34" t="inlineStr">
        <is>
          <t>&lt;iframe src="https://www.facebook.com/plugins/post.php?href=https%3A%2F%2Fwww.facebook.com%2Frosaryplanthouse%2Fposts%2F233926861689012&amp;show_text=true&amp;width=500" width="500" height="629" style="border:none;overflow:hidden" scrolling="no" frameborder="0" allowfullscreen="true" allow="autoplay; clipboard-write; encrypted-media; picture-in-picture; web-share"&gt;&lt;/iframe&gt;</t>
        </is>
      </c>
    </row>
    <row r="62" ht="12.5" customHeight="1">
      <c r="A62" s="34" t="n">
        <v>61</v>
      </c>
      <c r="B62" s="34" t="inlineStr">
        <is>
          <t>Jyoti Vinayak Madi</t>
        </is>
      </c>
      <c r="C62" s="34" t="inlineStr">
        <is>
          <t>&lt;iframe src="https://www.facebook.com/plugins/post.php?href=https%3A%2F%2Fwww.facebook.com%2Frosaryplanthouse%2Fposts%2F234985961583102&amp;show_text=true&amp;width=500" width="500" height="609" style="border:none;overflow:hidden" scrolling="no" frameborder="0" allowfullscreen="true" allow="autoplay; clipboard-write; encrypted-media; picture-in-picture; web-share"&gt;&lt;/iframe&gt;</t>
        </is>
      </c>
    </row>
    <row r="63" ht="14" customHeight="1">
      <c r="A63" s="34" t="n">
        <v>62</v>
      </c>
      <c r="B63" s="61" t="inlineStr">
        <is>
          <t>Siri Mohan</t>
        </is>
      </c>
      <c r="C63" s="34" t="inlineStr">
        <is>
          <t>&lt;iframe src="https://www.facebook.com/plugins/post.php?href=https%3A%2F%2Fwww.facebook.com%2Frosaryplanthouse%2Fposts%2F238265861255112&amp;show_text=true&amp;width=500" width="500" height="609" style="border:none;overflow:hidden" scrolling="no" frameborder="0" allowfullscreen="true" allow="autoplay; clipboard-write; encrypted-media; picture-in-picture; web-share"&gt;&lt;/iframe&gt;</t>
        </is>
      </c>
    </row>
    <row r="64" ht="12.5" customHeight="1">
      <c r="A64" s="34" t="n">
        <v>63</v>
      </c>
      <c r="B64" s="34" t="inlineStr">
        <is>
          <t>Raksha Prashanth</t>
        </is>
      </c>
      <c r="C64" s="34" t="inlineStr">
        <is>
          <t>&lt;iframe src="https://www.facebook.com/plugins/post.php?href=https%3A%2F%2Fwww.facebook.com%2Frosaryplanthouse%2Fposts%2F243714514043580&amp;show_text=true&amp;width=500" width="500" height="609" style="border:none;overflow:hidden" scrolling="no" frameborder="0" allowfullscreen="true" allow="autoplay; clipboard-write; encrypted-media; picture-in-picture; web-share"&gt;&lt;/iframe&gt;</t>
        </is>
      </c>
    </row>
    <row r="65" ht="12.5" customHeight="1">
      <c r="A65" s="34" t="n">
        <v>64</v>
      </c>
      <c r="B65" s="34" t="inlineStr">
        <is>
          <t>Gokulakrishnan Ramanujam</t>
        </is>
      </c>
      <c r="C65" s="34" t="inlineStr">
        <is>
          <t>&lt;iframe src="https://www.facebook.com/plugins/post.php?href=https%3A%2F%2Fwww.facebook.com%2Frosaryplanthouse%2Fposts%2F246834413731590&amp;show_text=true&amp;width=500" width="500" height="177" style="border:none;overflow:hidden" scrolling="no" frameborder="0" allowfullscreen="true" allow="autoplay; clipboard-write; encrypted-media; picture-in-picture; web-share"&gt;&lt;/iframe&gt;</t>
        </is>
      </c>
    </row>
    <row r="66" ht="12.5" customHeight="1">
      <c r="A66" s="34" t="n">
        <v>65</v>
      </c>
      <c r="B66" s="34" t="inlineStr">
        <is>
          <t>Deepak Dalvi</t>
        </is>
      </c>
      <c r="C66" s="34" t="inlineStr">
        <is>
          <t>&lt;iframe src="https://www.facebook.com/plugins/post.php?href=https%3A%2F%2Fwww.facebook.com%2Frosaryplanthouse%2Fposts%2F247449310336767&amp;show_text=true&amp;width=500" width="500" height="416" style="border:none;overflow:hidden" scrolling="no" frameborder="0" allowfullscreen="true" allow="autoplay; clipboard-write; encrypted-media; picture-in-picture; web-share"&gt;&lt;/iframe&gt;</t>
        </is>
      </c>
    </row>
    <row r="67" ht="12.5" customHeight="1">
      <c r="A67" s="34" t="n">
        <v>66</v>
      </c>
      <c r="B67" s="34" t="inlineStr">
        <is>
          <t>Arya Sreedhar</t>
        </is>
      </c>
      <c r="C67" s="34" t="inlineStr">
        <is>
          <t>&lt;iframe src="https://www.facebook.com/plugins/post.php?href=https%3A%2F%2Fwww.facebook.com%2Frosaryplanthouse%2Fposts%2F247463960335302&amp;show_text=true&amp;width=500" width="500" height="628" style="border:none;overflow:hidden" scrolling="no" frameborder="0" allowfullscreen="true" allow="autoplay; clipboard-write; encrypted-media; picture-in-picture; web-share"&gt;&lt;/iframe&gt;</t>
        </is>
      </c>
    </row>
    <row r="68" ht="12.5" customHeight="1">
      <c r="A68" s="34" t="n">
        <v>67</v>
      </c>
      <c r="B68" s="34" t="inlineStr">
        <is>
          <t>Bindu Gv</t>
        </is>
      </c>
      <c r="C68" s="34" t="inlineStr">
        <is>
          <t>&lt;iframe src="https://www.facebook.com/plugins/post.php?href=https%3A%2F%2Fwww.facebook.com%2Frosaryplanthouse%2Fposts%2F250748386673526&amp;show_text=true&amp;width=500" width="500" height="486" style="border:none;overflow:hidden" scrolling="no" frameborder="0" allowfullscreen="true" allow="autoplay; clipboard-write; encrypted-media; picture-in-picture; web-share"&gt;&lt;/iframe&gt;</t>
        </is>
      </c>
    </row>
    <row r="69" ht="12.5" customHeight="1">
      <c r="A69" s="34" t="n">
        <v>68</v>
      </c>
      <c r="B69" s="34" t="inlineStr">
        <is>
          <t>Bindu Gv</t>
        </is>
      </c>
      <c r="C69" s="34" t="inlineStr">
        <is>
          <t>&lt;iframe src="https://www.facebook.com/plugins/post.php?href=https%3A%2F%2Fwww.facebook.com%2Frosaryplanthouse%2Fposts%2F251626639919034&amp;show_text=true&amp;width=500" width="500" height="186" style="border:none;overflow:hidden" scrolling="no" frameborder="0" allowfullscreen="true" allow="autoplay; clipboard-write; encrypted-media; picture-in-picture; web-share"&gt;&lt;/iframe&gt;</t>
        </is>
      </c>
    </row>
    <row r="70" ht="12.5" customHeight="1">
      <c r="A70" s="34" t="n">
        <v>69</v>
      </c>
      <c r="B70" s="34" t="inlineStr">
        <is>
          <t>Subarna Das</t>
        </is>
      </c>
      <c r="C70" s="34" t="inlineStr">
        <is>
          <t>&lt;iframe src="https://www.facebook.com/plugins/post.php?href=https%3A%2F%2Fwww.facebook.com%2Frosaryplanthouse%2Fposts%2F251766549905043&amp;show_text=true&amp;width=500" width="500" height="665" style="border:none;overflow:hidden" scrolling="no" frameborder="0" allowfullscreen="true" allow="autoplay; clipboard-write; encrypted-media; picture-in-picture; web-share"&gt;&lt;/iframe&gt;</t>
        </is>
      </c>
    </row>
    <row r="71" ht="12.5" customHeight="1">
      <c r="A71" s="34" t="n">
        <v>70</v>
      </c>
      <c r="B71" s="34" t="inlineStr">
        <is>
          <t>Shyna Antony</t>
        </is>
      </c>
      <c r="C71" s="34" t="inlineStr">
        <is>
          <t>&lt;iframe src="https://www.facebook.com/plugins/post.php?href=https%3A%2F%2Fwww.facebook.com%2Frosaryplanthouse%2Fposts%2F256111069470591&amp;show_text=true&amp;width=500" width="500" height="609" style="border:none;overflow:hidden" scrolling="no" frameborder="0" allowfullscreen="true" allow="autoplay; clipboard-write; encrypted-media; picture-in-picture; web-share"&gt;&lt;/iframe&gt;</t>
        </is>
      </c>
    </row>
    <row r="72" ht="12.5" customHeight="1">
      <c r="A72" s="34" t="n">
        <v>71</v>
      </c>
      <c r="B72" s="34" t="inlineStr">
        <is>
          <t>Santhosh Laxmi</t>
        </is>
      </c>
      <c r="C72" s="34" t="inlineStr">
        <is>
          <t>&lt;iframe src="https://www.facebook.com/plugins/post.php?href=https%3A%2F%2Fwww.facebook.com%2Frosaryplanthouse%2Fposts%2F256872366061128&amp;show_text=true&amp;width=500" width="500" height="582" style="border:none;overflow:hidden" scrolling="no" frameborder="0" allowfullscreen="true" allow="autoplay; clipboard-write; encrypted-media; picture-in-picture; web-share"&gt;&lt;/iframe&gt;</t>
        </is>
      </c>
    </row>
    <row r="73" ht="12.5" customHeight="1">
      <c r="A73" s="34" t="n">
        <v>72</v>
      </c>
      <c r="B73" s="34" t="inlineStr">
        <is>
          <t>Pugazenthi BP</t>
        </is>
      </c>
      <c r="C73" s="34" t="inlineStr">
        <is>
          <t>&lt;iframe src="https://www.facebook.com/plugins/post.php?href=https%3A%2F%2Fwww.facebook.com%2Frosaryplanthouse%2Fposts%2F259617672453264&amp;show_text=true&amp;width=500" width="500" height="665" style="border:none;overflow:hidden" scrolling="no" frameborder="0" allowfullscreen="true" allow="autoplay; clipboard-write; encrypted-media; picture-in-picture; web-share"&gt;&lt;/iframe&gt;</t>
        </is>
      </c>
    </row>
    <row r="74" ht="12.5" customHeight="1">
      <c r="A74" s="34" t="n">
        <v>73</v>
      </c>
      <c r="B74" s="34" t="inlineStr">
        <is>
          <t>Rekha Sathyashankar</t>
        </is>
      </c>
      <c r="C74" s="34" t="inlineStr">
        <is>
          <t>&lt;iframe src="https://www.facebook.com/plugins/post.php?href=https%3A%2F%2Fwww.facebook.com%2Frosaryplanthouse%2Fposts%2F259623855785979&amp;show_text=true&amp;width=500" width="500" height="620" style="border:none;overflow:hidden" scrolling="no" frameborder="0" allowfullscreen="true" allow="autoplay; clipboard-write; encrypted-media; picture-in-picture; web-share"&gt;&lt;/iframe&gt;</t>
        </is>
      </c>
    </row>
    <row r="75" ht="12.5" customHeight="1">
      <c r="A75" s="34" t="n">
        <v>74</v>
      </c>
      <c r="B75" s="34" t="inlineStr">
        <is>
          <t>Ranjn Choudhuury</t>
        </is>
      </c>
      <c r="C75" s="34" t="inlineStr">
        <is>
          <t>&lt;iframe src="https://www.facebook.com/plugins/post.php?href=https%3A%2F%2Fwww.facebook.com%2Frosaryplanthouse%2Fposts%2F263909762024055&amp;show_text=true&amp;width=500" width="500" height="169" style="border:none;overflow:hidden" scrolling="no" frameborder="0" allowfullscreen="true" allow="autoplay; clipboard-write; encrypted-media; picture-in-picture; web-share"&gt;&lt;/iframe&gt;</t>
        </is>
      </c>
    </row>
    <row r="76" ht="12.5" customHeight="1">
      <c r="A76" s="34" t="n">
        <v>75</v>
      </c>
      <c r="B76" s="34" t="inlineStr">
        <is>
          <t>Darsana Saneesh</t>
        </is>
      </c>
      <c r="C76" s="34" t="inlineStr">
        <is>
          <t>&lt;iframe src="https://www.facebook.com/plugins/post.php?href=https%3A%2F%2Fwww.facebook.com%2Frosaryplanthouse%2Fposts%2F267164951698536&amp;show_text=true&amp;width=500" width="500" height="411" style="border:none;overflow:hidden" scrolling="no" frameborder="0" allowfullscreen="true" allow="autoplay; clipboard-write; encrypted-media; picture-in-picture; web-share"&gt;&lt;/iframe&gt;</t>
        </is>
      </c>
    </row>
    <row r="77" ht="12.5" customHeight="1">
      <c r="A77" s="34" t="n">
        <v>76</v>
      </c>
      <c r="B77" s="34" t="inlineStr">
        <is>
          <t>Shanthi Venkat</t>
        </is>
      </c>
      <c r="C77" s="34" t="inlineStr">
        <is>
          <t>&lt;iframe src="https://www.facebook.com/plugins/post.php?href=https%3A%2F%2Fwww.facebook.com%2Frosaryplanthouse%2Fposts%2F270495884698776&amp;show_text=true&amp;width=500" width="500" height="556" style="border:none;overflow:hidden" scrolling="no" frameborder="0" allowfullscreen="true" allow="autoplay; clipboard-write; encrypted-media; picture-in-picture; web-share"&gt;&lt;/iframe&gt;</t>
        </is>
      </c>
    </row>
    <row r="78" ht="12.5" customHeight="1">
      <c r="A78" s="34" t="n">
        <v>77</v>
      </c>
      <c r="B78" s="34" t="inlineStr">
        <is>
          <t>Keerti Allad</t>
        </is>
      </c>
      <c r="C78" s="34" t="inlineStr">
        <is>
          <t>&lt;iframe src="https://www.facebook.com/plugins/post.php?href=https%3A%2F%2Fwww.facebook.com%2Frosaryplanthouse%2Fposts%2F287489192999445&amp;show_text=true&amp;width=500" width="500" height="610" style="border:none;overflow:hidden" scrolling="no" frameborder="0" allowfullscreen="true" allow="autoplay; clipboard-write; encrypted-media; picture-in-picture; web-share"&gt;&lt;/iframe&gt;</t>
        </is>
      </c>
    </row>
    <row r="79" ht="12.5" customHeight="1">
      <c r="A79" s="34" t="n">
        <v>78</v>
      </c>
      <c r="B79" s="34" t="inlineStr">
        <is>
          <t>Sunila Kulkarni Gupte</t>
        </is>
      </c>
      <c r="C79" s="34" t="inlineStr">
        <is>
          <t>&lt;iframe src="https://www.facebook.com/plugins/post.php?href=https%3A%2F%2Fwww.facebook.com%2Frosaryplanthouse%2Fposts%2F287652022983162&amp;show_text=true&amp;width=500" width="500" height="207" style="border:none;overflow:hidden" scrolling="no" frameborder="0" allowfullscreen="true" allow="autoplay; clipboard-write; encrypted-media; picture-in-picture; web-share"&gt;&lt;/iframe&gt;</t>
        </is>
      </c>
    </row>
    <row r="80" ht="12.5" customHeight="1">
      <c r="A80" s="34" t="n">
        <v>79</v>
      </c>
      <c r="B80" s="34" t="inlineStr">
        <is>
          <t>Sudip Das</t>
        </is>
      </c>
      <c r="C80" s="34" t="inlineStr">
        <is>
          <t>&lt;iframe src="https://www.facebook.com/plugins/post.php?href=https%3A%2F%2Fwww.facebook.com%2Frosaryplanthouse%2Fposts%2F288171166264581&amp;show_text=true&amp;width=500" width="500" height="678" style="border:none;overflow:hidden" scrolling="no" frameborder="0" allowfullscreen="true" allow="autoplay; clipboard-write; encrypted-media; picture-in-picture; web-share"&gt;&lt;/iframe&gt;</t>
        </is>
      </c>
    </row>
    <row r="81" ht="12.5" customHeight="1">
      <c r="A81" s="34" t="n">
        <v>80</v>
      </c>
      <c r="B81" s="34" t="inlineStr">
        <is>
          <t>Namrata Maru Gala</t>
        </is>
      </c>
      <c r="C81" s="34" t="inlineStr">
        <is>
          <t>&lt;iframe src="https://www.facebook.com/plugins/post.php?href=https%3A%2F%2Fwww.facebook.com%2Frosaryplanthouse%2Fposts%2F290918329323198&amp;show_text=true&amp;width=500" width="500" height="647" style="border:none;overflow:hidden" scrolling="no" frameborder="0" allowfullscreen="true" allow="autoplay; clipboard-write; encrypted-media; picture-in-picture; web-share"&gt;&lt;/iframe&gt;</t>
        </is>
      </c>
    </row>
    <row r="82" ht="12.5" customHeight="1">
      <c r="A82" s="34" t="n">
        <v>81</v>
      </c>
      <c r="B82" s="34" t="inlineStr">
        <is>
          <t>Shree Raag Sudhakaran</t>
        </is>
      </c>
      <c r="C82" s="34" t="inlineStr">
        <is>
          <t>&lt;iframe src="https://www.facebook.com/plugins/post.php?href=https%3A%2F%2Fwww.facebook.com%2Frosaryplanthouse%2Fposts%2F297015798713451&amp;show_text=true&amp;width=500" width="500" height="188" style="border:none;overflow:hidden" scrolling="no" frameborder="0" allowfullscreen="true" allow="autoplay; clipboard-write; encrypted-media; picture-in-picture; web-share"&gt;&lt;/iframe&gt;</t>
        </is>
      </c>
    </row>
    <row r="83" ht="12.5" customHeight="1">
      <c r="A83" s="34" t="n">
        <v>82</v>
      </c>
      <c r="B83" s="34" t="inlineStr">
        <is>
          <t>Adrija Das</t>
        </is>
      </c>
      <c r="C83" s="34" t="inlineStr">
        <is>
          <t>&lt;iframe src="https://www.facebook.com/plugins/post.php?href=https%3A%2F%2Fwww.facebook.com%2Frosaryplanthouse%2Fposts%2F297221405359557&amp;show_text=true&amp;width=500" width="500" height="227" style="border:none;overflow:hidden" scrolling="no" frameborder="0" allowfullscreen="true" allow="autoplay; clipboard-write; encrypted-media; picture-in-picture; web-share"&gt;&lt;/iframe&gt;</t>
        </is>
      </c>
    </row>
    <row r="84" ht="12.5" customHeight="1">
      <c r="A84" s="34" t="n">
        <v>83</v>
      </c>
      <c r="B84" s="34" t="inlineStr">
        <is>
          <t>Sandhya Ananthanarayan</t>
        </is>
      </c>
      <c r="C84" s="34" t="inlineStr">
        <is>
          <t>&lt;iframe src="https://www.facebook.com/plugins/post.php?href=https%3A%2F%2Fwww.facebook.com%2Frosaryplanthouse%2Fposts%2F297584888656542&amp;show_text=true&amp;width=500" width="500" height="575" style="border:none;overflow:hidden" scrolling="no" frameborder="0" allowfullscreen="true" allow="autoplay; clipboard-write; encrypted-media; picture-in-picture; web-share"&gt;&lt;/iframe&gt;</t>
        </is>
      </c>
    </row>
    <row r="85" ht="12.5" customHeight="1">
      <c r="A85" s="34" t="n">
        <v>84</v>
      </c>
      <c r="B85" s="34" t="inlineStr">
        <is>
          <t>Nisha J Ameeth</t>
        </is>
      </c>
      <c r="C85" s="34" t="inlineStr">
        <is>
          <t>&lt;iframe src="https://www.facebook.com/plugins/post.php?href=https%3A%2F%2Fwww.facebook.com%2Frosaryplanthouse%2Fposts%2F334974464917584&amp;show_text=true&amp;width=500" width="500" height="668" style="border:none;overflow:hidden" scrolling="no" frameborder="0" allowfullscreen="true" allow="autoplay; clipboard-write; encrypted-media; picture-in-picture; web-share"&gt;&lt;/iframe&gt;</t>
        </is>
      </c>
    </row>
    <row r="86" ht="12.5" customHeight="1">
      <c r="A86" s="34" t="n">
        <v>85</v>
      </c>
      <c r="B86" s="34" t="inlineStr">
        <is>
          <t>Nayeem Shaffee</t>
        </is>
      </c>
      <c r="C86" s="34" t="inlineStr">
        <is>
          <t>&lt;iframe src="https://www.facebook.com/plugins/post.php?href=https%3A%2F%2Fwww.facebook.com%2Frosaryplanthouse%2Fposts%2F334997224915308&amp;show_text=true&amp;width=500" width="500" height="535" style="border:none;overflow:hidden" scrolling="no" frameborder="0" allowfullscreen="true" allow="autoplay; clipboard-write; encrypted-media; picture-in-picture; web-share"&gt;&lt;/iframe&gt;</t>
        </is>
      </c>
    </row>
    <row r="87" ht="12.5" customHeight="1">
      <c r="A87" s="34" t="n">
        <v>86</v>
      </c>
      <c r="B87" s="34" t="inlineStr">
        <is>
          <t>Jyoti Vinayak Madi</t>
        </is>
      </c>
      <c r="C87" s="34" t="inlineStr">
        <is>
          <t>&lt;iframe src="https://www.facebook.com/plugins/post.php?href=https%3A%2F%2Fwww.facebook.com%2Frosaryplanthouse%2Fposts%2F337781761303521&amp;show_text=true&amp;width=500" width="500" height="640" style="border:none;overflow:hidden" scrolling="no" frameborder="0" allowfullscreen="true" allow="autoplay; clipboard-write; encrypted-media; picture-in-picture; web-share"&gt;&lt;/iframe&gt;</t>
        </is>
      </c>
    </row>
    <row r="88" ht="12.5" customHeight="1">
      <c r="A88" s="34" t="n">
        <v>87</v>
      </c>
      <c r="B88" s="34" t="inlineStr">
        <is>
          <t>Shyamala Jothinathan</t>
        </is>
      </c>
      <c r="C88" s="34" t="inlineStr">
        <is>
          <t>&lt;iframe src="https://www.facebook.com/plugins/post.php?href=https%3A%2F%2Fwww.facebook.com%2Frosaryplanthouse%2Fposts%2F339932414421789&amp;show_text=true&amp;width=500" width="500" height="608" style="border:none;overflow:hidden" scrolling="no" frameborder="0" allowfullscreen="true" allow="autoplay; clipboard-write; encrypted-media; picture-in-picture; web-share"&gt;&lt;/iframe&gt;</t>
        </is>
      </c>
    </row>
    <row r="89" ht="12.5" customHeight="1">
      <c r="A89" s="34" t="n">
        <v>88</v>
      </c>
      <c r="B89" s="34" t="inlineStr">
        <is>
          <t>Swati Rajput</t>
        </is>
      </c>
      <c r="C89" s="34" t="inlineStr">
        <is>
          <t>&lt;iframe src="https://www.facebook.com/plugins/post.php?href=https%3A%2F%2Fwww.facebook.com%2Frosaryplanthouse%2Fposts%2F340030911078606&amp;show_text=true&amp;width=500" width="500" height="645" style="border:none;overflow:hidden" scrolling="no" frameborder="0" allowfullscreen="true" allow="autoplay; clipboard-write; encrypted-media; picture-in-picture; web-share"&gt;&lt;/iframe&gt;</t>
        </is>
      </c>
    </row>
    <row r="90" ht="12.5" customHeight="1">
      <c r="A90" s="34" t="n">
        <v>89</v>
      </c>
      <c r="B90" s="34" t="inlineStr">
        <is>
          <t>Sajaniashokan Polloorkandy</t>
        </is>
      </c>
      <c r="C90" s="34" t="inlineStr">
        <is>
          <t>&lt;iframe src="https://www.facebook.com/plugins/post.php?href=https%3A%2F%2Fwww.facebook.com%2Frosaryplanthouse%2Fposts%2F340047614410269&amp;show_text=true&amp;width=500" width="500" height="466" style="border:none;overflow:hidden" scrolling="no" frameborder="0" allowfullscreen="true" allow="autoplay; clipboard-write; encrypted-media; picture-in-picture; web-share"&gt;&lt;/iframe&gt;</t>
        </is>
      </c>
    </row>
    <row r="91" ht="12.5" customHeight="1">
      <c r="A91" s="34" t="n">
        <v>90</v>
      </c>
      <c r="B91" s="34" t="inlineStr">
        <is>
          <t>Sathya Ganesan</t>
        </is>
      </c>
      <c r="C91" s="34" t="inlineStr">
        <is>
          <t>&lt;iframe src="https://www.facebook.com/plugins/post.php?href=https%3A%2F%2Fwww.facebook.com%2Frosaryplanthouse%2Fposts%2F340082417740122&amp;show_text=true&amp;width=500" width="500" height="452" style="border:none;overflow:hidden" scrolling="no" frameborder="0" allowfullscreen="true" allow="autoplay; clipboard-write; encrypted-media; picture-in-picture; web-share"&gt;&lt;/iframe&gt;</t>
        </is>
      </c>
    </row>
    <row r="92" ht="12.5" customHeight="1">
      <c r="A92" s="34" t="n">
        <v>91</v>
      </c>
      <c r="B92" s="34" t="inlineStr">
        <is>
          <t>Priyanka Dey Pandit</t>
        </is>
      </c>
      <c r="C92" s="34" t="inlineStr">
        <is>
          <t>&lt;iframe src="https://www.facebook.com/plugins/post.php?href=https%3A%2F%2Fwww.facebook.com%2Frosaryplanthouse%2Fposts%2F342795907468773&amp;show_text=true&amp;width=500" width="500" height="665" style="border:none;overflow:hidden" scrolling="no" frameborder="0" allowfullscreen="true" allow="autoplay; clipboard-write; encrypted-media; picture-in-picture; web-share"&gt;&lt;/iframe&gt;</t>
        </is>
      </c>
    </row>
    <row r="93" ht="12.5" customHeight="1">
      <c r="A93" s="34" t="n">
        <v>92</v>
      </c>
      <c r="B93" s="34" t="inlineStr">
        <is>
          <t>Geeta Desai</t>
        </is>
      </c>
      <c r="C93" s="34" t="inlineStr">
        <is>
          <t>&lt;iframe src="https://www.facebook.com/plugins/post.php?href=https%3A%2F%2Fwww.facebook.com%2Frosaryplanthouse%2Fposts%2F345145827233781&amp;show_text=true&amp;width=500" width="500" height="742" style="border:none;overflow:hidden" scrolling="no" frameborder="0" allowfullscreen="true" allow="autoplay; clipboard-write; encrypted-media; picture-in-picture; web-share"&gt;&lt;/iframe&gt;</t>
        </is>
      </c>
    </row>
    <row r="94" ht="12.5" customHeight="1">
      <c r="A94" s="34" t="n">
        <v>93</v>
      </c>
      <c r="B94" s="34" t="inlineStr">
        <is>
          <t>Ayan Banerjee</t>
        </is>
      </c>
      <c r="C94" s="34" t="inlineStr">
        <is>
          <t>&lt;iframe src="https://www.facebook.com/plugins/post.php?href=https%3A%2F%2Fwww.facebook.com%2Frosaryplanthouse%2Fposts%2F350704633344567&amp;show_text=true&amp;width=500" width="500" height="524" style="border:none;overflow:hidden" scrolling="no" frameborder="0" allowfullscreen="true" allow="autoplay; clipboard-write; encrypted-media; picture-in-picture; web-share"&gt;&lt;/iframe&gt;</t>
        </is>
      </c>
    </row>
    <row r="95" ht="12.5" customHeight="1">
      <c r="A95" s="34" t="n">
        <v>94</v>
      </c>
      <c r="B95" s="34" t="inlineStr">
        <is>
          <t>Narendra</t>
        </is>
      </c>
      <c r="C95" s="34" t="inlineStr">
        <is>
          <t>&lt;iframe src="https://www.facebook.com/plugins/post.php?href=https%3A%2F%2Fwww.facebook.com%2Frosaryplanthouse%2Fposts%2F368351341579896&amp;show_text=true&amp;width=500" width="500" height="207" style="border:none;overflow:hidden" scrolling="no" frameborder="0" allowfullscreen="true" allow="autoplay; clipboard-write; encrypted-media; picture-in-picture; web-share"&gt;&lt;/iframe&gt;</t>
        </is>
      </c>
    </row>
    <row r="96" ht="12.5" customHeight="1">
      <c r="A96" s="34" t="n">
        <v>95</v>
      </c>
      <c r="B96" s="34" t="inlineStr">
        <is>
          <t>Ayan Banerjee</t>
        </is>
      </c>
      <c r="C96" s="34" t="inlineStr">
        <is>
          <t>&lt;iframe src="https://www.facebook.com/plugins/post.php?href=https%3A%2F%2Fwww.facebook.com%2Frosaryplanthouse%2Fposts%2F369610361453994&amp;show_text=true&amp;width=500" width="500" height="665" style="border:none;overflow:hidden" scrolling="no" frameborder="0" allowfullscreen="true" allow="autoplay; clipboard-write; encrypted-media; picture-in-picture; web-share"&gt;&lt;/iframe&gt;</t>
        </is>
      </c>
    </row>
    <row r="97" ht="12.5" customHeight="1">
      <c r="A97" s="34" t="n">
        <v>96</v>
      </c>
      <c r="B97" s="34" t="inlineStr">
        <is>
          <t>Chirag J Doshi</t>
        </is>
      </c>
      <c r="C97" s="34" t="inlineStr">
        <is>
          <t>&lt;iframe src="https://www.facebook.com/plugins/post.php?href=https%3A%2F%2Fwww.facebook.com%2Frosaryplanthouse%2Fposts%2F377747630640267&amp;show_text=true&amp;width=500" width="500" height="537" style="border:none;overflow:hidden" scrolling="no" frameborder="0" allowfullscreen="true" allow="autoplay; clipboard-write; encrypted-media; picture-in-picture; web-share"&gt;&lt;/iframe&gt;</t>
        </is>
      </c>
    </row>
    <row r="98" ht="12.5" customHeight="1">
      <c r="A98" s="34" t="n">
        <v>97</v>
      </c>
      <c r="B98" s="34" t="inlineStr">
        <is>
          <t>Ar Dhanashree Supe</t>
        </is>
      </c>
      <c r="C98" s="34" t="inlineStr">
        <is>
          <t>&lt;iframe src="https://www.facebook.com/plugins/post.php?href=https%3A%2F%2Fwww.facebook.com%2Frosaryplanthouse%2Fposts%2F378869490528081&amp;show_text=true&amp;width=500" width="500" height="628" style="border:none;overflow:hidden" scrolling="no" frameborder="0" allowfullscreen="true" allow="autoplay; clipboard-write; encrypted-media; picture-in-picture; web-share"&gt;&lt;/iframe&gt;</t>
        </is>
      </c>
    </row>
    <row r="99" ht="12.5" customHeight="1">
      <c r="A99" s="34" t="n">
        <v>98</v>
      </c>
      <c r="B99" s="34" t="inlineStr">
        <is>
          <t>Ammu Anil</t>
        </is>
      </c>
      <c r="C99" s="34" t="inlineStr">
        <is>
          <t>&lt;iframe src="https://www.facebook.com/plugins/post.php?href=https%3A%2F%2Fwww.facebook.com%2Frosaryplanthouse%2Fposts%2F435457144869315&amp;show_text=true&amp;width=500" width="500" height="186" style="border:none;overflow:hidden" scrolling="no" frameborder="0" allowfullscreen="true" allow="autoplay; clipboard-write; encrypted-media; picture-in-picture; web-share"&gt;&lt;/iframe&gt;</t>
        </is>
      </c>
    </row>
    <row r="100" ht="12.5" customHeight="1">
      <c r="A100" s="34" t="n">
        <v>99</v>
      </c>
      <c r="B100" s="34" t="inlineStr">
        <is>
          <t>Sajini Thiju</t>
        </is>
      </c>
      <c r="C100" s="34" t="inlineStr">
        <is>
          <t>&lt;iframe src="https://www.facebook.com/plugins/post.php?href=https%3A%2F%2Fwww.facebook.com%2Frosaryplanthouse%2Fposts%2F438635567884806&amp;show_text=true&amp;width=500" width="500" height="665" style="border:none;overflow:hidden" scrolling="no" frameborder="0" allowfullscreen="true" allow="autoplay; clipboard-write; encrypted-media; picture-in-picture; web-share"&gt;&lt;/iframe&gt;</t>
        </is>
      </c>
    </row>
    <row r="101" ht="12.5" customHeight="1">
      <c r="A101" s="34" t="n">
        <v>100</v>
      </c>
      <c r="B101" s="34" t="inlineStr">
        <is>
          <t>Lakshmi Manjerae</t>
        </is>
      </c>
      <c r="C101" s="34" t="inlineStr">
        <is>
          <t>&lt;iframe src="https://www.facebook.com/plugins/post.php?href=https%3A%2F%2Fwww.facebook.com%2Frosaryplanthouse%2Fposts%2F439414257806937&amp;show_text=true&amp;width=500" width="500" height="582" style="border:none;overflow:hidden" scrolling="no" frameborder="0" allowfullscreen="true" allow="autoplay; clipboard-write; encrypted-media; picture-in-picture; web-share"&gt;&lt;/iframe&gt;</t>
        </is>
      </c>
    </row>
    <row r="102" ht="12.5" customHeight="1">
      <c r="A102" s="34" t="n">
        <v>101</v>
      </c>
      <c r="B102" s="34" t="inlineStr">
        <is>
          <t>Heji Ethan Ethania</t>
        </is>
      </c>
      <c r="C102" s="34" t="inlineStr">
        <is>
          <t>&lt;iframe src="https://www.facebook.com/plugins/post.php?href=https%3A%2F%2Fwww.facebook.com%2Frosaryplanthouse%2Fposts%2F444033040678392&amp;show_text=true&amp;width=500" width="500" height="744" style="border:none;overflow:hidden" scrolling="no" frameborder="0" allowfullscreen="true" allow="autoplay; clipboard-write; encrypted-media; picture-in-picture; web-share"&gt;&lt;/iframe&gt;</t>
        </is>
      </c>
    </row>
    <row r="103" ht="12.5" customHeight="1">
      <c r="A103" s="34" t="n">
        <v>102</v>
      </c>
      <c r="B103" s="34" t="inlineStr">
        <is>
          <t>Sharath Kumar</t>
        </is>
      </c>
      <c r="C103" s="34" t="inlineStr">
        <is>
          <t>&lt;iframe src="https://www.facebook.com/plugins/post.php?href=https%3A%2F%2Fwww.facebook.com%2Frosaryplanthouse%2Fposts%2F444247497323613&amp;show_text=true&amp;width=500" width="500" height="589" style="border:none;overflow:hidden" scrolling="no" frameborder="0" allowfullscreen="true" allow="autoplay; clipboard-write; encrypted-media; picture-in-picture; web-share"&gt;&lt;/iframe&gt;</t>
        </is>
      </c>
    </row>
    <row r="104" ht="12.5" customHeight="1">
      <c r="A104" s="34" t="n">
        <v>103</v>
      </c>
      <c r="B104" s="34" t="inlineStr">
        <is>
          <t>Sharath Kumar</t>
        </is>
      </c>
      <c r="C104" s="34" t="inlineStr">
        <is>
          <t>&lt;iframe src="https://www.facebook.com/plugins/post.php?href=https%3A%2F%2Fwww.facebook.com%2Frosaryplanthouse%2Fposts%2F444249313990098&amp;show_text=true&amp;width=500" width="500" height="186" style="border:none;overflow:hidden" scrolling="no" frameborder="0" allowfullscreen="true" allow="autoplay; clipboard-write; encrypted-media; picture-in-picture; web-share"&gt;&lt;/iframe&gt;</t>
        </is>
      </c>
    </row>
    <row r="105" ht="12.5" customHeight="1">
      <c r="A105" s="34" t="n">
        <v>104</v>
      </c>
      <c r="B105" s="34" t="inlineStr">
        <is>
          <t>Ajay A</t>
        </is>
      </c>
      <c r="C105" s="34" t="inlineStr">
        <is>
          <t>&lt;iframe src="https://www.facebook.com/plugins/post.php?href=https%3A%2F%2Fwww.facebook.com%2Frosaryplanthouse%2Fposts%2F448034240278272&amp;show_text=true&amp;width=500" width="500" height="781" style="border:none;overflow:hidden" scrolling="no" frameborder="0" allowfullscreen="true" allow="autoplay; clipboard-write; encrypted-media; picture-in-picture; web-share"&gt;&lt;/iframe&gt;</t>
        </is>
      </c>
    </row>
    <row r="106" ht="12.5" customHeight="1">
      <c r="A106" s="34" t="n">
        <v>105</v>
      </c>
      <c r="B106" s="34" t="inlineStr">
        <is>
          <t>Runa Nabamita Roy</t>
        </is>
      </c>
      <c r="C106" s="34" t="inlineStr">
        <is>
          <t>&lt;iframe src="https://www.facebook.com/plugins/post.php?href=https%3A%2F%2Fwww.facebook.com%2Frosaryplanthouse%2Fposts%2F452302749851421&amp;show_text=true&amp;width=500" width="500" height="475" style="border:none;overflow:hidden" scrolling="no" frameborder="0" allowfullscreen="true" allow="autoplay; clipboard-write; encrypted-media; picture-in-picture; web-share"&gt;&lt;/iframe&gt;</t>
        </is>
      </c>
    </row>
    <row r="107" ht="12.5" customHeight="1">
      <c r="A107" s="34" t="n">
        <v>106</v>
      </c>
      <c r="B107" s="34" t="inlineStr">
        <is>
          <t>Ajay A</t>
        </is>
      </c>
      <c r="C107" s="34" t="inlineStr">
        <is>
          <t>&lt;iframe src="https://www.facebook.com/plugins/post.php?href=https%3A%2F%2Fwww.facebook.com%2Frosaryplanthouse%2Fposts%2F454740542940975&amp;show_text=true&amp;width=500" width="500" height="645" style="border:none;overflow:hidden" scrolling="no" frameborder="0" allowfullscreen="true" allow="autoplay; clipboard-write; encrypted-media; picture-in-picture; web-share"&gt;&lt;/iframe&gt;</t>
        </is>
      </c>
    </row>
    <row r="108" ht="12.5" customHeight="1">
      <c r="A108" s="34" t="n">
        <v>107</v>
      </c>
      <c r="B108" s="34" t="inlineStr">
        <is>
          <t>Sudeepta Chakraborty</t>
        </is>
      </c>
      <c r="C108" s="34" t="inlineStr">
        <is>
          <t>&lt;iframe src="https://www.facebook.com/plugins/post.php?href=https%3A%2F%2Fwww.facebook.com%2Frosaryplanthouse%2Fposts%2F483169103431452&amp;show_text=true&amp;width=500" width="500" height="466" style="border:none;overflow:hidden" scrolling="no" frameborder="0" allowfullscreen="true" allow="autoplay; clipboard-write; encrypted-media; picture-in-picture; web-share"&gt;&lt;/iframe&gt;</t>
        </is>
      </c>
    </row>
    <row r="109" ht="12.5" customHeight="1">
      <c r="A109" s="34" t="n">
        <v>108</v>
      </c>
      <c r="B109" s="34" t="inlineStr">
        <is>
          <t>Kranthi Vemulapalli</t>
        </is>
      </c>
      <c r="C109" s="34" t="inlineStr">
        <is>
          <t>&lt;iframe src="https://www.facebook.com/plugins/post.php?href=https%3A%2F%2Fwww.facebook.com%2Frosaryplanthouse%2Fposts%2F484446019970427&amp;show_text=true&amp;width=500" width="500" height="819" style="border:none;overflow:hidden" scrolling="no" frameborder="0" allowfullscreen="true" allow="autoplay; clipboard-write; encrypted-media; picture-in-picture; web-share"&gt;&lt;/iframe&gt;</t>
        </is>
      </c>
    </row>
    <row r="110" ht="12.5" customHeight="1">
      <c r="A110" s="34" t="n">
        <v>109</v>
      </c>
      <c r="B110" s="34" t="inlineStr">
        <is>
          <t>Akhila Bhat</t>
        </is>
      </c>
      <c r="C110" s="34" t="inlineStr">
        <is>
          <t>&lt;iframe src="https://www.facebook.com/plugins/post.php?href=https%3A%2F%2Fwww.facebook.com%2Frosaryplanthouse%2Fposts%2F485745579840471&amp;show_text=true&amp;width=500" width="500" height="645" style="border:none;overflow:hidden" scrolling="no" frameborder="0" allowfullscreen="true" allow="autoplay; clipboard-write; encrypted-media; picture-in-picture; web-share"&gt;&lt;/iframe&gt;</t>
        </is>
      </c>
    </row>
    <row r="111" ht="12.5" customHeight="1">
      <c r="A111" s="34" t="n">
        <v>110</v>
      </c>
      <c r="B111" s="34" t="inlineStr">
        <is>
          <t>Pugazenthi BP</t>
        </is>
      </c>
      <c r="C111" s="34" t="inlineStr">
        <is>
          <t>&lt;iframe src="https://www.facebook.com/plugins/post.php?href=https%3A%2F%2Fwww.facebook.com%2Frosaryplanthouse%2Fposts%2F488163599598669&amp;show_text=true&amp;width=500" width="500" height="665" style="border:none;overflow:hidden" scrolling="no" frameborder="0" allowfullscreen="true" allow="autoplay; clipboard-write; encrypted-media; picture-in-picture; web-share"&gt;&lt;/iframe&gt;</t>
        </is>
      </c>
    </row>
    <row r="112" ht="12.5" customHeight="1">
      <c r="A112" s="34" t="n">
        <v>111</v>
      </c>
      <c r="B112" s="34" t="inlineStr">
        <is>
          <t>Sujata Das Bowade</t>
        </is>
      </c>
      <c r="C112" s="34" t="inlineStr">
        <is>
          <t>&lt;iframe src="https://www.facebook.com/plugins/post.php?href=https%3A%2F%2Fwww.facebook.com%2Frosaryplanthouse%2Fposts%2F490578696023826&amp;show_text=true&amp;width=500" width="500" height="629" style="border:none;overflow:hidden" scrolling="no" frameborder="0" allowfullscreen="true" allow="autoplay; clipboard-write; encrypted-media; picture-in-picture; web-share"&gt;&lt;/iframe&gt;</t>
        </is>
      </c>
    </row>
    <row r="113" ht="12.5" customHeight="1">
      <c r="A113" s="34" t="n">
        <v>112</v>
      </c>
      <c r="B113" s="34" t="inlineStr">
        <is>
          <t>Archana Manju</t>
        </is>
      </c>
      <c r="C113" s="34" t="inlineStr">
        <is>
          <t>&lt;iframe src="https://www.facebook.com/plugins/post.php?href=https%3A%2F%2Fwww.facebook.com%2Frosaryplanthouse%2Fposts%2F510734477341581&amp;show_text=true&amp;width=500" width="500" height="536" style="border:none;overflow:hidden" scrolling="no" frameborder="0" allowfullscreen="true" allow="autoplay; clipboard-write; encrypted-media; picture-in-picture; web-share"&gt;&lt;/iframe&gt;</t>
        </is>
      </c>
    </row>
    <row r="114" ht="12.5" customHeight="1">
      <c r="A114" s="34" t="n">
        <v>113</v>
      </c>
      <c r="B114" s="34" t="inlineStr">
        <is>
          <t>Mona Choudhary</t>
        </is>
      </c>
      <c r="C114" s="34" t="inlineStr">
        <is>
          <t>&lt;iframe src="https://www.facebook.com/plugins/post.php?href=https%3A%2F%2Fwww.facebook.com%2Frosaryplanthouse%2Fposts%2F513140950434267&amp;show_text=true&amp;width=500" width="500" height="169" style="border:none;overflow:hidden" scrolling="no" frameborder="0" allowfullscreen="true" allow="autoplay; clipboard-write; encrypted-media; picture-in-picture; web-share"&gt;&lt;/iframe&gt;</t>
        </is>
      </c>
    </row>
    <row r="115" ht="12.5" customHeight="1">
      <c r="A115" s="34" t="n">
        <v>114</v>
      </c>
      <c r="B115" s="34" t="inlineStr">
        <is>
          <t xml:space="preserve">Sumeli Biswas
</t>
        </is>
      </c>
      <c r="C115" s="34" t="inlineStr">
        <is>
          <t>&lt;iframe src="https://www.facebook.com/plugins/post.php?href=https%3A%2F%2Fwww.facebook.com%2Frosaryplanthouse%2Fposts%2F528850278863334&amp;show_text=true&amp;width=500" width="500" height="582" style="border:none;overflow:hidden" scrolling="no" frameborder="0" allowfullscreen="true" allow="autoplay; clipboard-write; encrypted-media; picture-in-picture; web-share"&gt;&lt;/iframe&gt;</t>
        </is>
      </c>
    </row>
    <row r="116" ht="12.5" customHeight="1">
      <c r="A116" s="34" t="n">
        <v>115</v>
      </c>
      <c r="B116" s="34" t="inlineStr">
        <is>
          <t>Siva Subramanian</t>
        </is>
      </c>
      <c r="C116" s="34" t="inlineStr">
        <is>
          <t>&lt;iframe src="https://www.facebook.com/plugins/post.php?href=https%3A%2F%2Fwww.facebook.com%2Frosaryplanthouse%2Fposts%2F533335561748139&amp;show_text=true&amp;width=500" width="500" height="645" style="border:none;overflow:hidden" scrolling="no" frameborder="0" allowfullscreen="true" allow="autoplay; clipboard-write; encrypted-media; picture-in-picture; web-share"&gt;&lt;/iframe&gt;</t>
        </is>
      </c>
    </row>
    <row r="117" ht="12.5" customHeight="1">
      <c r="A117" s="34" t="n">
        <v>116</v>
      </c>
      <c r="B117" s="34" t="inlineStr">
        <is>
          <t>Resame Thomas</t>
        </is>
      </c>
      <c r="C117" s="34" t="inlineStr">
        <is>
          <t>&lt;iframe src="https://www.facebook.com/plugins/post.php?href=https%3A%2F%2Fwww.facebook.com%2Frosaryplanthouse%2Fposts%2F533576441724051&amp;show_text=true&amp;width=500" width="500" height="205" style="border:none;overflow:hidden" scrolling="no" frameborder="0" allowfullscreen="true" allow="autoplay; clipboard-write; encrypted-media; picture-in-picture; web-share"&gt;&lt;/iframe&gt;</t>
        </is>
      </c>
    </row>
    <row r="118" ht="12.5" customHeight="1">
      <c r="A118" s="34" t="n">
        <v>117</v>
      </c>
      <c r="B118" s="34" t="inlineStr">
        <is>
          <t>Pawan Kumar Singh</t>
        </is>
      </c>
      <c r="C118" s="34" t="inlineStr">
        <is>
          <t>&lt;iframe src="https://www.facebook.com/plugins/post.php?href=https%3A%2F%2Fwww.facebook.com%2Frosaryplanthouse%2Fposts%2F533877381693957&amp;show_text=true&amp;width=500" width="500" height="169" style="border:none;overflow:hidden" scrolling="no" frameborder="0" allowfullscreen="true" allow="autoplay; clipboard-write; encrypted-media; picture-in-picture; web-share"&gt;&lt;/iframe&gt;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2026-03-23T15:59:04Z</dcterms:created>
  <dcterms:modified xsi:type="dcterms:W3CDTF">2026-03-23T16:51:40Z</dcterms:modified>
  <cp:lastModifiedBy>Shibin Thomas</cp:lastModifiedBy>
</cp:coreProperties>
</file>